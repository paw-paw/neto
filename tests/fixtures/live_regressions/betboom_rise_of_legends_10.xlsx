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Tournament format" sheetId="2" r:id="rId6"/>
    <sheet state="visible" name="Schedule | CQ + Playoffs" sheetId="3" r:id="rId7"/>
    <sheet state="visible" name="Matches | CQ + Playoffs" sheetId="4" r:id="rId8"/>
    <sheet state="visible" name="Teams | CQ + Playoffs" sheetId="5" r:id="rId9"/>
    <sheet state="visible" name="Schedule | 1 Division" sheetId="6" r:id="rId10"/>
    <sheet state="visible" name="Matches | 1 Division" sheetId="7" r:id="rId11"/>
    <sheet state="visible" name="Teams | 1 Division" sheetId="8" r:id="rId12"/>
    <sheet state="visible" name="Schedule | 2 Division" sheetId="9" r:id="rId13"/>
    <sheet state="visible" name="Matches | 2 Division" sheetId="10" r:id="rId14"/>
    <sheet state="visible" name="Teams | 2 Division" sheetId="11" r:id="rId15"/>
    <sheet state="hidden" name="Schedule | 2 Division (OLD)" sheetId="12" r:id="rId16"/>
    <sheet state="hidden" name="Matches | 2 Division (OLD)" sheetId="13" r:id="rId17"/>
    <sheet state="hidden" name="Schedule | 3 Division (OLD)" sheetId="14" r:id="rId18"/>
    <sheet state="hidden" name="Matches | 3 Division 1 (OLD)" sheetId="15" r:id="rId19"/>
    <sheet state="visible" name="Heroes" sheetId="16" r:id="rId20"/>
    <sheet state="visible" name="Penalties " sheetId="17" r:id="rId21"/>
  </sheets>
  <definedNames>
    <definedName hidden="1" localSheetId="6" name="_xlnm._FilterDatabase">'Matches | 1 Division'!$B$3:$K$11</definedName>
    <definedName hidden="1" localSheetId="9" name="_xlnm._FilterDatabase">'Matches | 2 Division'!$B$3:$K$11</definedName>
    <definedName hidden="1" localSheetId="12" name="_xlnm._FilterDatabase">'Matches | 2 Division (OLD)'!$B$2:$I$10</definedName>
    <definedName hidden="1" localSheetId="14" name="_xlnm._FilterDatabase">'Matches | 3 Division 1 (OLD)'!$B$2:$I$10</definedName>
  </definedNames>
  <calcPr/>
</workbook>
</file>

<file path=xl/sharedStrings.xml><?xml version="1.0" encoding="utf-8"?>
<sst xmlns="http://schemas.openxmlformats.org/spreadsheetml/2006/main" count="16181" uniqueCount="879">
  <si>
    <t>Номер</t>
  </si>
  <si>
    <t>Нормативные документы</t>
  </si>
  <si>
    <t>Ссылки</t>
  </si>
  <si>
    <t>Schedule | 1 Division</t>
  </si>
  <si>
    <t>ссылка</t>
  </si>
  <si>
    <t>Active modification</t>
  </si>
  <si>
    <t>Banned heroes</t>
  </si>
  <si>
    <t xml:space="preserve">Tournament format </t>
  </si>
  <si>
    <t>Matches and results | 1 Division</t>
  </si>
  <si>
    <t xml:space="preserve">Сломанные стены </t>
  </si>
  <si>
    <t>Name</t>
  </si>
  <si>
    <t xml:space="preserve"> Date of ban</t>
  </si>
  <si>
    <t xml:space="preserve">Регламент </t>
  </si>
  <si>
    <t>Teams | 1 Division</t>
  </si>
  <si>
    <t xml:space="preserve">Опасные заросли </t>
  </si>
  <si>
    <t>Aulus</t>
  </si>
  <si>
    <t>22.04.2026 - 29.04.2026</t>
  </si>
  <si>
    <t>Технические правила</t>
  </si>
  <si>
    <t>Летящее облако</t>
  </si>
  <si>
    <t>Gloo</t>
  </si>
  <si>
    <t>24.04.2026 - 03.05.2026</t>
  </si>
  <si>
    <t>Правила трансляций</t>
  </si>
  <si>
    <t>Schedule | 2 Division</t>
  </si>
  <si>
    <t>Бурные реки</t>
  </si>
  <si>
    <t>Hirara</t>
  </si>
  <si>
    <t>Неопределенный срок</t>
  </si>
  <si>
    <t>Дисциплинарный регламент ФКС России</t>
  </si>
  <si>
    <t>Matches and results | 2 Division</t>
  </si>
  <si>
    <t>Регламент ФКС России по этике</t>
  </si>
  <si>
    <t>Teams | 2 Division</t>
  </si>
  <si>
    <t>Официальные правила вида спорта «компьютерный спорт»</t>
  </si>
  <si>
    <t>Schedule | CQ + Playoffs</t>
  </si>
  <si>
    <t>Matches | CQ + Playoffs</t>
  </si>
  <si>
    <r>
      <rPr>
        <rFont val="Arial"/>
        <b/>
        <color theme="1"/>
      </rPr>
      <t>RoL
Split 1&amp;2</t>
    </r>
    <r>
      <rPr>
        <rFont val="Arial"/>
        <color theme="1"/>
      </rPr>
      <t xml:space="preserve">
Qualifiers
to 2 Division</t>
    </r>
  </si>
  <si>
    <t>Qualifier 1</t>
  </si>
  <si>
    <t>Qualifier 3</t>
  </si>
  <si>
    <t>Qualifier 2</t>
  </si>
  <si>
    <t>Qualifier 4</t>
  </si>
  <si>
    <r>
      <rPr>
        <rFont val="Arial"/>
        <b/>
        <color theme="1"/>
      </rPr>
      <t xml:space="preserve">RoL
Split 1&amp;2
</t>
    </r>
    <r>
      <rPr>
        <rFont val="Arial"/>
        <color theme="1"/>
      </rPr>
      <t>Double round-robin stage</t>
    </r>
  </si>
  <si>
    <t>1 Division</t>
  </si>
  <si>
    <t>2 Division</t>
  </si>
  <si>
    <t>Final Place</t>
  </si>
  <si>
    <t>Prize</t>
  </si>
  <si>
    <t xml:space="preserve">Progression </t>
  </si>
  <si>
    <t>Split Final</t>
  </si>
  <si>
    <t>Double round-robin
BO3
14 days 56 matches</t>
  </si>
  <si>
    <r>
      <rPr>
        <rFont val="Arial"/>
        <b/>
        <color theme="1"/>
      </rPr>
      <t xml:space="preserve">RoL
Split 1&amp;2
</t>
    </r>
    <r>
      <rPr>
        <rFont val="Arial"/>
        <color theme="1"/>
      </rPr>
      <t>Final</t>
    </r>
  </si>
  <si>
    <t>Closed
Qualifier
(ONLINE)</t>
  </si>
  <si>
    <t>Participants</t>
  </si>
  <si>
    <t>Info</t>
  </si>
  <si>
    <t>Stage</t>
  </si>
  <si>
    <t>Team name</t>
  </si>
  <si>
    <t>Team standings</t>
  </si>
  <si>
    <t>Position</t>
  </si>
  <si>
    <t xml:space="preserve">I </t>
  </si>
  <si>
    <t>II</t>
  </si>
  <si>
    <t>III</t>
  </si>
  <si>
    <t>IV</t>
  </si>
  <si>
    <t>V</t>
  </si>
  <si>
    <t>3rd  of Division 1</t>
  </si>
  <si>
    <t>Tier 1</t>
  </si>
  <si>
    <t>Day 1
BO3</t>
  </si>
  <si>
    <t>Day 2
BO3</t>
  </si>
  <si>
    <t>Day 3
BO3</t>
  </si>
  <si>
    <t>Day 4
BO5</t>
  </si>
  <si>
    <t>Day 5
BO5</t>
  </si>
  <si>
    <t>Day 5
BO7</t>
  </si>
  <si>
    <t>4th of Division 1</t>
  </si>
  <si>
    <t>Winner
Bracket
(WB)</t>
  </si>
  <si>
    <t>5th  of Division 1</t>
  </si>
  <si>
    <t>Tier 2</t>
  </si>
  <si>
    <t>6th of Division 1</t>
  </si>
  <si>
    <t>Match 1</t>
  </si>
  <si>
    <t>Match 5</t>
  </si>
  <si>
    <t>7th of Division 1</t>
  </si>
  <si>
    <t>8th of Division 1</t>
  </si>
  <si>
    <t>Match 9</t>
  </si>
  <si>
    <t>Match 11</t>
  </si>
  <si>
    <t>1st  of Division 2</t>
  </si>
  <si>
    <t>Tier 3</t>
  </si>
  <si>
    <t>2nd of Division 2</t>
  </si>
  <si>
    <t>Match 2</t>
  </si>
  <si>
    <t>Match 6</t>
  </si>
  <si>
    <t>3rd of Division 2</t>
  </si>
  <si>
    <t>4th of Division 2</t>
  </si>
  <si>
    <t>Match 13</t>
  </si>
  <si>
    <t>5th of Division 2</t>
  </si>
  <si>
    <t>6th of Division 2</t>
  </si>
  <si>
    <t>Match 3</t>
  </si>
  <si>
    <t>Match 7</t>
  </si>
  <si>
    <t>7th of Division 2</t>
  </si>
  <si>
    <t>8th of Division 2</t>
  </si>
  <si>
    <t>Match 10</t>
  </si>
  <si>
    <t>Match 12</t>
  </si>
  <si>
    <t>Match 4</t>
  </si>
  <si>
    <t>Match 8</t>
  </si>
  <si>
    <t>Loser
Bracket
(LB)</t>
  </si>
  <si>
    <t>Match 14</t>
  </si>
  <si>
    <t>Match 16</t>
  </si>
  <si>
    <t>Match 17</t>
  </si>
  <si>
    <t>Match 15</t>
  </si>
  <si>
    <t>Final
(ONLINE&amp;OFFLINE)</t>
  </si>
  <si>
    <t>Double Elimination
4 teams</t>
  </si>
  <si>
    <t>Place</t>
  </si>
  <si>
    <t>Prize pool</t>
  </si>
  <si>
    <t>Upper Semi-final
BO5</t>
  </si>
  <si>
    <t>Upper final
BO5</t>
  </si>
  <si>
    <t>Grand final
BO7</t>
  </si>
  <si>
    <t>Lower semi-final
BO5</t>
  </si>
  <si>
    <t>Lower final
BO5</t>
  </si>
  <si>
    <t>RoL Final</t>
  </si>
  <si>
    <t>Closed
Qualifier 
(ONLINE)</t>
  </si>
  <si>
    <t>Participants of Swiss Stage</t>
  </si>
  <si>
    <t>Swiss Stage</t>
  </si>
  <si>
    <t>Number</t>
  </si>
  <si>
    <t>Team</t>
  </si>
  <si>
    <t>Seed</t>
  </si>
  <si>
    <t>0:0</t>
  </si>
  <si>
    <t>1:0 &amp; 0:1</t>
  </si>
  <si>
    <t>1:1</t>
  </si>
  <si>
    <t>2:0 | 0:2</t>
  </si>
  <si>
    <t>2:1</t>
  </si>
  <si>
    <t>1:2</t>
  </si>
  <si>
    <t>2:2</t>
  </si>
  <si>
    <t>3:1</t>
  </si>
  <si>
    <t>Day 6
BO5</t>
  </si>
  <si>
    <t>Day 7
BO5</t>
  </si>
  <si>
    <t>Day 8
BO5</t>
  </si>
  <si>
    <t>Winner M1</t>
  </si>
  <si>
    <t>Loser M9</t>
  </si>
  <si>
    <t>Winner M9</t>
  </si>
  <si>
    <t>Winner M17</t>
  </si>
  <si>
    <t>Loser M17</t>
  </si>
  <si>
    <t>Loser M25</t>
  </si>
  <si>
    <t>Winner 25</t>
  </si>
  <si>
    <t>Match 1 (0:0)</t>
  </si>
  <si>
    <t>Match 9 (1:0)</t>
  </si>
  <si>
    <t>Match 17 (1:1)</t>
  </si>
  <si>
    <t>Match 21 (2:0)</t>
  </si>
  <si>
    <t>Match 25 (2:1)</t>
  </si>
  <si>
    <t>Match 28 (1:2)</t>
  </si>
  <si>
    <t>Match 31 (2:2)</t>
  </si>
  <si>
    <t>Match 34 (3:1)</t>
  </si>
  <si>
    <t>Winner M8</t>
  </si>
  <si>
    <t>Winer M16</t>
  </si>
  <si>
    <t>Winner M12</t>
  </si>
  <si>
    <t>Winner M20</t>
  </si>
  <si>
    <t>Loser M20</t>
  </si>
  <si>
    <t>Winner M30</t>
  </si>
  <si>
    <t>Winner 27</t>
  </si>
  <si>
    <t>Winner M2</t>
  </si>
  <si>
    <t>Loser M10</t>
  </si>
  <si>
    <t>Winner M10</t>
  </si>
  <si>
    <t>Loser M21</t>
  </si>
  <si>
    <t>Winner M23</t>
  </si>
  <si>
    <t>Loser M26</t>
  </si>
  <si>
    <t>Winner 26</t>
  </si>
  <si>
    <t>Match 2 (0:0)</t>
  </si>
  <si>
    <t>Match 10 (1:0)</t>
  </si>
  <si>
    <t>Match 18 (1:1)</t>
  </si>
  <si>
    <t>Match 22 (2:0)</t>
  </si>
  <si>
    <t>Match 26 (2:1)</t>
  </si>
  <si>
    <t>Match 29 (1:2)</t>
  </si>
  <si>
    <t>Match 32 (2:2)</t>
  </si>
  <si>
    <t>Match 35 (3:1)</t>
  </si>
  <si>
    <t>Winner M7</t>
  </si>
  <si>
    <t>Winer M15</t>
  </si>
  <si>
    <t>Winner M11</t>
  </si>
  <si>
    <t>Winner M18</t>
  </si>
  <si>
    <t>Loser M18</t>
  </si>
  <si>
    <t>Winner M29</t>
  </si>
  <si>
    <t>Winner M3</t>
  </si>
  <si>
    <t>Loser M11</t>
  </si>
  <si>
    <t>Loser M13</t>
  </si>
  <si>
    <t>Loser M22</t>
  </si>
  <si>
    <t>Winner M24</t>
  </si>
  <si>
    <t>Loser M27</t>
  </si>
  <si>
    <t>Match 3 (0:0)</t>
  </si>
  <si>
    <t>Match 11 (1:0)</t>
  </si>
  <si>
    <t>Match 19 (1:1)</t>
  </si>
  <si>
    <t>Match 23 (0:2)</t>
  </si>
  <si>
    <t>Match 27 (2:1)</t>
  </si>
  <si>
    <t>Match 30 (1:2)</t>
  </si>
  <si>
    <t>Match 33 (2:2)</t>
  </si>
  <si>
    <t>Match 36 (3:1)</t>
  </si>
  <si>
    <t>Winner M6</t>
  </si>
  <si>
    <t>Winer M14</t>
  </si>
  <si>
    <t>Loser M16</t>
  </si>
  <si>
    <t>Winner M19</t>
  </si>
  <si>
    <t>Loser M19</t>
  </si>
  <si>
    <t>Winner M28</t>
  </si>
  <si>
    <t>Winner M4</t>
  </si>
  <si>
    <t>Loser M12</t>
  </si>
  <si>
    <t>Loser M14</t>
  </si>
  <si>
    <t>Match 4 (0:0)</t>
  </si>
  <si>
    <t>Match 12 (1:0)</t>
  </si>
  <si>
    <t>Match 20 (1:1)</t>
  </si>
  <si>
    <t>Match 24 (0:2)</t>
  </si>
  <si>
    <t>Winner M5</t>
  </si>
  <si>
    <t>Winer M13</t>
  </si>
  <si>
    <t>Loser M15</t>
  </si>
  <si>
    <t>Loser M1</t>
  </si>
  <si>
    <t>Match 5 (0:0)</t>
  </si>
  <si>
    <t>Match 13 (0:1)</t>
  </si>
  <si>
    <t>Loser M8</t>
  </si>
  <si>
    <t>Loser M2</t>
  </si>
  <si>
    <t>Match 6 (0:0)</t>
  </si>
  <si>
    <t>Match 14 (0:1)</t>
  </si>
  <si>
    <t>Loser M7</t>
  </si>
  <si>
    <t>Loser M3</t>
  </si>
  <si>
    <t>Match 7 (0:0)</t>
  </si>
  <si>
    <t>Match 15 (0:1)</t>
  </si>
  <si>
    <t>Loser M6</t>
  </si>
  <si>
    <t>Loser M4</t>
  </si>
  <si>
    <t>Match 8 (0:0)</t>
  </si>
  <si>
    <t>Match 16 (0:1)</t>
  </si>
  <si>
    <t>Loser M5</t>
  </si>
  <si>
    <t>Participants Play-off</t>
  </si>
  <si>
    <t>Play-off</t>
  </si>
  <si>
    <t>Day 1</t>
  </si>
  <si>
    <t>Day 2</t>
  </si>
  <si>
    <t>Day 3</t>
  </si>
  <si>
    <t>Day 4</t>
  </si>
  <si>
    <t>Match 1 - BO3</t>
  </si>
  <si>
    <t>Match 5 - BO5</t>
  </si>
  <si>
    <t>Match 9 - BO3</t>
  </si>
  <si>
    <t>Match 12 - BO5</t>
  </si>
  <si>
    <t>Match 2 - BO3</t>
  </si>
  <si>
    <t>Match 6 - BO5</t>
  </si>
  <si>
    <t>Match 10 - BO5</t>
  </si>
  <si>
    <t>Match 13 - BO5</t>
  </si>
  <si>
    <t>Match 3 - BO3</t>
  </si>
  <si>
    <t>Match 7 - BO3</t>
  </si>
  <si>
    <t>Match 11 - BO5</t>
  </si>
  <si>
    <t>Match 14 - BO5</t>
  </si>
  <si>
    <t>Match 4 - BO3</t>
  </si>
  <si>
    <t>Match 8 - BO3</t>
  </si>
  <si>
    <t>Upper Bracket</t>
  </si>
  <si>
    <t>Midlle Bracket</t>
  </si>
  <si>
    <t>Lower Bracket</t>
  </si>
  <si>
    <t>Winner M14</t>
  </si>
  <si>
    <t>Winner M13</t>
  </si>
  <si>
    <t>LAN Финал</t>
  </si>
  <si>
    <t xml:space="preserve">Participants </t>
  </si>
  <si>
    <t>Double Elimination
на 4 команды</t>
  </si>
  <si>
    <r>
      <rPr>
        <rFont val="Arial"/>
        <b/>
        <color theme="1"/>
      </rPr>
      <t>1st place</t>
    </r>
    <r>
      <rPr>
        <rFont val="Arial"/>
        <color theme="1"/>
      </rPr>
      <t xml:space="preserve"> of 
RoL: Split #2</t>
    </r>
  </si>
  <si>
    <t>Верхний полуфинал
BO5</t>
  </si>
  <si>
    <r>
      <rPr>
        <rFont val="Arial"/>
        <b/>
        <color theme="1"/>
      </rPr>
      <t>1st place</t>
    </r>
    <r>
      <rPr>
        <rFont val="Arial"/>
        <color theme="1"/>
      </rPr>
      <t xml:space="preserve"> of 
Closed
Qualifier</t>
    </r>
  </si>
  <si>
    <t>Верхний финал
BO5</t>
  </si>
  <si>
    <t>Гранд финал
BO7</t>
  </si>
  <si>
    <r>
      <rPr>
        <rFont val="Arial"/>
        <b/>
        <color theme="1"/>
      </rPr>
      <t>2nd place</t>
    </r>
    <r>
      <rPr>
        <rFont val="Arial"/>
        <color theme="1"/>
      </rPr>
      <t xml:space="preserve"> of 
Closed
Qualifier</t>
    </r>
  </si>
  <si>
    <r>
      <rPr>
        <rFont val="Arial"/>
        <b/>
        <color theme="1"/>
      </rPr>
      <t>3rd place</t>
    </r>
    <r>
      <rPr>
        <rFont val="Arial"/>
        <color theme="1"/>
      </rPr>
      <t xml:space="preserve"> of
Closed
Qualifier</t>
    </r>
  </si>
  <si>
    <t>Нижний финал
BO5</t>
  </si>
  <si>
    <t>Teams &amp; Results</t>
  </si>
  <si>
    <t>Schedule | Closed Qualifier</t>
  </si>
  <si>
    <t>Schedule  | Playoffs</t>
  </si>
  <si>
    <t>Total Results</t>
  </si>
  <si>
    <t xml:space="preserve">Team </t>
  </si>
  <si>
    <t>Team 1</t>
  </si>
  <si>
    <t>Score</t>
  </si>
  <si>
    <t>Time</t>
  </si>
  <si>
    <t>Team 2</t>
  </si>
  <si>
    <t>Format</t>
  </si>
  <si>
    <t>Match</t>
  </si>
  <si>
    <t>Bracket</t>
  </si>
  <si>
    <t>Best of 3</t>
  </si>
  <si>
    <t>Upper Semi-final</t>
  </si>
  <si>
    <t>Best of 5</t>
  </si>
  <si>
    <t>Upper Final</t>
  </si>
  <si>
    <t>Lower Semi-Final</t>
  </si>
  <si>
    <t>0</t>
  </si>
  <si>
    <t>Lower Final</t>
  </si>
  <si>
    <t>Grand-Final</t>
  </si>
  <si>
    <t>Best of 7</t>
  </si>
  <si>
    <t>13-16</t>
  </si>
  <si>
    <t>Playoffs Teams</t>
  </si>
  <si>
    <t>Closed Qualifier Teams</t>
  </si>
  <si>
    <t>CLOSED QUALIFIER BRACKET</t>
  </si>
  <si>
    <t>Winner</t>
  </si>
  <si>
    <t>Loser</t>
  </si>
  <si>
    <t>Winner of M1</t>
  </si>
  <si>
    <t>Winner of M5</t>
  </si>
  <si>
    <t>3rd of Division 1</t>
  </si>
  <si>
    <t>Winner of M6</t>
  </si>
  <si>
    <t>Winner of M9</t>
  </si>
  <si>
    <t>Winner of M2</t>
  </si>
  <si>
    <t>Wineer of M11</t>
  </si>
  <si>
    <t>Winner of M12</t>
  </si>
  <si>
    <t>Winner of M3</t>
  </si>
  <si>
    <t>Winner of M7</t>
  </si>
  <si>
    <t>Winner of M8</t>
  </si>
  <si>
    <t>Winner of M10</t>
  </si>
  <si>
    <t>Winner of M4</t>
  </si>
  <si>
    <t>Loser of M12</t>
  </si>
  <si>
    <t>Loser of M9</t>
  </si>
  <si>
    <t>Winner of M14</t>
  </si>
  <si>
    <t>Loser of M13</t>
  </si>
  <si>
    <t>Winner of M15</t>
  </si>
  <si>
    <t>Winner of M16</t>
  </si>
  <si>
    <t>Loser of M11</t>
  </si>
  <si>
    <t>Loser of M10</t>
  </si>
  <si>
    <t>FINALS BRACKET</t>
  </si>
  <si>
    <t>MATCHES RESULTS</t>
  </si>
  <si>
    <t>Virtus.pro</t>
  </si>
  <si>
    <t>Team Yandex</t>
  </si>
  <si>
    <t>FORZE</t>
  </si>
  <si>
    <t>CYBERHERO</t>
  </si>
  <si>
    <t>Map</t>
  </si>
  <si>
    <t>Ban Team 1</t>
  </si>
  <si>
    <t>Players Team 1</t>
  </si>
  <si>
    <t>Pick  Team 1</t>
  </si>
  <si>
    <t>Side</t>
  </si>
  <si>
    <t>Pick  Team 2</t>
  </si>
  <si>
    <t>Players  Team 2</t>
  </si>
  <si>
    <t>Ban  Team 2</t>
  </si>
  <si>
    <t>Phoveus</t>
  </si>
  <si>
    <t>Hamster</t>
  </si>
  <si>
    <t>Harley</t>
  </si>
  <si>
    <t>Blue</t>
  </si>
  <si>
    <t>W</t>
  </si>
  <si>
    <t>L</t>
  </si>
  <si>
    <t>Red</t>
  </si>
  <si>
    <t>Hilda</t>
  </si>
  <si>
    <t>Quko_QQ</t>
  </si>
  <si>
    <t>Marcel</t>
  </si>
  <si>
    <t>Guinevere</t>
  </si>
  <si>
    <t>Maniak</t>
  </si>
  <si>
    <t>Freya</t>
  </si>
  <si>
    <t>Harith</t>
  </si>
  <si>
    <t>Gusion</t>
  </si>
  <si>
    <t>Repa</t>
  </si>
  <si>
    <t>Baxia</t>
  </si>
  <si>
    <t>Atlas</t>
  </si>
  <si>
    <t>Super Yoshi</t>
  </si>
  <si>
    <t>Fanny</t>
  </si>
  <si>
    <t>Marl</t>
  </si>
  <si>
    <t>Dont</t>
  </si>
  <si>
    <t>Yve</t>
  </si>
  <si>
    <t>ShowMe</t>
  </si>
  <si>
    <t>Ptenchik</t>
  </si>
  <si>
    <t>Kidbomba</t>
  </si>
  <si>
    <t>Paquito</t>
  </si>
  <si>
    <t>Zhuxin</t>
  </si>
  <si>
    <t>Leomord</t>
  </si>
  <si>
    <t>Darl</t>
  </si>
  <si>
    <t>honored one</t>
  </si>
  <si>
    <t>Gord</t>
  </si>
  <si>
    <t>Helcurt</t>
  </si>
  <si>
    <t>Terizla</t>
  </si>
  <si>
    <t>Avilio.</t>
  </si>
  <si>
    <t>Solitude</t>
  </si>
  <si>
    <t>Bober</t>
  </si>
  <si>
    <t>Valentina</t>
  </si>
  <si>
    <t>gxn1us</t>
  </si>
  <si>
    <t>Benedetta</t>
  </si>
  <si>
    <t>Marbon</t>
  </si>
  <si>
    <t>zaur egoist</t>
  </si>
  <si>
    <t>Akai</t>
  </si>
  <si>
    <t>Shiba.</t>
  </si>
  <si>
    <t>Esmeralda</t>
  </si>
  <si>
    <t>Klansy</t>
  </si>
  <si>
    <t>Hylos</t>
  </si>
  <si>
    <t>Alice</t>
  </si>
  <si>
    <t>Ruby</t>
  </si>
  <si>
    <t>Hadess</t>
  </si>
  <si>
    <t>BadKot</t>
  </si>
  <si>
    <t>Mashiro</t>
  </si>
  <si>
    <t>SunsetLover</t>
  </si>
  <si>
    <t>Arlott</t>
  </si>
  <si>
    <t>Kalea</t>
  </si>
  <si>
    <t>Wojak</t>
  </si>
  <si>
    <t>Wanwan</t>
  </si>
  <si>
    <t>戏Riddle</t>
  </si>
  <si>
    <t>Sora</t>
  </si>
  <si>
    <t>Yu Zhong</t>
  </si>
  <si>
    <t>Granger</t>
  </si>
  <si>
    <t>Kaja</t>
  </si>
  <si>
    <t>Claude</t>
  </si>
  <si>
    <t>Reaper</t>
  </si>
  <si>
    <t>Selena</t>
  </si>
  <si>
    <t>Bruno</t>
  </si>
  <si>
    <t>Fangor</t>
  </si>
  <si>
    <t>Belerick</t>
  </si>
  <si>
    <t>Loveeeely</t>
  </si>
  <si>
    <t>Karrie</t>
  </si>
  <si>
    <t>Valir</t>
  </si>
  <si>
    <t>Hiko</t>
  </si>
  <si>
    <t>Zetian</t>
  </si>
  <si>
    <t>Bеrt</t>
  </si>
  <si>
    <t>Khaleed</t>
  </si>
  <si>
    <t>DiZzer</t>
  </si>
  <si>
    <t>Lapu-Lapu</t>
  </si>
  <si>
    <t>X.Borg</t>
  </si>
  <si>
    <t>superegorka</t>
  </si>
  <si>
    <t>Troublemaker</t>
  </si>
  <si>
    <t>Chou</t>
  </si>
  <si>
    <t>Grock</t>
  </si>
  <si>
    <t>SAWO</t>
  </si>
  <si>
    <t>Mathilda</t>
  </si>
  <si>
    <t>Badang</t>
  </si>
  <si>
    <t>Suyou</t>
  </si>
  <si>
    <t>Moskov</t>
  </si>
  <si>
    <t>Odette</t>
  </si>
  <si>
    <t>Nolan</t>
  </si>
  <si>
    <t>Pharsa</t>
  </si>
  <si>
    <t>Kimmy</t>
  </si>
  <si>
    <t>Luo Yi</t>
  </si>
  <si>
    <t>Cecilion</t>
  </si>
  <si>
    <t>Uranus</t>
  </si>
  <si>
    <t>Carmilla</t>
  </si>
  <si>
    <t>Chip</t>
  </si>
  <si>
    <t>Yi Sun-Shin</t>
  </si>
  <si>
    <t>Fredrinn</t>
  </si>
  <si>
    <t>Balmond</t>
  </si>
  <si>
    <t>Clint</t>
  </si>
  <si>
    <t>Saber</t>
  </si>
  <si>
    <t>Hanzo</t>
  </si>
  <si>
    <t>BUBLIKKK X ROAM</t>
  </si>
  <si>
    <t>Gatotkaca</t>
  </si>
  <si>
    <t>alimm no9</t>
  </si>
  <si>
    <t>Vermishelius</t>
  </si>
  <si>
    <t>Reverend Dead</t>
  </si>
  <si>
    <t>Twizy</t>
  </si>
  <si>
    <t>cпокойствие</t>
  </si>
  <si>
    <t xml:space="preserve">Entropic </t>
  </si>
  <si>
    <t>Kidd吸われた</t>
  </si>
  <si>
    <t>Summer</t>
  </si>
  <si>
    <t>Kang Lim</t>
  </si>
  <si>
    <t>NeoNook</t>
  </si>
  <si>
    <t>bloha poleteli.</t>
  </si>
  <si>
    <t>prime'antonchigurh</t>
  </si>
  <si>
    <t>Baratrum</t>
  </si>
  <si>
    <t>Lancelot</t>
  </si>
  <si>
    <t>Judas.</t>
  </si>
  <si>
    <t>Khufra</t>
  </si>
  <si>
    <t>Juno.</t>
  </si>
  <si>
    <t>Aurora</t>
  </si>
  <si>
    <t>NEIL</t>
  </si>
  <si>
    <t>Kagura</t>
  </si>
  <si>
    <t>Lylia</t>
  </si>
  <si>
    <t>Viper</t>
  </si>
  <si>
    <t>Neks.</t>
  </si>
  <si>
    <t>Inneskite</t>
  </si>
  <si>
    <t>Vexana</t>
  </si>
  <si>
    <t>Omnix</t>
  </si>
  <si>
    <t>Lunox</t>
  </si>
  <si>
    <t>Martis</t>
  </si>
  <si>
    <t>Irithel</t>
  </si>
  <si>
    <t>versoCastle</t>
  </si>
  <si>
    <t>versoAFK</t>
  </si>
  <si>
    <t>versoYustinian</t>
  </si>
  <si>
    <t>Kadita</t>
  </si>
  <si>
    <t>versoMarch</t>
  </si>
  <si>
    <t>Eudora</t>
  </si>
  <si>
    <t>versoKodjikk</t>
  </si>
  <si>
    <t>Players  Team 1</t>
  </si>
  <si>
    <t>Faramis</t>
  </si>
  <si>
    <t>Ligyshka</t>
  </si>
  <si>
    <t>Solist</t>
  </si>
  <si>
    <t>MatadQr</t>
  </si>
  <si>
    <t>VillainTzy</t>
  </si>
  <si>
    <t>FIRSTAAAB</t>
  </si>
  <si>
    <t>ilovee</t>
  </si>
  <si>
    <t>Neyronoff</t>
  </si>
  <si>
    <t>KOKUSHIBO</t>
  </si>
  <si>
    <t>Estes</t>
  </si>
  <si>
    <t>Rafaela</t>
  </si>
  <si>
    <t>keks</t>
  </si>
  <si>
    <t>shvedskii</t>
  </si>
  <si>
    <t>Floryn</t>
  </si>
  <si>
    <t>Cici</t>
  </si>
  <si>
    <t>Angela</t>
  </si>
  <si>
    <t>Aura Farmers</t>
  </si>
  <si>
    <t>INSAAANE</t>
  </si>
  <si>
    <t>Pikachu</t>
  </si>
  <si>
    <t>Kulik</t>
  </si>
  <si>
    <t>Effect.</t>
  </si>
  <si>
    <t>Dzhuki</t>
  </si>
  <si>
    <t>yuurikoshik.</t>
  </si>
  <si>
    <t>MKIRI!</t>
  </si>
  <si>
    <t>Yoza</t>
  </si>
  <si>
    <t>Begemotik</t>
  </si>
  <si>
    <t>Bimoo</t>
  </si>
  <si>
    <t>Beatrix</t>
  </si>
  <si>
    <t>Alpha</t>
  </si>
  <si>
    <t>Hanabi</t>
  </si>
  <si>
    <t>Ling</t>
  </si>
  <si>
    <t>Teams | CQ + Playoffs</t>
  </si>
  <si>
    <t>Captain</t>
  </si>
  <si>
    <t>Role</t>
  </si>
  <si>
    <t>Nickname</t>
  </si>
  <si>
    <t>Pronounce</t>
  </si>
  <si>
    <t>Mid</t>
  </si>
  <si>
    <t>сАнсет лАвер</t>
  </si>
  <si>
    <t>Gold</t>
  </si>
  <si>
    <t>мАрч</t>
  </si>
  <si>
    <t>сУперегОрка</t>
  </si>
  <si>
    <t>Player</t>
  </si>
  <si>
    <t>Roam</t>
  </si>
  <si>
    <t>сАво</t>
  </si>
  <si>
    <t>АфЭкА</t>
  </si>
  <si>
    <t>Nagib</t>
  </si>
  <si>
    <t>нагИб</t>
  </si>
  <si>
    <t>Exp</t>
  </si>
  <si>
    <t>кИд бОмба</t>
  </si>
  <si>
    <t>кАсл</t>
  </si>
  <si>
    <t>бЭдкот</t>
  </si>
  <si>
    <t>Jungler</t>
  </si>
  <si>
    <t>заУр эгоИст</t>
  </si>
  <si>
    <t>Юстиниан</t>
  </si>
  <si>
    <t>мАрл</t>
  </si>
  <si>
    <t>хИко</t>
  </si>
  <si>
    <t>кОджик</t>
  </si>
  <si>
    <t>бобЁр</t>
  </si>
  <si>
    <t>Substitute</t>
  </si>
  <si>
    <t>Multirole</t>
  </si>
  <si>
    <t>HarmonySoul</t>
  </si>
  <si>
    <t>хАрмони сОул</t>
  </si>
  <si>
    <t>versoNovel</t>
  </si>
  <si>
    <t>новЕл</t>
  </si>
  <si>
    <t>фангОр</t>
  </si>
  <si>
    <t>Coldstar</t>
  </si>
  <si>
    <t>колдстАр</t>
  </si>
  <si>
    <t>Kerrigan</t>
  </si>
  <si>
    <t>кЕрриган</t>
  </si>
  <si>
    <t>Coach</t>
  </si>
  <si>
    <t>Ooops</t>
  </si>
  <si>
    <t>Упс</t>
  </si>
  <si>
    <t>Ospreay</t>
  </si>
  <si>
    <t>оспрЕй</t>
  </si>
  <si>
    <t>flysolo</t>
  </si>
  <si>
    <t>флАйсОло</t>
  </si>
  <si>
    <t>Manager</t>
  </si>
  <si>
    <t>euphoria</t>
  </si>
  <si>
    <t>эйфорИя</t>
  </si>
  <si>
    <t>Parma</t>
  </si>
  <si>
    <t>пАрма</t>
  </si>
  <si>
    <t>дОнт</t>
  </si>
  <si>
    <t>Маньяк</t>
  </si>
  <si>
    <t>сУпер ЙОши</t>
  </si>
  <si>
    <t>лАвли</t>
  </si>
  <si>
    <t>рЕпа</t>
  </si>
  <si>
    <t>хЕйдэс/хЕйдис</t>
  </si>
  <si>
    <t>мАширо</t>
  </si>
  <si>
    <t>шОуми</t>
  </si>
  <si>
    <t>птЕнчик</t>
  </si>
  <si>
    <t>трАблмЕйкер</t>
  </si>
  <si>
    <t>Авилио</t>
  </si>
  <si>
    <t>солитьЮд</t>
  </si>
  <si>
    <t>гЕниус</t>
  </si>
  <si>
    <t>рИпер</t>
  </si>
  <si>
    <t>марбОн</t>
  </si>
  <si>
    <t>EvilKing</t>
  </si>
  <si>
    <t>Эвил-кИнг</t>
  </si>
  <si>
    <t>Yui'</t>
  </si>
  <si>
    <t>Юи</t>
  </si>
  <si>
    <t>Q1let</t>
  </si>
  <si>
    <t>килЕт</t>
  </si>
  <si>
    <t>Badgalseph</t>
  </si>
  <si>
    <t>Coach Cody</t>
  </si>
  <si>
    <t>кОди</t>
  </si>
  <si>
    <t>Filip_Filipsov</t>
  </si>
  <si>
    <t>Филип Филипсов</t>
  </si>
  <si>
    <t>KinDer</t>
  </si>
  <si>
    <t>кИндер</t>
  </si>
  <si>
    <t>Zefirka</t>
  </si>
  <si>
    <t>зефИрка</t>
  </si>
  <si>
    <t>айлАв</t>
  </si>
  <si>
    <t>нЭйл</t>
  </si>
  <si>
    <t>хАмстер</t>
  </si>
  <si>
    <t>солИст</t>
  </si>
  <si>
    <t>сАмэр</t>
  </si>
  <si>
    <t>дАрл</t>
  </si>
  <si>
    <t>кокушИбо</t>
  </si>
  <si>
    <t>инэскАйт</t>
  </si>
  <si>
    <t>Шиба</t>
  </si>
  <si>
    <t>shelianer</t>
  </si>
  <si>
    <t>шелианЕр</t>
  </si>
  <si>
    <t>баратрУм</t>
  </si>
  <si>
    <t>вожАк</t>
  </si>
  <si>
    <t>швЕдский</t>
  </si>
  <si>
    <t>твИзи</t>
  </si>
  <si>
    <t>бЕрт</t>
  </si>
  <si>
    <t>Zwihsk</t>
  </si>
  <si>
    <t>звИск</t>
  </si>
  <si>
    <t>вилАйн</t>
  </si>
  <si>
    <t>denaliens</t>
  </si>
  <si>
    <t>денАлиенс</t>
  </si>
  <si>
    <t>Deus</t>
  </si>
  <si>
    <t>дЭус</t>
  </si>
  <si>
    <t>Rikki Tikki Tavi</t>
  </si>
  <si>
    <t>Рики</t>
  </si>
  <si>
    <t>Yago</t>
  </si>
  <si>
    <t>ягО</t>
  </si>
  <si>
    <t>Gulliver</t>
  </si>
  <si>
    <t>гуливЕр</t>
  </si>
  <si>
    <t>бУблик х роУм</t>
  </si>
  <si>
    <t>лягУшка</t>
  </si>
  <si>
    <t>инсЕйн</t>
  </si>
  <si>
    <t>спокойствие</t>
  </si>
  <si>
    <t>матадОр</t>
  </si>
  <si>
    <t>кулик</t>
  </si>
  <si>
    <t>Канг Лим</t>
  </si>
  <si>
    <t>фёрстАб</t>
  </si>
  <si>
    <t>джУки</t>
  </si>
  <si>
    <t>izma•Eliminated.</t>
  </si>
  <si>
    <t>Измайлов</t>
  </si>
  <si>
    <t>нейрОнов</t>
  </si>
  <si>
    <t>мкИри</t>
  </si>
  <si>
    <t>вермишЕлиус</t>
  </si>
  <si>
    <t>кЕкс</t>
  </si>
  <si>
    <t>бИмо</t>
  </si>
  <si>
    <t>блоха полетели</t>
  </si>
  <si>
    <t>Flash</t>
  </si>
  <si>
    <t>флеш</t>
  </si>
  <si>
    <t>Lil</t>
  </si>
  <si>
    <t>лИл</t>
  </si>
  <si>
    <t>поварежка.</t>
  </si>
  <si>
    <t>поварёжка</t>
  </si>
  <si>
    <t>Йоза</t>
  </si>
  <si>
    <t>джУно</t>
  </si>
  <si>
    <t>Энтропик</t>
  </si>
  <si>
    <t>Эффект</t>
  </si>
  <si>
    <t>Прайм антон чигурчик</t>
  </si>
  <si>
    <t>Алим</t>
  </si>
  <si>
    <t>юрикошик</t>
  </si>
  <si>
    <t>Некс</t>
  </si>
  <si>
    <t>Shisu1)</t>
  </si>
  <si>
    <t>Шисуи, Шисуйский</t>
  </si>
  <si>
    <t>Бегемотик</t>
  </si>
  <si>
    <t>дэд</t>
  </si>
  <si>
    <t>Неонук</t>
  </si>
  <si>
    <t>Пикачу</t>
  </si>
  <si>
    <t>кид</t>
  </si>
  <si>
    <t>Вайпер</t>
  </si>
  <si>
    <t>Well</t>
  </si>
  <si>
    <t>Велл</t>
  </si>
  <si>
    <t>Exodus.</t>
  </si>
  <si>
    <t>эксОдус</t>
  </si>
  <si>
    <t>Nikels.</t>
  </si>
  <si>
    <t>нИкельс</t>
  </si>
  <si>
    <t>ДжУдас</t>
  </si>
  <si>
    <t>Dior</t>
  </si>
  <si>
    <t>Диор</t>
  </si>
  <si>
    <t>PhilyHaduken</t>
  </si>
  <si>
    <t>филИхадУкен</t>
  </si>
  <si>
    <t>Parsi.</t>
  </si>
  <si>
    <t>ПАрси</t>
  </si>
  <si>
    <t>Laksmi</t>
  </si>
  <si>
    <t>Лаксми</t>
  </si>
  <si>
    <t>ʀᴀᴋsʜᴀsɪ</t>
  </si>
  <si>
    <t>Ракшаси | Ракша</t>
  </si>
  <si>
    <t>Кьюко (Куко)</t>
  </si>
  <si>
    <t>Хоноред уан</t>
  </si>
  <si>
    <t>Клэнси</t>
  </si>
  <si>
    <t>Дизер</t>
  </si>
  <si>
    <t>Риддл</t>
  </si>
  <si>
    <t>S∆M</t>
  </si>
  <si>
    <t>Сем</t>
  </si>
  <si>
    <t>LANENXS</t>
  </si>
  <si>
    <t>Ланэнкс</t>
  </si>
  <si>
    <t>Team №</t>
  </si>
  <si>
    <t>Round 1</t>
  </si>
  <si>
    <t>Round 2</t>
  </si>
  <si>
    <t>Magic</t>
  </si>
  <si>
    <t>Match 29</t>
  </si>
  <si>
    <t>Team Spirit</t>
  </si>
  <si>
    <t>Match 30</t>
  </si>
  <si>
    <t>Match 31</t>
  </si>
  <si>
    <t>Match 32</t>
  </si>
  <si>
    <t>Verso Time</t>
  </si>
  <si>
    <t>Match 33</t>
  </si>
  <si>
    <t>Match 34</t>
  </si>
  <si>
    <t>Match 35</t>
  </si>
  <si>
    <t>Progression</t>
  </si>
  <si>
    <t>Match 36</t>
  </si>
  <si>
    <t>To final stage</t>
  </si>
  <si>
    <t>Match 11 of CQ</t>
  </si>
  <si>
    <t>Match 37</t>
  </si>
  <si>
    <t>Match 12 of CQ</t>
  </si>
  <si>
    <t>Match 38</t>
  </si>
  <si>
    <t>Match 5 of CQ</t>
  </si>
  <si>
    <t>Match 39</t>
  </si>
  <si>
    <t>Match 6 of CQ</t>
  </si>
  <si>
    <t>Match 40</t>
  </si>
  <si>
    <t>Match 7 of CQ</t>
  </si>
  <si>
    <t>Match 8 of CQ</t>
  </si>
  <si>
    <t>Match 41</t>
  </si>
  <si>
    <t>Match 42</t>
  </si>
  <si>
    <t>Match 43</t>
  </si>
  <si>
    <t>Match 44</t>
  </si>
  <si>
    <t>Match 45</t>
  </si>
  <si>
    <t>Match 18</t>
  </si>
  <si>
    <t>Match 46</t>
  </si>
  <si>
    <t>Match 19</t>
  </si>
  <si>
    <t>Match 47</t>
  </si>
  <si>
    <t>Match 20</t>
  </si>
  <si>
    <t>Match 48</t>
  </si>
  <si>
    <t>Match 21</t>
  </si>
  <si>
    <t>Match 49</t>
  </si>
  <si>
    <t>Match 22</t>
  </si>
  <si>
    <t>Match 50</t>
  </si>
  <si>
    <t>Match 23</t>
  </si>
  <si>
    <t>Match 51</t>
  </si>
  <si>
    <t>Match 24</t>
  </si>
  <si>
    <t>Match 52</t>
  </si>
  <si>
    <t>Match 25</t>
  </si>
  <si>
    <t>Match 53</t>
  </si>
  <si>
    <t>Match 26</t>
  </si>
  <si>
    <t>Match 54</t>
  </si>
  <si>
    <t>Match 27</t>
  </si>
  <si>
    <t>Match 55</t>
  </si>
  <si>
    <t>Match 28</t>
  </si>
  <si>
    <t>Match 56</t>
  </si>
  <si>
    <t>Matches | 1 Division</t>
  </si>
  <si>
    <t>Current Place</t>
  </si>
  <si>
    <t>Total score</t>
  </si>
  <si>
    <t>Totat Matches</t>
  </si>
  <si>
    <t>Match winner 2:0</t>
  </si>
  <si>
    <t>Match winner 2:1</t>
  </si>
  <si>
    <t>Match loser 1:2</t>
  </si>
  <si>
    <t>Match loser 0:2</t>
  </si>
  <si>
    <t>Maps won</t>
  </si>
  <si>
    <t>Maps lose</t>
  </si>
  <si>
    <t>Maps Diff</t>
  </si>
  <si>
    <t>Gorkiy</t>
  </si>
  <si>
    <t>Bert</t>
  </si>
  <si>
    <t>Rienzy</t>
  </si>
  <si>
    <t>Brody</t>
  </si>
  <si>
    <t>yuurikoshik</t>
  </si>
  <si>
    <t>Minotaur</t>
  </si>
  <si>
    <t>All matches are BO3</t>
  </si>
  <si>
    <t>Round</t>
  </si>
  <si>
    <t>Score Team 1</t>
  </si>
  <si>
    <t>Score Team 2</t>
  </si>
  <si>
    <t>Dyrroth</t>
  </si>
  <si>
    <t>Chang'e</t>
  </si>
  <si>
    <t>Lesley</t>
  </si>
  <si>
    <t>Barats</t>
  </si>
  <si>
    <t>Novaria</t>
  </si>
  <si>
    <t>Joy</t>
  </si>
  <si>
    <t>Obsidia</t>
  </si>
  <si>
    <t>Hayabusa</t>
  </si>
  <si>
    <t>Masha</t>
  </si>
  <si>
    <t>Miya</t>
  </si>
  <si>
    <t>Tigreal</t>
  </si>
  <si>
    <t>Xavier</t>
  </si>
  <si>
    <t>Roger</t>
  </si>
  <si>
    <t>гОрький</t>
  </si>
  <si>
    <t>Analyst / Assistant Coach</t>
  </si>
  <si>
    <t>ВилАйн</t>
  </si>
  <si>
    <t>orb1t</t>
  </si>
  <si>
    <t>Орбит</t>
  </si>
  <si>
    <t>Schedule  | 2 Division</t>
  </si>
  <si>
    <t>HARD GRIND</t>
  </si>
  <si>
    <t>The Soulless Team</t>
  </si>
  <si>
    <t>TSA White</t>
  </si>
  <si>
    <t>Aterion Esports</t>
  </si>
  <si>
    <t>INVISION</t>
  </si>
  <si>
    <t>Dark Phoenix</t>
  </si>
  <si>
    <t>Suplex team</t>
  </si>
  <si>
    <t>Match 1 of CQ</t>
  </si>
  <si>
    <t>Match 2 of CQ</t>
  </si>
  <si>
    <t>Match 3 of CQ</t>
  </si>
  <si>
    <t>Match 4 of CQ</t>
  </si>
  <si>
    <t>Matches | 2 Division</t>
  </si>
  <si>
    <t>Total Matches</t>
  </si>
  <si>
    <t>LiBai?</t>
  </si>
  <si>
    <t>Entropic</t>
  </si>
  <si>
    <t>Neksml</t>
  </si>
  <si>
    <t>kuroro lv you</t>
  </si>
  <si>
    <t>adrenaline</t>
  </si>
  <si>
    <t>innokent</t>
  </si>
  <si>
    <t>Taurus Silver</t>
  </si>
  <si>
    <t>KEKS</t>
  </si>
  <si>
    <t>Wammu</t>
  </si>
  <si>
    <t>Nikels</t>
  </si>
  <si>
    <t>Daine</t>
  </si>
  <si>
    <t>Баратрум"</t>
  </si>
  <si>
    <t>mmr tourist</t>
  </si>
  <si>
    <t>skaffi akrobat</t>
  </si>
  <si>
    <t>Flasher.</t>
  </si>
  <si>
    <t>Gray Foxcx</t>
  </si>
  <si>
    <t>Broken.</t>
  </si>
  <si>
    <t>Whoopty</t>
  </si>
  <si>
    <t>Silencer</t>
  </si>
  <si>
    <t>RAAKUNCHIK.</t>
  </si>
  <si>
    <t>kuroro lvl.999</t>
  </si>
  <si>
    <t>Johnson</t>
  </si>
  <si>
    <t>Дайне</t>
  </si>
  <si>
    <t xml:space="preserve"> Измайлов</t>
  </si>
  <si>
    <t>флЭшер</t>
  </si>
  <si>
    <t>скАффи</t>
  </si>
  <si>
    <t>Ракунчик</t>
  </si>
  <si>
    <t>САйленсер</t>
  </si>
  <si>
    <t>джУдас.</t>
  </si>
  <si>
    <t>Нейронов</t>
  </si>
  <si>
    <t>Devin</t>
  </si>
  <si>
    <t>дЭвин</t>
  </si>
  <si>
    <t>Dalyot</t>
  </si>
  <si>
    <t>Делиот</t>
  </si>
  <si>
    <t>1 Round</t>
  </si>
  <si>
    <t>2 Round</t>
  </si>
  <si>
    <t>Green Hustle</t>
  </si>
  <si>
    <t>DISTANCE</t>
  </si>
  <si>
    <t>Команда 1</t>
  </si>
  <si>
    <t>Время</t>
  </si>
  <si>
    <t>Команда 2</t>
  </si>
  <si>
    <t>Матч</t>
  </si>
  <si>
    <t>ALFA</t>
  </si>
  <si>
    <t>Hoax</t>
  </si>
  <si>
    <t>QW0TROBERY</t>
  </si>
  <si>
    <t>VIOLENCE</t>
  </si>
  <si>
    <t>ICM</t>
  </si>
  <si>
    <t>PARADOX</t>
  </si>
  <si>
    <t>Promotion A</t>
  </si>
  <si>
    <t>-</t>
  </si>
  <si>
    <t>Promotion B</t>
  </si>
  <si>
    <t>3 Division</t>
  </si>
  <si>
    <t>Match results | 2 Division</t>
  </si>
  <si>
    <t>Matches won</t>
  </si>
  <si>
    <t>Matches lost</t>
  </si>
  <si>
    <t>Won battles</t>
  </si>
  <si>
    <t>Battles lost</t>
  </si>
  <si>
    <t>Battles difference</t>
  </si>
  <si>
    <t>Side team 1</t>
  </si>
  <si>
    <t>Side team 2</t>
  </si>
  <si>
    <t>All matches are BO7</t>
  </si>
  <si>
    <t>Battles Team 1</t>
  </si>
  <si>
    <t>Battles Team 2</t>
  </si>
  <si>
    <t>Match winner</t>
  </si>
  <si>
    <t>Match loser</t>
  </si>
  <si>
    <t>WhoCares?</t>
  </si>
  <si>
    <t>Matches | 3 Division</t>
  </si>
  <si>
    <t>RISE</t>
  </si>
  <si>
    <t>BOGATYRI</t>
  </si>
  <si>
    <t>КОРМ 2</t>
  </si>
  <si>
    <t>ALTF4</t>
  </si>
  <si>
    <t>DEACUERDO</t>
  </si>
  <si>
    <t>HEAX</t>
  </si>
  <si>
    <t>ACHIEVERS</t>
  </si>
  <si>
    <t>SAPPIAMO</t>
  </si>
  <si>
    <t xml:space="preserve">Eliminated </t>
  </si>
  <si>
    <t>Match results | 3 Division</t>
  </si>
  <si>
    <t>Ban Heroes</t>
  </si>
  <si>
    <t>Pick Heroes</t>
  </si>
  <si>
    <t>Aamon</t>
  </si>
  <si>
    <t>Aldous</t>
  </si>
  <si>
    <t>Alucard</t>
  </si>
  <si>
    <t>Argus</t>
  </si>
  <si>
    <t>Bane</t>
  </si>
  <si>
    <t>Cyclops</t>
  </si>
  <si>
    <t>Diggie</t>
  </si>
  <si>
    <t>Edith</t>
  </si>
  <si>
    <t>Franco</t>
  </si>
  <si>
    <t>Ixia</t>
  </si>
  <si>
    <t>Jawhead</t>
  </si>
  <si>
    <t>Julian</t>
  </si>
  <si>
    <t>Karina</t>
  </si>
  <si>
    <t>Layla</t>
  </si>
  <si>
    <t>Lolita</t>
  </si>
  <si>
    <t>Lukas</t>
  </si>
  <si>
    <t>Melissa</t>
  </si>
  <si>
    <t>Minsitthar</t>
  </si>
  <si>
    <t>Nana</t>
  </si>
  <si>
    <t>Natalia</t>
  </si>
  <si>
    <t>Natan</t>
  </si>
  <si>
    <t>Popol and Kupa</t>
  </si>
  <si>
    <t>Silvanna</t>
  </si>
  <si>
    <t>Sun</t>
  </si>
  <si>
    <t>Thamuz</t>
  </si>
  <si>
    <t>Vale</t>
  </si>
  <si>
    <t>Yin</t>
  </si>
  <si>
    <t>Zhask</t>
  </si>
  <si>
    <t>Zilong</t>
  </si>
  <si>
    <t>Игрок</t>
  </si>
  <si>
    <t>Дата</t>
  </si>
  <si>
    <t>Причина</t>
  </si>
  <si>
    <t>Санкция</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</si>
</sst>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quot;руб.&quot;"/>
    <numFmt numFmtId="165" formatCode="#,##0.00[$ руб.]"/>
    <numFmt numFmtId="166" formatCode="#,##0[$ ₽]"/>
    <numFmt numFmtId="167" formatCode="#,##0.00[$ ₽]"/>
    <numFmt numFmtId="168" formatCode="d mmmm"/>
    <numFmt numFmtId="169" formatCode="#,##0.00[$ RUB]"/>
    <numFmt numFmtId="170" formatCode="m-d"/>
    <numFmt numFmtId="171" formatCode="dd.mm.yyyy"/>
  </numFmts>
  <fonts count="39">
    <font>
      <sz val="10.0"/>
      <color rgb="FF000000"/>
      <name val="Verdana"/>
      <scheme val="minor"/>
    </font>
    <font>
      <color theme="1"/>
      <name val="Verdana"/>
      <scheme val="minor"/>
    </font>
    <font>
      <b/>
      <color theme="1"/>
      <name val="Verdana"/>
      <scheme val="minor"/>
    </font>
    <font/>
    <font>
      <u/>
      <color rgb="FF0000FF"/>
    </font>
    <font>
      <color theme="1"/>
      <name val="Arial"/>
    </font>
    <font>
      <u/>
      <color rgb="FF0000FF"/>
      <name val="Arial"/>
    </font>
    <font>
      <u/>
      <color rgb="FF0000FF"/>
    </font>
    <font>
      <u/>
      <color rgb="FF0000FF"/>
    </font>
    <font>
      <u/>
      <color rgb="FF0000FF"/>
      <name val="Arial"/>
    </font>
    <font>
      <u/>
      <color rgb="FF1155CC"/>
      <name val="Arial"/>
    </font>
    <font>
      <u/>
      <color rgb="FF1155CC"/>
      <name val="Arial"/>
    </font>
    <font>
      <u/>
      <color rgb="FF1155CC"/>
      <name val="Arial"/>
    </font>
    <font>
      <b/>
      <color theme="1"/>
      <name val="Arial"/>
    </font>
    <font>
      <name val="Arial"/>
    </font>
    <font>
      <b/>
      <sz val="11.0"/>
      <color theme="1"/>
      <name val="Arial"/>
    </font>
    <font>
      <u/>
      <color rgb="FF0000FF"/>
      <name val="Arial"/>
    </font>
    <font>
      <b/>
      <sz val="11.0"/>
      <color rgb="FF000000"/>
      <name val="Arial"/>
    </font>
    <font>
      <b/>
      <sz val="10.0"/>
      <color theme="1"/>
      <name val="Arial"/>
    </font>
    <font>
      <sz val="10.0"/>
      <color theme="1"/>
      <name val="Arial"/>
    </font>
    <font>
      <sz val="10.0"/>
      <name val="Arial"/>
    </font>
    <font>
      <color theme="1"/>
      <name val="Serif"/>
    </font>
    <font>
      <b/>
      <color rgb="FFFFFFFF"/>
      <name val="Verdana"/>
      <scheme val="minor"/>
    </font>
    <font>
      <b/>
      <sz val="12.0"/>
      <color theme="1"/>
      <name val="Arial"/>
    </font>
    <font>
      <sz val="12.0"/>
      <color theme="1"/>
      <name val="Arial"/>
    </font>
    <font>
      <b/>
      <sz val="10.0"/>
      <color rgb="FF1A1A1A"/>
      <name val="Arial"/>
    </font>
    <font>
      <sz val="11.0"/>
      <color theme="1"/>
      <name val="Arial"/>
    </font>
    <font>
      <b/>
      <u/>
      <sz val="10.0"/>
      <color theme="1"/>
      <name val="Arial"/>
    </font>
    <font>
      <b/>
      <u/>
      <sz val="10.0"/>
      <color theme="1"/>
      <name val="Arial"/>
    </font>
    <font>
      <b/>
      <color rgb="FF000000"/>
      <name val="Arial"/>
    </font>
    <font>
      <color rgb="FF000000"/>
      <name val="Arial"/>
    </font>
    <font>
      <b/>
      <sz val="11.0"/>
      <color theme="1"/>
      <name val="Verdana"/>
      <scheme val="minor"/>
    </font>
    <font>
      <color theme="1"/>
      <name val="Verdana"/>
    </font>
    <font>
      <b/>
      <sz val="10.0"/>
      <color rgb="FF000000"/>
      <name val="Arial"/>
    </font>
    <font>
      <b/>
      <u/>
      <sz val="10.0"/>
      <color theme="1"/>
      <name val="Arial"/>
    </font>
    <font>
      <sz val="10.0"/>
      <color rgb="FF000000"/>
      <name val="Arial"/>
    </font>
    <font>
      <color rgb="FF000000"/>
      <name val="-apple-system"/>
    </font>
    <font>
      <b/>
      <sz val="12.0"/>
      <color theme="1"/>
      <name val="Verdana"/>
      <scheme val="minor"/>
    </font>
    <font>
      <b/>
      <sz val="12.0"/>
      <color rgb="FF000000"/>
      <name val="Arial"/>
    </font>
  </fonts>
  <fills count="13">
    <fill>
      <patternFill patternType="none"/>
    </fill>
    <fill>
      <patternFill patternType="lightGray"/>
    </fill>
    <fill>
      <patternFill patternType="solid">
        <fgColor rgb="FFEFEFEF"/>
        <bgColor rgb="FFEFEFEF"/>
      </patternFill>
    </fill>
    <fill>
      <patternFill patternType="solid">
        <fgColor rgb="FFC9DAF8"/>
        <bgColor rgb="FFC9DAF8"/>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
      <patternFill patternType="solid">
        <fgColor rgb="FFFFD966"/>
        <bgColor rgb="FFFFD966"/>
      </patternFill>
    </fill>
    <fill>
      <patternFill patternType="solid">
        <fgColor rgb="FFFCE5CD"/>
        <bgColor rgb="FFFCE5CD"/>
      </patternFill>
    </fill>
    <fill>
      <patternFill patternType="solid">
        <fgColor rgb="FF00FF00"/>
        <bgColor rgb="FF00FF00"/>
      </patternFill>
    </fill>
    <fill>
      <patternFill patternType="solid">
        <fgColor rgb="FFFFF2CC"/>
        <bgColor rgb="FFFFF2CC"/>
      </patternFill>
    </fill>
    <fill>
      <patternFill patternType="solid">
        <fgColor rgb="FF000000"/>
        <bgColor rgb="FF000000"/>
      </patternFill>
    </fill>
    <fill>
      <patternFill patternType="solid">
        <fgColor rgb="FFEAD1DC"/>
        <bgColor rgb="FFEAD1DC"/>
      </patternFill>
    </fill>
  </fills>
  <borders count="90">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right style="medium">
        <color rgb="FF000000"/>
      </right>
    </border>
    <border>
      <left style="medium">
        <color rgb="FF000000"/>
      </left>
      <bottom style="medium">
        <color rgb="FF000000"/>
      </bottom>
    </border>
    <border>
      <right style="medium">
        <color rgb="FF000000"/>
      </right>
      <bottom style="medium">
        <color rgb="FF000000"/>
      </bottom>
    </border>
    <border>
      <bottom style="medium">
        <color rgb="FF000000"/>
      </bottom>
    </border>
    <border>
      <left style="medium">
        <color rgb="FF000000"/>
      </left>
      <right style="medium">
        <color rgb="FF000000"/>
      </right>
      <top style="medium">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bottom style="thin">
        <color rgb="FF000000"/>
      </bottom>
    </border>
    <border>
      <left style="thin">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bottom style="medium">
        <color rgb="FF000000"/>
      </bottom>
    </border>
    <border>
      <left style="thin">
        <color rgb="FF000000"/>
      </left>
      <bottom style="medium">
        <color rgb="FF000000"/>
      </bottom>
    </border>
    <border>
      <left style="medium">
        <color rgb="FF000000"/>
      </left>
      <top style="dotted">
        <color rgb="FF000000"/>
      </top>
    </border>
    <border>
      <top style="dotted">
        <color rgb="FF000000"/>
      </top>
    </border>
    <border>
      <left style="medium">
        <color rgb="FF000000"/>
      </left>
      <right style="thin">
        <color rgb="FF000000"/>
      </right>
      <top style="hair">
        <color rgb="FF000000"/>
      </top>
      <bottom style="hair">
        <color rgb="FF000000"/>
      </bottom>
    </border>
    <border>
      <left style="thin">
        <color rgb="FF000000"/>
      </left>
      <right style="medium">
        <color rgb="FF000000"/>
      </right>
      <top style="hair">
        <color rgb="FF000000"/>
      </top>
      <bottom style="hair">
        <color rgb="FF000000"/>
      </bottom>
    </border>
    <border>
      <left style="dotted">
        <color rgb="FF000000"/>
      </left>
      <top style="dotted">
        <color rgb="FF000000"/>
      </top>
    </border>
    <border>
      <right style="thin">
        <color rgb="FF000000"/>
      </right>
      <top style="dotted">
        <color rgb="FF000000"/>
      </top>
    </border>
    <border>
      <left style="dotted">
        <color rgb="FF000000"/>
      </left>
    </border>
    <border>
      <right style="thin">
        <color rgb="FF000000"/>
      </right>
    </border>
    <border>
      <left style="medium">
        <color rgb="FF000000"/>
      </left>
      <right style="medium">
        <color rgb="FF000000"/>
      </right>
      <top style="hair">
        <color rgb="FF000000"/>
      </top>
      <bottom style="hair">
        <color rgb="FF000000"/>
      </bottom>
    </border>
    <border>
      <left style="dotted">
        <color rgb="FF000000"/>
      </left>
      <bottom style="medium">
        <color rgb="FF000000"/>
      </bottom>
    </border>
    <border>
      <right style="thin">
        <color rgb="FF000000"/>
      </right>
      <bottom style="medium">
        <color rgb="FF000000"/>
      </bottom>
    </border>
    <border>
      <left style="medium">
        <color rgb="FF000000"/>
      </left>
      <right style="medium">
        <color rgb="FF000000"/>
      </right>
      <bottom style="thin">
        <color rgb="FF000000"/>
      </bottom>
    </border>
    <border>
      <bottom style="thin">
        <color rgb="FF000000"/>
      </bottom>
    </border>
    <border>
      <right style="medium">
        <color rgb="FF000000"/>
      </right>
      <top style="thin">
        <color rgb="FF000000"/>
      </top>
    </border>
    <border>
      <top style="thin">
        <color rgb="FF000000"/>
      </top>
    </border>
    <border>
      <right style="thin">
        <color rgb="FF000000"/>
      </right>
      <top style="thin">
        <color rgb="FF000000"/>
      </top>
    </border>
    <border>
      <left style="medium">
        <color rgb="FF000000"/>
      </left>
      <right style="medium">
        <color rgb="FF000000"/>
      </right>
      <top style="medium">
        <color rgb="FF000000"/>
      </top>
      <bottom style="dotted">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dotted">
        <color rgb="FF000000"/>
      </bottom>
    </border>
    <border>
      <left style="thin">
        <color rgb="FF000000"/>
      </left>
      <right style="medium">
        <color rgb="FF000000"/>
      </right>
      <top style="medium">
        <color rgb="FF000000"/>
      </top>
      <bottom style="dotted">
        <color rgb="FF000000"/>
      </bottom>
    </border>
    <border>
      <left style="medium">
        <color rgb="FF000000"/>
      </left>
      <right style="medium">
        <color rgb="FF000000"/>
      </right>
      <top style="dotted">
        <color rgb="FF000000"/>
      </top>
      <bottom style="dotted">
        <color rgb="FF000000"/>
      </bottom>
    </border>
    <border>
      <left style="medium">
        <color rgb="FF000000"/>
      </left>
      <top style="dotted">
        <color rgb="FF000000"/>
      </top>
      <bottom style="dotted">
        <color rgb="FF000000"/>
      </bottom>
    </border>
    <border>
      <left style="thin">
        <color rgb="FF000000"/>
      </left>
      <right style="medium">
        <color rgb="FF000000"/>
      </right>
      <top style="dotted">
        <color rgb="FF000000"/>
      </top>
      <bottom style="dotted">
        <color rgb="FF000000"/>
      </bottom>
    </border>
    <border>
      <left style="medium">
        <color rgb="FF000000"/>
      </left>
      <right style="medium">
        <color rgb="FF000000"/>
      </right>
      <top style="dotted">
        <color rgb="FF000000"/>
      </top>
      <bottom style="medium">
        <color rgb="FF000000"/>
      </bottom>
    </border>
    <border>
      <left style="medium">
        <color rgb="FF000000"/>
      </left>
      <top style="dotted">
        <color rgb="FF000000"/>
      </top>
      <bottom style="medium">
        <color rgb="FF000000"/>
      </bottom>
    </border>
    <border>
      <left style="thin">
        <color rgb="FF000000"/>
      </left>
      <right style="medium">
        <color rgb="FF000000"/>
      </right>
      <top style="dotted">
        <color rgb="FF000000"/>
      </top>
      <bottom style="medium">
        <color rgb="FF000000"/>
      </bottom>
    </border>
    <border>
      <left style="medium">
        <color rgb="FF000000"/>
      </left>
      <right style="medium">
        <color rgb="FF000000"/>
      </right>
      <top style="thin">
        <color rgb="FF000000"/>
      </top>
    </border>
    <border>
      <left style="thin">
        <color rgb="FF000000"/>
      </left>
      <top style="medium">
        <color rgb="FF000000"/>
      </top>
    </border>
    <border>
      <left style="thin">
        <color rgb="FF000000"/>
      </left>
    </border>
    <border>
      <left style="thin">
        <color rgb="FF000000"/>
      </left>
      <right style="thin">
        <color rgb="FF000000"/>
      </right>
      <top style="medium">
        <color rgb="FF000000"/>
      </top>
      <bottom style="dotted">
        <color rgb="FF000000"/>
      </bottom>
    </border>
    <border>
      <right style="medium">
        <color rgb="FF000000"/>
      </right>
      <top style="medium">
        <color rgb="FF000000"/>
      </top>
      <bottom style="dotted">
        <color rgb="FF000000"/>
      </bottom>
    </border>
    <border>
      <left style="thin">
        <color rgb="FF000000"/>
      </left>
      <right style="thin">
        <color rgb="FF000000"/>
      </right>
      <top style="dotted">
        <color rgb="FF000000"/>
      </top>
      <bottom style="dotted">
        <color rgb="FF000000"/>
      </bottom>
    </border>
    <border>
      <right style="medium">
        <color rgb="FF000000"/>
      </right>
      <top style="dotted">
        <color rgb="FF000000"/>
      </top>
      <bottom style="dotted">
        <color rgb="FF000000"/>
      </bottom>
    </border>
    <border>
      <left style="medium">
        <color rgb="FF000000"/>
      </left>
      <right style="thin">
        <color rgb="FF000000"/>
      </right>
      <top style="dotted">
        <color rgb="FF000000"/>
      </top>
      <bottom style="dotted">
        <color rgb="FF000000"/>
      </bottom>
    </border>
    <border>
      <left style="thin">
        <color rgb="FF000000"/>
      </left>
      <right style="thin">
        <color rgb="FF000000"/>
      </right>
      <top style="dotted">
        <color rgb="FF000000"/>
      </top>
      <bottom style="medium">
        <color rgb="FF000000"/>
      </bottom>
    </border>
    <border>
      <right style="medium">
        <color rgb="FF000000"/>
      </right>
      <top style="dotted">
        <color rgb="FF000000"/>
      </top>
      <bottom style="medium">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double">
        <color rgb="FF000000"/>
      </right>
    </border>
    <border>
      <right style="thin">
        <color rgb="FF000000"/>
      </right>
      <bottom style="thin">
        <color rgb="FF000000"/>
      </bottom>
    </border>
    <border>
      <bottom style="double">
        <color rgb="FF000000"/>
      </bottom>
    </border>
    <border>
      <right style="double">
        <color rgb="FF000000"/>
      </right>
      <bottom style="double">
        <color rgb="FF000000"/>
      </bottom>
    </border>
    <border>
      <top style="double">
        <color rgb="FF000000"/>
      </top>
    </border>
    <border>
      <right style="thin">
        <color rgb="FF000000"/>
      </right>
      <top style="double">
        <color rgb="FF000000"/>
      </top>
    </border>
    <border>
      <left style="medium">
        <color rgb="FF000000"/>
      </left>
      <top style="thin">
        <color rgb="FF000000"/>
      </top>
    </border>
    <border>
      <right style="thin">
        <color rgb="FF000000"/>
      </right>
      <top style="medium">
        <color rgb="FF000000"/>
      </top>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right style="medium">
        <color rgb="FF000000"/>
      </right>
      <top style="dotted">
        <color rgb="FF000000"/>
      </top>
    </border>
    <border>
      <left style="medium">
        <color rgb="FF000000"/>
      </left>
      <bottom style="dotted">
        <color rgb="FF000000"/>
      </bottom>
    </border>
    <border>
      <bottom style="dotted">
        <color rgb="FF000000"/>
      </bottom>
    </border>
    <border>
      <right style="medium">
        <color rgb="FF000000"/>
      </right>
      <bottom style="dotted">
        <color rgb="FF000000"/>
      </bottom>
    </border>
    <border>
      <bottom style="thick">
        <color rgb="FF000000"/>
      </bottom>
    </border>
  </borders>
  <cellStyleXfs count="1">
    <xf borderId="0" fillId="0" fontId="0" numFmtId="0" applyAlignment="1" applyFont="1"/>
  </cellStyleXfs>
  <cellXfs count="986">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Font="1"/>
    <xf borderId="0" fillId="2" fontId="1" numFmtId="0" xfId="0" applyAlignment="1" applyFont="1">
      <alignment horizontal="center" vertical="center"/>
    </xf>
    <xf borderId="1" fillId="0" fontId="2" numFmtId="0" xfId="0" applyAlignment="1" applyBorder="1" applyFont="1">
      <alignment horizontal="center" readingOrder="0" vertical="center"/>
    </xf>
    <xf borderId="2" fillId="0" fontId="2" numFmtId="0" xfId="0" applyAlignment="1" applyBorder="1" applyFont="1">
      <alignment horizontal="center" readingOrder="0" vertical="center"/>
    </xf>
    <xf borderId="3" fillId="0" fontId="2" numFmtId="0" xfId="0" applyAlignment="1" applyBorder="1" applyFont="1">
      <alignment horizontal="center" readingOrder="0" vertical="center"/>
    </xf>
    <xf borderId="4" fillId="3" fontId="1" numFmtId="0" xfId="0" applyAlignment="1" applyBorder="1" applyFill="1" applyFont="1">
      <alignment horizontal="center" readingOrder="0" vertical="center"/>
    </xf>
    <xf borderId="5" fillId="0" fontId="3" numFmtId="0" xfId="0" applyBorder="1" applyFont="1"/>
    <xf borderId="6" fillId="0" fontId="4" numFmtId="0" xfId="0" applyAlignment="1" applyBorder="1" applyFont="1">
      <alignment horizontal="center" readingOrder="0" vertical="center"/>
    </xf>
    <xf borderId="7" fillId="0" fontId="2" numFmtId="0" xfId="0" applyAlignment="1" applyBorder="1" applyFont="1">
      <alignment horizontal="center" readingOrder="0" vertical="center"/>
    </xf>
    <xf borderId="8" fillId="4" fontId="2" numFmtId="0" xfId="0" applyAlignment="1" applyBorder="1" applyFill="1" applyFont="1">
      <alignment horizontal="center" readingOrder="0" vertical="center"/>
    </xf>
    <xf borderId="9" fillId="0" fontId="3" numFmtId="0" xfId="0" applyBorder="1" applyFont="1"/>
    <xf borderId="4" fillId="0" fontId="5" numFmtId="0" xfId="0" applyAlignment="1" applyBorder="1" applyFont="1">
      <alignment horizontal="center" vertical="center"/>
    </xf>
    <xf borderId="5" fillId="0" fontId="5" numFmtId="0" xfId="0" applyAlignment="1" applyBorder="1" applyFont="1">
      <alignment horizontal="center" readingOrder="0" vertical="center"/>
    </xf>
    <xf borderId="6" fillId="0" fontId="6" numFmtId="0" xfId="0" applyAlignment="1" applyBorder="1" applyFont="1">
      <alignment horizontal="center" readingOrder="0" vertical="center"/>
    </xf>
    <xf borderId="10" fillId="3" fontId="1" numFmtId="0" xfId="0" applyAlignment="1" applyBorder="1" applyFont="1">
      <alignment horizontal="center" readingOrder="0" vertical="center"/>
    </xf>
    <xf borderId="11" fillId="0" fontId="7" numFmtId="0" xfId="0" applyAlignment="1" applyBorder="1" applyFont="1">
      <alignment horizontal="center" readingOrder="0" vertical="center"/>
    </xf>
    <xf borderId="12" fillId="0" fontId="1" numFmtId="0" xfId="0" applyAlignment="1" applyBorder="1" applyFont="1">
      <alignment horizontal="center" readingOrder="0" vertical="center"/>
    </xf>
    <xf borderId="13" fillId="4" fontId="1" numFmtId="0" xfId="0" applyAlignment="1" applyBorder="1" applyFont="1">
      <alignment horizontal="center" readingOrder="0" vertical="center"/>
    </xf>
    <xf borderId="14" fillId="4" fontId="1" numFmtId="0" xfId="0" applyAlignment="1" applyBorder="1" applyFont="1">
      <alignment horizontal="center" readingOrder="0" vertical="center"/>
    </xf>
    <xf borderId="13" fillId="3" fontId="1" numFmtId="0" xfId="0" applyAlignment="1" applyBorder="1" applyFont="1">
      <alignment horizontal="center" readingOrder="0" vertical="center"/>
    </xf>
    <xf borderId="15" fillId="0" fontId="3" numFmtId="0" xfId="0" applyBorder="1" applyFont="1"/>
    <xf borderId="14" fillId="0" fontId="8" numFmtId="0" xfId="0" applyAlignment="1" applyBorder="1" applyFont="1">
      <alignment horizontal="center" readingOrder="0" vertical="center"/>
    </xf>
    <xf borderId="10" fillId="4" fontId="1" numFmtId="0" xfId="0" applyAlignment="1" applyBorder="1" applyFont="1">
      <alignment horizontal="center" readingOrder="0" vertical="center"/>
    </xf>
    <xf borderId="11" fillId="4" fontId="1" numFmtId="0" xfId="0" applyAlignment="1" applyBorder="1" applyFont="1">
      <alignment horizontal="center" readingOrder="0" vertical="center"/>
    </xf>
    <xf borderId="10"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2" fontId="1" numFmtId="0" xfId="0" applyAlignment="1" applyFont="1">
      <alignment horizontal="center" readingOrder="0" vertical="center"/>
    </xf>
    <xf borderId="10" fillId="0" fontId="5" numFmtId="0" xfId="0" applyAlignment="1" applyBorder="1" applyFont="1">
      <alignment horizontal="center" readingOrder="0" vertical="center"/>
    </xf>
    <xf borderId="0" fillId="0" fontId="5" numFmtId="0" xfId="0" applyAlignment="1" applyFont="1">
      <alignment horizontal="center" vertical="center"/>
    </xf>
    <xf borderId="11" fillId="0" fontId="9" numFmtId="0" xfId="0" applyAlignment="1" applyBorder="1" applyFont="1">
      <alignment horizontal="center" readingOrder="0" vertical="center"/>
    </xf>
    <xf borderId="4" fillId="5" fontId="1" numFmtId="0" xfId="0" applyAlignment="1" applyBorder="1" applyFill="1" applyFont="1">
      <alignment horizontal="center" readingOrder="0" vertical="center"/>
    </xf>
    <xf borderId="10" fillId="0" fontId="5" numFmtId="0" xfId="0" applyAlignment="1" applyBorder="1" applyFont="1">
      <alignment horizontal="center" vertical="center"/>
    </xf>
    <xf borderId="11" fillId="0" fontId="10" numFmtId="0" xfId="0" applyAlignment="1" applyBorder="1" applyFont="1">
      <alignment horizontal="center" shrinkToFit="0" vertical="center" wrapText="0"/>
    </xf>
    <xf borderId="10" fillId="5" fontId="1" numFmtId="0" xfId="0" applyAlignment="1" applyBorder="1" applyFont="1">
      <alignment horizontal="center" readingOrder="0" vertical="center"/>
    </xf>
    <xf borderId="5" fillId="2" fontId="1" numFmtId="0" xfId="0" applyAlignment="1" applyBorder="1" applyFont="1">
      <alignment horizontal="center" readingOrder="0" vertical="center"/>
    </xf>
    <xf borderId="11" fillId="4" fontId="1" numFmtId="0" xfId="0" applyAlignment="1" applyBorder="1" applyFont="1">
      <alignment horizontal="center" vertical="center"/>
    </xf>
    <xf borderId="13" fillId="5" fontId="1" numFmtId="0" xfId="0" applyAlignment="1" applyBorder="1" applyFont="1">
      <alignment horizontal="center" readingOrder="0" vertical="center"/>
    </xf>
    <xf borderId="10" fillId="4" fontId="1" numFmtId="0" xfId="0" applyAlignment="1" applyBorder="1" applyFont="1">
      <alignment horizontal="center" vertical="center"/>
    </xf>
    <xf borderId="13" fillId="0" fontId="5" numFmtId="0" xfId="0" applyAlignment="1" applyBorder="1" applyFont="1">
      <alignment horizontal="center" vertical="center"/>
    </xf>
    <xf borderId="15" fillId="0" fontId="5" numFmtId="0" xfId="0" applyAlignment="1" applyBorder="1" applyFont="1">
      <alignment horizontal="center" shrinkToFit="0" vertical="center" wrapText="1"/>
    </xf>
    <xf borderId="14" fillId="0" fontId="11" numFmtId="0" xfId="0" applyAlignment="1" applyBorder="1" applyFont="1">
      <alignment horizontal="center" shrinkToFit="0" vertical="center" wrapText="0"/>
    </xf>
    <xf borderId="0" fillId="2" fontId="5" numFmtId="0" xfId="0" applyAlignment="1" applyFont="1">
      <alignment horizontal="center" readingOrder="0" vertical="center"/>
    </xf>
    <xf borderId="0" fillId="2" fontId="5" numFmtId="0" xfId="0" applyAlignment="1" applyFont="1">
      <alignment horizontal="center" vertical="center"/>
    </xf>
    <xf borderId="0" fillId="2" fontId="12" numFmtId="0" xfId="0" applyAlignment="1" applyFont="1">
      <alignment horizontal="center" vertical="center"/>
    </xf>
    <xf borderId="4" fillId="6" fontId="1" numFmtId="0" xfId="0" applyAlignment="1" applyBorder="1" applyFill="1" applyFont="1">
      <alignment horizontal="center" readingOrder="0" vertical="center"/>
    </xf>
    <xf borderId="13" fillId="6" fontId="1" numFmtId="0" xfId="0" applyAlignment="1" applyBorder="1" applyFont="1">
      <alignment horizontal="center" readingOrder="0" vertical="center"/>
    </xf>
    <xf borderId="13" fillId="4" fontId="1" numFmtId="0" xfId="0" applyAlignment="1" applyBorder="1" applyFont="1">
      <alignment horizontal="center" vertical="center"/>
    </xf>
    <xf borderId="14" fillId="4" fontId="1" numFmtId="0" xfId="0" applyAlignment="1" applyBorder="1" applyFont="1">
      <alignment horizontal="center" vertical="center"/>
    </xf>
    <xf borderId="0" fillId="2" fontId="5" numFmtId="0" xfId="0" applyAlignment="1" applyFont="1">
      <alignment horizontal="center" vertical="center"/>
    </xf>
    <xf borderId="4" fillId="0" fontId="5" numFmtId="0" xfId="0" applyAlignment="1" applyBorder="1" applyFont="1">
      <alignment horizontal="center" vertical="center"/>
    </xf>
    <xf borderId="5" fillId="0" fontId="5" numFmtId="0" xfId="0" applyAlignment="1" applyBorder="1" applyFont="1">
      <alignment horizontal="center" vertical="center"/>
    </xf>
    <xf borderId="10" fillId="2" fontId="5" numFmtId="0" xfId="0" applyAlignment="1" applyBorder="1" applyFont="1">
      <alignment horizontal="center" vertical="center"/>
    </xf>
    <xf borderId="0" fillId="2" fontId="5" numFmtId="164" xfId="0" applyAlignment="1" applyFont="1" applyNumberFormat="1">
      <alignment horizontal="center" vertical="center"/>
    </xf>
    <xf borderId="10" fillId="0" fontId="3" numFmtId="0" xfId="0" applyBorder="1" applyFont="1"/>
    <xf borderId="10" fillId="0" fontId="5" numFmtId="0" xfId="0" applyAlignment="1" applyBorder="1" applyFont="1">
      <alignment horizontal="center" vertical="center"/>
    </xf>
    <xf borderId="1" fillId="0" fontId="5" numFmtId="0" xfId="0" applyAlignment="1" applyBorder="1" applyFont="1">
      <alignment horizontal="center" vertical="center"/>
    </xf>
    <xf borderId="1" fillId="0" fontId="5" numFmtId="0" xfId="0" applyAlignment="1" applyBorder="1" applyFont="1">
      <alignment horizontal="center" readingOrder="0" vertical="center"/>
    </xf>
    <xf borderId="0" fillId="2" fontId="5" numFmtId="165" xfId="0" applyAlignment="1" applyFont="1" applyNumberFormat="1">
      <alignment horizontal="center" vertical="center"/>
    </xf>
    <xf borderId="0" fillId="0" fontId="5" numFmtId="0" xfId="0" applyAlignment="1" applyFont="1">
      <alignment horizontal="center" vertical="center"/>
    </xf>
    <xf borderId="13" fillId="0" fontId="3" numFmtId="0" xfId="0" applyBorder="1" applyFont="1"/>
    <xf borderId="13" fillId="0" fontId="5" numFmtId="0" xfId="0" applyAlignment="1" applyBorder="1" applyFont="1">
      <alignment horizontal="center" vertical="center"/>
    </xf>
    <xf borderId="15" fillId="0" fontId="5" numFmtId="0" xfId="0" applyAlignment="1" applyBorder="1" applyFont="1">
      <alignment horizontal="center" vertical="center"/>
    </xf>
    <xf borderId="16" fillId="0" fontId="5" numFmtId="0" xfId="0" applyAlignment="1" applyBorder="1" applyFont="1">
      <alignment horizontal="center" vertical="center"/>
    </xf>
    <xf borderId="6" fillId="0" fontId="5" numFmtId="0" xfId="0" applyAlignment="1" applyBorder="1" applyFont="1">
      <alignment horizontal="center" vertical="center"/>
    </xf>
    <xf borderId="12" fillId="0" fontId="3" numFmtId="0" xfId="0" applyBorder="1" applyFont="1"/>
    <xf borderId="4" fillId="0" fontId="13" numFmtId="0" xfId="0" applyAlignment="1" applyBorder="1" applyFont="1">
      <alignment horizontal="center" vertical="center"/>
    </xf>
    <xf borderId="6" fillId="0" fontId="3" numFmtId="0" xfId="0" applyBorder="1" applyFont="1"/>
    <xf borderId="11" fillId="0" fontId="5" numFmtId="0" xfId="0" applyAlignment="1" applyBorder="1" applyFont="1">
      <alignment horizontal="center" vertical="center"/>
    </xf>
    <xf borderId="17" fillId="0" fontId="13" numFmtId="0" xfId="0" applyAlignment="1" applyBorder="1" applyFont="1">
      <alignment horizontal="center" vertical="center"/>
    </xf>
    <xf borderId="18" fillId="0" fontId="13" numFmtId="0" xfId="0" applyAlignment="1" applyBorder="1" applyFont="1">
      <alignment horizontal="center" readingOrder="0" vertical="center"/>
    </xf>
    <xf borderId="19" fillId="0" fontId="13" numFmtId="0" xfId="0" applyAlignment="1" applyBorder="1" applyFont="1">
      <alignment horizontal="center" vertical="center"/>
    </xf>
    <xf borderId="20" fillId="0" fontId="13" numFmtId="0" xfId="0" applyAlignment="1" applyBorder="1" applyFont="1">
      <alignment horizontal="center" vertical="center"/>
    </xf>
    <xf borderId="4" fillId="5" fontId="5" numFmtId="0" xfId="0" applyAlignment="1" applyBorder="1" applyFont="1">
      <alignment horizontal="center" vertical="center"/>
    </xf>
    <xf borderId="21" fillId="5" fontId="5" numFmtId="166" xfId="0" applyAlignment="1" applyBorder="1" applyFont="1" applyNumberFormat="1">
      <alignment horizontal="center" readingOrder="0" vertical="center"/>
    </xf>
    <xf borderId="6" fillId="5" fontId="5" numFmtId="0" xfId="0" applyAlignment="1" applyBorder="1" applyFont="1">
      <alignment horizontal="center" readingOrder="0" vertical="center"/>
    </xf>
    <xf borderId="20" fillId="0" fontId="5" numFmtId="0" xfId="0" applyAlignment="1" applyBorder="1" applyFont="1">
      <alignment horizontal="center" vertical="center"/>
    </xf>
    <xf borderId="21" fillId="0" fontId="5" numFmtId="167" xfId="0" applyAlignment="1" applyBorder="1" applyFont="1" applyNumberFormat="1">
      <alignment horizontal="center" readingOrder="0" vertical="center"/>
    </xf>
    <xf borderId="22" fillId="0" fontId="5" numFmtId="0" xfId="0" applyAlignment="1" applyBorder="1" applyFont="1">
      <alignment horizontal="center" vertical="center"/>
    </xf>
    <xf borderId="23" fillId="5" fontId="5" numFmtId="0" xfId="0" applyAlignment="1" applyBorder="1" applyFont="1">
      <alignment horizontal="center" vertical="center"/>
    </xf>
    <xf borderId="24" fillId="5" fontId="5" numFmtId="166" xfId="0" applyAlignment="1" applyBorder="1" applyFont="1" applyNumberFormat="1">
      <alignment horizontal="center" readingOrder="0" vertical="center"/>
    </xf>
    <xf borderId="25" fillId="5" fontId="5" numFmtId="0" xfId="0" applyAlignment="1" applyBorder="1" applyFont="1">
      <alignment horizontal="center" readingOrder="0" vertical="center"/>
    </xf>
    <xf borderId="26" fillId="0" fontId="5" numFmtId="0" xfId="0" applyAlignment="1" applyBorder="1" applyFont="1">
      <alignment horizontal="center" vertical="center"/>
    </xf>
    <xf borderId="27" fillId="0" fontId="5" numFmtId="167" xfId="0" applyAlignment="1" applyBorder="1" applyFont="1" applyNumberFormat="1">
      <alignment horizontal="center" readingOrder="0" vertical="center"/>
    </xf>
    <xf borderId="28" fillId="0" fontId="5" numFmtId="0" xfId="0" applyAlignment="1" applyBorder="1" applyFont="1">
      <alignment horizontal="center" vertical="center"/>
    </xf>
    <xf borderId="27" fillId="0" fontId="5" numFmtId="166" xfId="0" applyAlignment="1" applyBorder="1" applyFont="1" applyNumberFormat="1">
      <alignment horizontal="center" readingOrder="0" vertical="center"/>
    </xf>
    <xf borderId="29" fillId="0" fontId="5" numFmtId="0" xfId="0" applyAlignment="1" applyBorder="1" applyFont="1">
      <alignment horizontal="center" vertical="center"/>
    </xf>
    <xf borderId="30" fillId="0" fontId="5" numFmtId="166" xfId="0" applyAlignment="1" applyBorder="1" applyFont="1" applyNumberFormat="1">
      <alignment horizontal="center" readingOrder="0" vertical="center"/>
    </xf>
    <xf borderId="31" fillId="0" fontId="5" numFmtId="0" xfId="0" applyAlignment="1" applyBorder="1" applyFont="1">
      <alignment horizontal="center" vertical="center"/>
    </xf>
    <xf borderId="30" fillId="0" fontId="5" numFmtId="167" xfId="0" applyAlignment="1" applyBorder="1" applyFont="1" applyNumberFormat="1">
      <alignment horizontal="center" readingOrder="0" vertical="center"/>
    </xf>
    <xf borderId="10" fillId="0" fontId="13" numFmtId="0" xfId="0" applyAlignment="1" applyBorder="1" applyFont="1">
      <alignment horizontal="center" vertical="center"/>
    </xf>
    <xf borderId="11" fillId="0" fontId="3" numFmtId="0" xfId="0" applyBorder="1" applyFont="1"/>
    <xf borderId="14" fillId="0" fontId="3" numFmtId="0" xfId="0" applyBorder="1" applyFont="1"/>
    <xf borderId="32" fillId="0" fontId="3" numFmtId="0" xfId="0" applyBorder="1" applyFont="1"/>
    <xf borderId="14" fillId="0" fontId="5" numFmtId="0" xfId="0" applyAlignment="1" applyBorder="1" applyFont="1">
      <alignment horizontal="center" vertical="center"/>
    </xf>
    <xf borderId="2" fillId="0" fontId="5" numFmtId="0" xfId="0" applyAlignment="1" applyBorder="1" applyFont="1">
      <alignment horizontal="center" vertical="center"/>
    </xf>
    <xf borderId="2" fillId="0" fontId="3" numFmtId="0" xfId="0" applyBorder="1" applyFont="1"/>
    <xf borderId="16" fillId="0" fontId="13" numFmtId="0" xfId="0" applyAlignment="1" applyBorder="1" applyFont="1">
      <alignment horizontal="center" vertical="center"/>
    </xf>
    <xf borderId="1" fillId="0" fontId="13" numFmtId="0" xfId="0" applyAlignment="1" applyBorder="1" applyFont="1">
      <alignment horizontal="center" vertical="center"/>
    </xf>
    <xf borderId="3" fillId="0" fontId="3" numFmtId="0" xfId="0" applyBorder="1" applyFont="1"/>
    <xf borderId="26" fillId="0" fontId="13" numFmtId="0" xfId="0" applyAlignment="1" applyBorder="1" applyFont="1">
      <alignment horizontal="center" vertical="center"/>
    </xf>
    <xf borderId="27" fillId="0" fontId="13" numFmtId="0" xfId="0" applyAlignment="1" applyBorder="1" applyFont="1">
      <alignment horizontal="center" vertical="center"/>
    </xf>
    <xf borderId="28" fillId="0" fontId="13" numFmtId="0" xfId="0" applyAlignment="1" applyBorder="1" applyFont="1">
      <alignment horizontal="center" vertical="center"/>
    </xf>
    <xf borderId="2" fillId="0" fontId="5" numFmtId="0" xfId="0" applyAlignment="1" applyBorder="1" applyFont="1">
      <alignment horizontal="center" readingOrder="0" vertical="center"/>
    </xf>
    <xf borderId="26" fillId="0" fontId="13" numFmtId="0" xfId="0" applyAlignment="1" applyBorder="1" applyFont="1">
      <alignment horizontal="center" readingOrder="0" vertical="center"/>
    </xf>
    <xf borderId="27" fillId="0" fontId="13" numFmtId="0" xfId="0" applyAlignment="1" applyBorder="1" applyFont="1">
      <alignment horizontal="center" readingOrder="0" vertical="center"/>
    </xf>
    <xf borderId="28" fillId="0" fontId="13" numFmtId="0" xfId="0" applyAlignment="1" applyBorder="1" applyFont="1">
      <alignment horizontal="center" readingOrder="0" vertical="center"/>
    </xf>
    <xf borderId="10" fillId="0" fontId="5" numFmtId="0" xfId="0" applyAlignment="1" applyBorder="1" applyFont="1">
      <alignment horizontal="center" vertical="center"/>
    </xf>
    <xf borderId="0" fillId="0" fontId="5" numFmtId="0" xfId="0" applyAlignment="1" applyFont="1">
      <alignment horizontal="center" readingOrder="0" vertical="center"/>
    </xf>
    <xf borderId="29" fillId="0" fontId="13" numFmtId="0" xfId="0" applyAlignment="1" applyBorder="1" applyFont="1">
      <alignment horizontal="center" vertical="center"/>
    </xf>
    <xf borderId="30" fillId="0" fontId="13" numFmtId="0" xfId="0" applyAlignment="1" applyBorder="1" applyFont="1">
      <alignment horizontal="center" vertical="center"/>
    </xf>
    <xf borderId="30" fillId="0" fontId="13" numFmtId="0" xfId="0" applyAlignment="1" applyBorder="1" applyFont="1">
      <alignment horizontal="center" readingOrder="0" vertical="center"/>
    </xf>
    <xf borderId="33" fillId="0" fontId="13" numFmtId="0" xfId="0" applyAlignment="1" applyBorder="1" applyFont="1">
      <alignment horizontal="center" vertical="center"/>
    </xf>
    <xf borderId="14" fillId="0" fontId="13" numFmtId="0" xfId="0" applyAlignment="1" applyBorder="1" applyFont="1">
      <alignment horizontal="center" vertical="center"/>
    </xf>
    <xf borderId="34" fillId="0" fontId="5" numFmtId="0" xfId="0" applyAlignment="1" applyBorder="1" applyFont="1">
      <alignment horizontal="center" vertical="center"/>
    </xf>
    <xf borderId="35" fillId="0" fontId="5" numFmtId="0" xfId="0" applyAlignment="1" applyBorder="1" applyFont="1">
      <alignment horizontal="center" readingOrder="0" vertical="center"/>
    </xf>
    <xf borderId="35" fillId="0" fontId="5" numFmtId="0" xfId="0" applyAlignment="1" applyBorder="1" applyFont="1">
      <alignment horizontal="center" vertical="center"/>
    </xf>
    <xf borderId="36" fillId="0" fontId="13" numFmtId="0" xfId="0" applyAlignment="1" applyBorder="1" applyFont="1">
      <alignment horizontal="center" vertical="center"/>
    </xf>
    <xf borderId="37" fillId="0" fontId="13" numFmtId="0" xfId="0" applyAlignment="1" applyBorder="1" applyFont="1">
      <alignment horizontal="center" vertical="center"/>
    </xf>
    <xf borderId="22" fillId="0" fontId="5" numFmtId="0" xfId="0" applyAlignment="1" applyBorder="1" applyFont="1">
      <alignment horizontal="center" vertical="center"/>
    </xf>
    <xf borderId="38" fillId="0" fontId="5" numFmtId="0" xfId="0" applyAlignment="1" applyBorder="1" applyFont="1">
      <alignment horizontal="center" vertical="center"/>
    </xf>
    <xf borderId="39" fillId="0" fontId="5" numFmtId="0" xfId="0" applyAlignment="1" applyBorder="1" applyFont="1">
      <alignment horizontal="center" vertical="center"/>
    </xf>
    <xf borderId="40" fillId="0" fontId="5" numFmtId="0" xfId="0" applyAlignment="1" applyBorder="1" applyFont="1">
      <alignment horizontal="center" vertical="center"/>
    </xf>
    <xf borderId="41" fillId="0" fontId="5" numFmtId="0" xfId="0" applyAlignment="1" applyBorder="1" applyFont="1">
      <alignment horizontal="center" vertical="center"/>
    </xf>
    <xf borderId="36" fillId="0" fontId="13" numFmtId="0" xfId="0" applyAlignment="1" applyBorder="1" applyFont="1">
      <alignment horizontal="center" readingOrder="0" vertical="center"/>
    </xf>
    <xf borderId="16" fillId="0" fontId="14" numFmtId="0" xfId="0" applyAlignment="1" applyBorder="1" applyFont="1">
      <alignment horizontal="center" readingOrder="0" vertical="center"/>
    </xf>
    <xf borderId="42" fillId="5" fontId="13" numFmtId="0" xfId="0" applyAlignment="1" applyBorder="1" applyFont="1">
      <alignment horizontal="center" vertical="center"/>
    </xf>
    <xf borderId="32" fillId="0" fontId="5" numFmtId="0" xfId="0" applyAlignment="1" applyBorder="1" applyFont="1">
      <alignment horizontal="center" vertical="center"/>
    </xf>
    <xf borderId="31" fillId="0" fontId="5" numFmtId="49" xfId="0" applyAlignment="1" applyBorder="1" applyFont="1" applyNumberFormat="1">
      <alignment horizontal="center" vertical="center"/>
    </xf>
    <xf borderId="20" fillId="0" fontId="5" numFmtId="49" xfId="0" applyAlignment="1" applyBorder="1" applyFont="1" applyNumberFormat="1">
      <alignment horizontal="center" vertical="center"/>
    </xf>
    <xf borderId="43" fillId="0" fontId="5" numFmtId="0" xfId="0" applyAlignment="1" applyBorder="1" applyFont="1">
      <alignment horizontal="center" vertical="center"/>
    </xf>
    <xf borderId="15" fillId="0" fontId="5" numFmtId="0" xfId="0" applyAlignment="1" applyBorder="1" applyFont="1">
      <alignment horizontal="center" readingOrder="0" vertical="center"/>
    </xf>
    <xf borderId="44" fillId="0" fontId="5" numFmtId="0" xfId="0" applyAlignment="1" applyBorder="1" applyFont="1">
      <alignment horizontal="center" vertical="center"/>
    </xf>
    <xf borderId="45" fillId="0" fontId="3" numFmtId="0" xfId="0" applyBorder="1" applyFont="1"/>
    <xf borderId="46" fillId="0" fontId="5" numFmtId="0" xfId="0" applyAlignment="1" applyBorder="1" applyFont="1">
      <alignment horizontal="center" vertical="center"/>
    </xf>
    <xf borderId="47" fillId="0" fontId="13" numFmtId="0" xfId="0" applyAlignment="1" applyBorder="1" applyFont="1">
      <alignment horizontal="center" vertical="center"/>
    </xf>
    <xf borderId="48" fillId="2" fontId="5" numFmtId="0" xfId="0" applyAlignment="1" applyBorder="1" applyFont="1">
      <alignment horizontal="center" vertical="center"/>
    </xf>
    <xf borderId="48" fillId="0" fontId="3" numFmtId="0" xfId="0" applyBorder="1" applyFont="1"/>
    <xf borderId="49" fillId="0" fontId="3" numFmtId="0" xfId="0" applyBorder="1" applyFont="1"/>
    <xf borderId="41" fillId="0" fontId="3" numFmtId="0" xfId="0" applyBorder="1" applyFont="1"/>
    <xf borderId="16" fillId="0" fontId="5" numFmtId="49" xfId="0" applyAlignment="1" applyBorder="1" applyFont="1" applyNumberFormat="1">
      <alignment horizontal="center" vertical="center"/>
    </xf>
    <xf borderId="42" fillId="0" fontId="13" numFmtId="0" xfId="0" applyAlignment="1" applyBorder="1" applyFont="1">
      <alignment horizontal="center" vertical="center"/>
    </xf>
    <xf borderId="37" fillId="5" fontId="13" numFmtId="0" xfId="0" applyAlignment="1" applyBorder="1" applyFont="1">
      <alignment horizontal="center" vertical="center"/>
    </xf>
    <xf borderId="44" fillId="0" fontId="3" numFmtId="0" xfId="0" applyBorder="1" applyFont="1"/>
    <xf borderId="16" fillId="0" fontId="13" numFmtId="0" xfId="0" applyAlignment="1" applyBorder="1" applyFont="1">
      <alignment horizontal="center" readingOrder="0" vertical="center"/>
    </xf>
    <xf borderId="16" fillId="0" fontId="15" numFmtId="0" xfId="0" applyAlignment="1" applyBorder="1" applyFont="1">
      <alignment horizontal="center" readingOrder="0" vertical="center"/>
    </xf>
    <xf borderId="50" fillId="0" fontId="5" numFmtId="0" xfId="0" applyAlignment="1" applyBorder="1" applyFont="1">
      <alignment horizontal="center" vertical="center"/>
    </xf>
    <xf borderId="51" fillId="0" fontId="5" numFmtId="0" xfId="0" applyAlignment="1" applyBorder="1" applyFont="1">
      <alignment horizontal="center" vertical="center"/>
    </xf>
    <xf borderId="52" fillId="0" fontId="5" numFmtId="0" xfId="0" applyAlignment="1" applyBorder="1" applyFont="1">
      <alignment horizontal="center" vertical="center"/>
    </xf>
    <xf borderId="53" fillId="0" fontId="5" numFmtId="167" xfId="0" applyAlignment="1" applyBorder="1" applyFont="1" applyNumberFormat="1">
      <alignment horizontal="center" readingOrder="0" vertical="center"/>
    </xf>
    <xf borderId="54" fillId="0" fontId="5" numFmtId="0" xfId="0" applyAlignment="1" applyBorder="1" applyFont="1">
      <alignment horizontal="center" vertical="center"/>
    </xf>
    <xf borderId="51" fillId="5" fontId="5" numFmtId="0" xfId="0" applyAlignment="1" applyBorder="1" applyFont="1">
      <alignment horizontal="center" vertical="center"/>
    </xf>
    <xf borderId="55" fillId="0" fontId="5" numFmtId="0" xfId="0" applyAlignment="1" applyBorder="1" applyFont="1">
      <alignment horizontal="center" vertical="center"/>
    </xf>
    <xf borderId="56" fillId="0" fontId="5" numFmtId="167" xfId="0" applyAlignment="1" applyBorder="1" applyFont="1" applyNumberFormat="1">
      <alignment horizontal="center" readingOrder="0" vertical="center"/>
    </xf>
    <xf borderId="54" fillId="0" fontId="14" numFmtId="0" xfId="0" applyAlignment="1" applyBorder="1" applyFont="1">
      <alignment horizontal="center" vertical="center"/>
    </xf>
    <xf borderId="55" fillId="0" fontId="5" numFmtId="0" xfId="0" applyAlignment="1" applyBorder="1" applyFont="1">
      <alignment horizontal="center" vertical="center"/>
    </xf>
    <xf borderId="57" fillId="0" fontId="5" numFmtId="0" xfId="0" applyAlignment="1" applyBorder="1" applyFont="1">
      <alignment horizontal="center" vertical="center"/>
    </xf>
    <xf borderId="58" fillId="0" fontId="16" numFmtId="0" xfId="0" applyAlignment="1" applyBorder="1" applyFont="1">
      <alignment horizontal="center" vertical="center"/>
    </xf>
    <xf borderId="59" fillId="0" fontId="5" numFmtId="167" xfId="0" applyAlignment="1" applyBorder="1" applyFont="1" applyNumberFormat="1">
      <alignment horizontal="center" readingOrder="0" vertical="center"/>
    </xf>
    <xf borderId="12" fillId="2" fontId="5" numFmtId="0" xfId="0" applyAlignment="1" applyBorder="1" applyFont="1">
      <alignment horizontal="center" vertical="center"/>
    </xf>
    <xf borderId="60" fillId="0" fontId="5" numFmtId="0" xfId="0" applyAlignment="1" applyBorder="1" applyFont="1">
      <alignment horizontal="center" vertical="center"/>
    </xf>
    <xf borderId="48" fillId="0" fontId="5" numFmtId="0" xfId="0" applyAlignment="1" applyBorder="1" applyFont="1">
      <alignment horizontal="center" vertical="center"/>
    </xf>
    <xf borderId="12" fillId="0" fontId="5" numFmtId="0" xfId="0" applyAlignment="1" applyBorder="1" applyFont="1">
      <alignment horizontal="center" vertical="center"/>
    </xf>
    <xf borderId="3" fillId="0" fontId="5" numFmtId="0" xfId="0" applyAlignment="1" applyBorder="1" applyFont="1">
      <alignment horizontal="center" vertical="center"/>
    </xf>
    <xf borderId="6" fillId="0" fontId="13" numFmtId="0" xfId="0" applyAlignment="1" applyBorder="1" applyFont="1">
      <alignment horizontal="center" vertical="center"/>
    </xf>
    <xf borderId="1" fillId="0" fontId="13" numFmtId="0" xfId="0" applyAlignment="1" applyBorder="1" applyFont="1">
      <alignment horizontal="center" readingOrder="0" vertical="center"/>
    </xf>
    <xf borderId="21" fillId="0" fontId="13" numFmtId="0" xfId="0" applyAlignment="1" applyBorder="1" applyFont="1">
      <alignment horizontal="center" vertical="center"/>
    </xf>
    <xf borderId="61" fillId="0" fontId="13" numFmtId="0" xfId="0" applyAlignment="1" applyBorder="1" applyFont="1">
      <alignment horizontal="center" vertical="center"/>
    </xf>
    <xf borderId="4" fillId="0" fontId="5" numFmtId="0" xfId="0" applyAlignment="1" applyBorder="1" applyFont="1">
      <alignment horizontal="center" readingOrder="0" vertical="center"/>
    </xf>
    <xf borderId="21" fillId="0" fontId="5" numFmtId="0" xfId="0" applyAlignment="1" applyBorder="1" applyFont="1">
      <alignment horizontal="center" readingOrder="0" vertical="center"/>
    </xf>
    <xf borderId="6" fillId="0" fontId="5" numFmtId="0" xfId="0" applyAlignment="1" applyBorder="1" applyFont="1">
      <alignment horizontal="center" readingOrder="0" vertical="center"/>
    </xf>
    <xf borderId="62" fillId="0" fontId="13" numFmtId="0" xfId="0" applyAlignment="1" applyBorder="1" applyFont="1">
      <alignment horizontal="center" vertical="center"/>
    </xf>
    <xf borderId="12" fillId="0" fontId="13" numFmtId="0" xfId="0" applyAlignment="1" applyBorder="1" applyFont="1">
      <alignment horizontal="center" vertical="center"/>
    </xf>
    <xf borderId="63" fillId="0" fontId="5" numFmtId="0" xfId="0" applyAlignment="1" applyBorder="1" applyFont="1">
      <alignment horizontal="center" vertical="center"/>
    </xf>
    <xf borderId="64" fillId="0" fontId="5" numFmtId="0" xfId="0" applyAlignment="1" applyBorder="1" applyFont="1">
      <alignment horizontal="center" vertical="center"/>
    </xf>
    <xf borderId="32" fillId="0" fontId="13" numFmtId="0" xfId="0" applyAlignment="1" applyBorder="1" applyFont="1">
      <alignment horizontal="center" vertical="center"/>
    </xf>
    <xf borderId="65" fillId="0" fontId="5" numFmtId="0" xfId="0" applyAlignment="1" applyBorder="1" applyFont="1">
      <alignment horizontal="center" vertical="center"/>
    </xf>
    <xf borderId="66" fillId="0" fontId="5" numFmtId="0" xfId="0" applyAlignment="1" applyBorder="1" applyFont="1">
      <alignment horizontal="center" vertical="center"/>
    </xf>
    <xf borderId="21" fillId="0" fontId="5" numFmtId="0" xfId="0" applyAlignment="1" applyBorder="1" applyFont="1">
      <alignment horizontal="center" vertical="center"/>
    </xf>
    <xf borderId="67" fillId="0" fontId="5" numFmtId="0" xfId="0" applyAlignment="1" applyBorder="1" applyFont="1">
      <alignment horizontal="center" vertical="center"/>
    </xf>
    <xf borderId="65" fillId="5" fontId="5" numFmtId="0" xfId="0" applyAlignment="1" applyBorder="1" applyFont="1">
      <alignment horizontal="center" vertical="center"/>
    </xf>
    <xf borderId="65" fillId="6" fontId="5" numFmtId="0" xfId="0" applyAlignment="1" applyBorder="1" applyFont="1">
      <alignment horizontal="center" vertical="center"/>
    </xf>
    <xf borderId="56" fillId="5" fontId="5" numFmtId="0" xfId="0" applyAlignment="1" applyBorder="1" applyFont="1">
      <alignment horizontal="center" vertical="center"/>
    </xf>
    <xf borderId="27" fillId="0" fontId="5" numFmtId="0" xfId="0" applyAlignment="1" applyBorder="1" applyFont="1">
      <alignment horizontal="center" vertical="center"/>
    </xf>
    <xf borderId="30" fillId="0" fontId="5" numFmtId="0" xfId="0" applyAlignment="1" applyBorder="1" applyFont="1">
      <alignment horizontal="center" vertical="center"/>
    </xf>
    <xf borderId="58" fillId="0" fontId="5" numFmtId="0" xfId="0" applyAlignment="1" applyBorder="1" applyFont="1">
      <alignment horizontal="center" vertical="center"/>
    </xf>
    <xf borderId="68" fillId="0" fontId="5" numFmtId="0" xfId="0" applyAlignment="1" applyBorder="1" applyFont="1">
      <alignment horizontal="center" vertical="center"/>
    </xf>
    <xf borderId="69" fillId="0" fontId="5" numFmtId="0" xfId="0" applyAlignment="1" applyBorder="1" applyFont="1">
      <alignment horizontal="center" vertical="center"/>
    </xf>
    <xf borderId="56" fillId="0" fontId="5" numFmtId="0" xfId="0" applyAlignment="1" applyBorder="1" applyFont="1">
      <alignment horizontal="center" vertical="center"/>
    </xf>
    <xf borderId="1" fillId="2" fontId="5" numFmtId="0" xfId="0" applyAlignment="1" applyBorder="1" applyFont="1">
      <alignment horizontal="center" vertical="center"/>
    </xf>
    <xf borderId="1" fillId="2" fontId="5" numFmtId="0" xfId="0" applyAlignment="1" applyBorder="1" applyFont="1">
      <alignment vertical="center"/>
    </xf>
    <xf borderId="4" fillId="2" fontId="1" numFmtId="0" xfId="0" applyAlignment="1" applyBorder="1" applyFont="1">
      <alignment vertical="center"/>
    </xf>
    <xf borderId="51" fillId="5" fontId="13" numFmtId="0" xfId="0" applyAlignment="1" applyBorder="1" applyFont="1">
      <alignment horizontal="center" vertical="center"/>
    </xf>
    <xf borderId="0" fillId="0" fontId="13" numFmtId="0" xfId="0" applyAlignment="1" applyFont="1">
      <alignment horizontal="center" vertical="center"/>
    </xf>
    <xf borderId="11" fillId="0" fontId="13" numFmtId="0" xfId="0" applyAlignment="1" applyBorder="1" applyFont="1">
      <alignment horizontal="center" vertical="center"/>
    </xf>
    <xf borderId="16" fillId="7" fontId="13" numFmtId="0" xfId="0" applyAlignment="1" applyBorder="1" applyFill="1" applyFont="1">
      <alignment horizontal="center" vertical="center"/>
    </xf>
    <xf borderId="51" fillId="0" fontId="15" numFmtId="0" xfId="0" applyAlignment="1" applyBorder="1" applyFont="1">
      <alignment horizontal="center" readingOrder="0" vertical="center"/>
    </xf>
    <xf borderId="7" fillId="0" fontId="5" numFmtId="0" xfId="0" applyAlignment="1" applyBorder="1" applyFont="1">
      <alignment horizontal="center" readingOrder="0" shrinkToFit="0" vertical="center" wrapText="1"/>
    </xf>
    <xf borderId="52" fillId="0" fontId="5" numFmtId="0" xfId="0" applyAlignment="1" applyBorder="1" applyFont="1">
      <alignment horizontal="center" readingOrder="0" vertical="center"/>
    </xf>
    <xf borderId="53" fillId="0" fontId="5" numFmtId="167" xfId="0" applyAlignment="1" applyBorder="1" applyFont="1" applyNumberFormat="1">
      <alignment horizontal="center" vertical="center"/>
    </xf>
    <xf borderId="11" fillId="0" fontId="5" numFmtId="167" xfId="0" applyAlignment="1" applyBorder="1" applyFont="1" applyNumberFormat="1">
      <alignment horizontal="center" vertical="center"/>
    </xf>
    <xf borderId="70" fillId="5" fontId="5" numFmtId="0" xfId="0" applyAlignment="1" applyBorder="1" applyFont="1">
      <alignment horizontal="center" readingOrder="0" shrinkToFit="0" vertical="center" wrapText="1"/>
    </xf>
    <xf borderId="55" fillId="0" fontId="5" numFmtId="0" xfId="0" applyAlignment="1" applyBorder="1" applyFont="1">
      <alignment horizontal="center" readingOrder="0" vertical="center"/>
    </xf>
    <xf borderId="56" fillId="0" fontId="5" numFmtId="167" xfId="0" applyAlignment="1" applyBorder="1" applyFont="1" applyNumberFormat="1">
      <alignment horizontal="center" vertical="center"/>
    </xf>
    <xf borderId="70" fillId="5" fontId="5" numFmtId="0" xfId="0" applyAlignment="1" applyBorder="1" applyFont="1">
      <alignment horizontal="center" readingOrder="0" vertical="center"/>
    </xf>
    <xf borderId="71" fillId="5" fontId="5" numFmtId="0" xfId="0" applyAlignment="1" applyBorder="1" applyFont="1">
      <alignment horizontal="center" readingOrder="0" vertical="center"/>
    </xf>
    <xf borderId="58" fillId="0" fontId="5" numFmtId="0" xfId="0" applyAlignment="1" applyBorder="1" applyFont="1">
      <alignment horizontal="center" readingOrder="0" vertical="center"/>
    </xf>
    <xf borderId="59" fillId="0" fontId="5" numFmtId="167" xfId="0" applyAlignment="1" applyBorder="1" applyFont="1" applyNumberFormat="1">
      <alignment horizontal="center" vertical="center"/>
    </xf>
    <xf borderId="0" fillId="0" fontId="5" numFmtId="167" xfId="0" applyAlignment="1" applyFont="1" applyNumberFormat="1">
      <alignment horizontal="center" vertical="center"/>
    </xf>
    <xf borderId="4" fillId="0" fontId="13" numFmtId="0" xfId="0" applyAlignment="1" applyBorder="1" applyFont="1">
      <alignment horizontal="center"/>
    </xf>
    <xf borderId="0" fillId="0" fontId="5" numFmtId="0" xfId="0" applyAlignment="1" applyFont="1">
      <alignment horizontal="center" vertical="bottom"/>
    </xf>
    <xf borderId="4" fillId="6" fontId="17" numFmtId="0" xfId="0" applyAlignment="1" applyBorder="1" applyFont="1">
      <alignment horizontal="center" readingOrder="0" vertical="center"/>
    </xf>
    <xf borderId="0" fillId="0" fontId="17" numFmtId="0" xfId="0" applyAlignment="1" applyFont="1">
      <alignment horizontal="center" readingOrder="0" vertical="center"/>
    </xf>
    <xf borderId="4" fillId="8" fontId="17" numFmtId="0" xfId="0" applyAlignment="1" applyBorder="1" applyFill="1" applyFont="1">
      <alignment horizontal="center" readingOrder="0" vertical="center"/>
    </xf>
    <xf borderId="1" fillId="0" fontId="13" numFmtId="168" xfId="0" applyAlignment="1" applyBorder="1" applyFont="1" applyNumberFormat="1">
      <alignment horizontal="center" vertical="center"/>
    </xf>
    <xf borderId="0" fillId="0" fontId="15" numFmtId="168" xfId="0" applyAlignment="1" applyFont="1" applyNumberFormat="1">
      <alignment horizontal="center" readingOrder="0" vertical="bottom"/>
    </xf>
    <xf borderId="13" fillId="6" fontId="17" numFmtId="168" xfId="0" applyAlignment="1" applyBorder="1" applyFont="1" applyNumberFormat="1">
      <alignment horizontal="center" readingOrder="0" vertical="center"/>
    </xf>
    <xf borderId="0" fillId="0" fontId="17" numFmtId="168" xfId="0" applyAlignment="1" applyFont="1" applyNumberFormat="1">
      <alignment horizontal="center" readingOrder="0" vertical="center"/>
    </xf>
    <xf borderId="13" fillId="8" fontId="17" numFmtId="168" xfId="0" applyAlignment="1" applyBorder="1" applyFont="1" applyNumberFormat="1">
      <alignment horizontal="center" readingOrder="0" vertical="center"/>
    </xf>
    <xf borderId="17" fillId="0" fontId="13" numFmtId="168" xfId="0" applyAlignment="1" applyBorder="1" applyFont="1" applyNumberFormat="1">
      <alignment horizontal="center" vertical="center"/>
    </xf>
    <xf borderId="18" fillId="0" fontId="13" numFmtId="168" xfId="0" applyAlignment="1" applyBorder="1" applyFont="1" applyNumberFormat="1">
      <alignment horizontal="center" vertical="center"/>
    </xf>
    <xf borderId="19" fillId="0" fontId="13" numFmtId="168" xfId="0" applyAlignment="1" applyBorder="1" applyFont="1" applyNumberFormat="1">
      <alignment horizontal="center" vertical="center"/>
    </xf>
    <xf borderId="0" fillId="0" fontId="5" numFmtId="168" xfId="0" applyAlignment="1" applyFont="1" applyNumberFormat="1">
      <alignment horizontal="center" vertical="bottom"/>
    </xf>
    <xf borderId="4" fillId="0" fontId="5" numFmtId="0" xfId="0" applyAlignment="1" applyBorder="1" applyFont="1">
      <alignment horizontal="center" vertical="bottom"/>
    </xf>
    <xf borderId="5" fillId="0" fontId="5" numFmtId="49" xfId="0" applyAlignment="1" applyBorder="1" applyFont="1" applyNumberFormat="1">
      <alignment horizontal="center" vertical="bottom"/>
    </xf>
    <xf borderId="5" fillId="0" fontId="5" numFmtId="0" xfId="0" applyAlignment="1" applyBorder="1" applyFont="1">
      <alignment horizontal="center" vertical="bottom"/>
    </xf>
    <xf borderId="5" fillId="0" fontId="5" numFmtId="0" xfId="0" applyAlignment="1" applyBorder="1" applyFont="1">
      <alignment horizontal="center" readingOrder="0" vertical="bottom"/>
    </xf>
    <xf borderId="6" fillId="0" fontId="5" numFmtId="0" xfId="0" applyAlignment="1" applyBorder="1" applyFont="1">
      <alignment horizontal="center" vertical="bottom"/>
    </xf>
    <xf borderId="26" fillId="0" fontId="5" numFmtId="0" xfId="0" applyAlignment="1" applyBorder="1" applyFont="1">
      <alignment horizontal="center" vertical="center"/>
    </xf>
    <xf borderId="27" fillId="0" fontId="5" numFmtId="0" xfId="0" applyAlignment="1" applyBorder="1" applyFont="1">
      <alignment horizontal="center" vertical="center"/>
    </xf>
    <xf borderId="22" fillId="4" fontId="5" numFmtId="169" xfId="0" applyAlignment="1" applyBorder="1" applyFont="1" applyNumberFormat="1">
      <alignment horizontal="center" readingOrder="0" vertical="center"/>
    </xf>
    <xf borderId="5" fillId="0" fontId="5" numFmtId="49" xfId="0" applyAlignment="1" applyBorder="1" applyFont="1" applyNumberFormat="1">
      <alignment horizontal="center" readingOrder="0" vertical="bottom"/>
    </xf>
    <xf borderId="5" fillId="0" fontId="5" numFmtId="20" xfId="0" applyAlignment="1" applyBorder="1" applyFont="1" applyNumberFormat="1">
      <alignment horizontal="center" readingOrder="0" vertical="bottom"/>
    </xf>
    <xf borderId="5" fillId="0" fontId="5" numFmtId="49" xfId="0" applyAlignment="1" applyBorder="1" applyFont="1" applyNumberFormat="1">
      <alignment horizontal="center" readingOrder="0"/>
    </xf>
    <xf borderId="6" fillId="0" fontId="5" numFmtId="0" xfId="0" applyAlignment="1" applyBorder="1" applyFont="1">
      <alignment horizontal="center" readingOrder="0" vertical="bottom"/>
    </xf>
    <xf borderId="0" fillId="0" fontId="5" numFmtId="0" xfId="0" applyAlignment="1" applyFont="1">
      <alignment horizontal="center" readingOrder="0" vertical="bottom"/>
    </xf>
    <xf borderId="28" fillId="4" fontId="5" numFmtId="169" xfId="0" applyAlignment="1" applyBorder="1" applyFont="1" applyNumberFormat="1">
      <alignment horizontal="center" readingOrder="0" vertical="center"/>
    </xf>
    <xf borderId="0" fillId="0" fontId="5" numFmtId="0" xfId="0" applyAlignment="1" applyFont="1">
      <alignment horizontal="center" vertical="bottom"/>
    </xf>
    <xf borderId="10" fillId="0" fontId="5" numFmtId="0" xfId="0" applyAlignment="1" applyBorder="1" applyFont="1">
      <alignment horizontal="center" vertical="bottom"/>
    </xf>
    <xf borderId="0" fillId="0" fontId="5" numFmtId="49" xfId="0" applyAlignment="1" applyFont="1" applyNumberFormat="1">
      <alignment horizontal="center" readingOrder="0" vertical="bottom"/>
    </xf>
    <xf borderId="0" fillId="0" fontId="5" numFmtId="20" xfId="0" applyAlignment="1" applyFont="1" applyNumberFormat="1">
      <alignment horizontal="center" readingOrder="0" vertical="bottom"/>
    </xf>
    <xf borderId="0" fillId="0" fontId="5" numFmtId="49" xfId="0" applyAlignment="1" applyFont="1" applyNumberFormat="1">
      <alignment horizontal="center" readingOrder="0"/>
    </xf>
    <xf borderId="0" fillId="0" fontId="5" numFmtId="49" xfId="0" applyAlignment="1" applyFont="1" applyNumberFormat="1">
      <alignment horizontal="center" vertical="bottom"/>
    </xf>
    <xf borderId="11" fillId="0" fontId="5" numFmtId="0" xfId="0" applyAlignment="1" applyBorder="1" applyFont="1">
      <alignment horizontal="center" readingOrder="0" vertical="bottom"/>
    </xf>
    <xf borderId="0" fillId="0" fontId="5" numFmtId="49" xfId="0" applyAlignment="1" applyFont="1" applyNumberFormat="1">
      <alignment horizontal="center" vertical="bottom"/>
    </xf>
    <xf borderId="27" fillId="0" fontId="5" numFmtId="0" xfId="0" applyAlignment="1" applyBorder="1" applyFont="1">
      <alignment horizontal="center" readingOrder="0" vertical="center"/>
    </xf>
    <xf borderId="10" fillId="0" fontId="5" numFmtId="0" xfId="0" applyAlignment="1" applyBorder="1" applyFont="1">
      <alignment horizontal="center" vertical="bottom"/>
    </xf>
    <xf borderId="72" fillId="0" fontId="14" numFmtId="0" xfId="0" applyAlignment="1" applyBorder="1" applyFont="1">
      <alignment horizontal="center" vertical="center"/>
    </xf>
    <xf borderId="24" fillId="0" fontId="5" numFmtId="0" xfId="0" applyAlignment="1" applyBorder="1" applyFont="1">
      <alignment horizontal="center" readingOrder="0" vertical="center"/>
    </xf>
    <xf borderId="73" fillId="4" fontId="5" numFmtId="169" xfId="0" applyAlignment="1" applyBorder="1" applyFont="1" applyNumberFormat="1">
      <alignment horizontal="center" readingOrder="0" vertical="center"/>
    </xf>
    <xf borderId="13" fillId="0" fontId="5" numFmtId="0" xfId="0" applyAlignment="1" applyBorder="1" applyFont="1">
      <alignment horizontal="center" vertical="bottom"/>
    </xf>
    <xf borderId="15" fillId="0" fontId="5" numFmtId="49" xfId="0" applyAlignment="1" applyBorder="1" applyFont="1" applyNumberFormat="1">
      <alignment horizontal="center" readingOrder="0" vertical="bottom"/>
    </xf>
    <xf borderId="15" fillId="0" fontId="5" numFmtId="20" xfId="0" applyAlignment="1" applyBorder="1" applyFont="1" applyNumberFormat="1">
      <alignment horizontal="center" readingOrder="0" vertical="bottom"/>
    </xf>
    <xf borderId="15" fillId="0" fontId="5" numFmtId="49" xfId="0" applyAlignment="1" applyBorder="1" applyFont="1" applyNumberFormat="1">
      <alignment horizontal="center" readingOrder="0"/>
    </xf>
    <xf borderId="15" fillId="0" fontId="5" numFmtId="49" xfId="0" applyAlignment="1" applyBorder="1" applyFont="1" applyNumberFormat="1">
      <alignment horizontal="center" vertical="bottom"/>
    </xf>
    <xf borderId="15" fillId="0" fontId="5" numFmtId="0" xfId="0" applyAlignment="1" applyBorder="1" applyFont="1">
      <alignment horizontal="center" readingOrder="0" vertical="bottom"/>
    </xf>
    <xf borderId="14" fillId="0" fontId="5" numFmtId="0" xfId="0" applyAlignment="1" applyBorder="1" applyFont="1">
      <alignment horizontal="center" readingOrder="0" vertical="bottom"/>
    </xf>
    <xf borderId="15" fillId="0" fontId="5" numFmtId="49" xfId="0" applyAlignment="1" applyBorder="1" applyFont="1" applyNumberFormat="1">
      <alignment horizontal="center" vertical="bottom"/>
    </xf>
    <xf borderId="26" fillId="0" fontId="5" numFmtId="168" xfId="0" applyAlignment="1" applyBorder="1" applyFont="1" applyNumberFormat="1">
      <alignment horizontal="center" vertical="center"/>
    </xf>
    <xf borderId="27" fillId="0" fontId="5" numFmtId="170" xfId="0" applyAlignment="1" applyBorder="1" applyFont="1" applyNumberFormat="1">
      <alignment horizontal="center" readingOrder="0" vertical="center"/>
    </xf>
    <xf borderId="5" fillId="0" fontId="5" numFmtId="0" xfId="0" applyAlignment="1" applyBorder="1" applyFont="1">
      <alignment horizontal="center" readingOrder="0"/>
    </xf>
    <xf borderId="26" fillId="0" fontId="5" numFmtId="49" xfId="0" applyAlignment="1" applyBorder="1" applyFont="1" applyNumberFormat="1">
      <alignment horizontal="center" vertical="center"/>
    </xf>
    <xf borderId="0" fillId="0" fontId="5" numFmtId="0" xfId="0" applyAlignment="1" applyFont="1">
      <alignment horizontal="center" vertical="bottom"/>
    </xf>
    <xf borderId="10" fillId="0" fontId="5" numFmtId="0" xfId="0" applyAlignment="1" applyBorder="1" applyFont="1">
      <alignment horizontal="center" vertical="bottom"/>
    </xf>
    <xf borderId="0" fillId="0" fontId="5" numFmtId="0" xfId="0" applyAlignment="1" applyFont="1">
      <alignment horizontal="center" readingOrder="0"/>
    </xf>
    <xf borderId="0" fillId="0" fontId="5" numFmtId="0" xfId="0" applyAlignment="1" applyFont="1">
      <alignment horizontal="center" vertical="bottom"/>
    </xf>
    <xf borderId="10" fillId="0" fontId="5" numFmtId="0" xfId="0" applyAlignment="1" applyBorder="1" applyFont="1">
      <alignment horizontal="center" vertical="bottom"/>
    </xf>
    <xf borderId="5" fillId="0" fontId="5" numFmtId="0" xfId="0" applyAlignment="1" applyBorder="1" applyFont="1">
      <alignment horizontal="center" vertical="bottom"/>
    </xf>
    <xf borderId="5" fillId="0" fontId="5" numFmtId="0" xfId="0" applyAlignment="1" applyBorder="1" applyFont="1">
      <alignment horizontal="center" vertical="bottom"/>
    </xf>
    <xf borderId="13" fillId="0" fontId="5" numFmtId="0" xfId="0" applyAlignment="1" applyBorder="1" applyFont="1">
      <alignment horizontal="center" vertical="bottom"/>
    </xf>
    <xf borderId="10" fillId="0" fontId="5" numFmtId="49" xfId="0" applyAlignment="1" applyBorder="1" applyFont="1" applyNumberFormat="1">
      <alignment horizontal="center" vertical="bottom"/>
    </xf>
    <xf borderId="30" fillId="0" fontId="5" numFmtId="0" xfId="0" applyAlignment="1" applyBorder="1" applyFont="1">
      <alignment horizontal="center" readingOrder="0" vertical="center"/>
    </xf>
    <xf borderId="0" fillId="0" fontId="5" numFmtId="0" xfId="0" applyFont="1"/>
    <xf borderId="1" fillId="8" fontId="2" numFmtId="0" xfId="0" applyAlignment="1" applyBorder="1" applyFont="1">
      <alignment horizontal="center" readingOrder="0" vertical="center"/>
    </xf>
    <xf borderId="17" fillId="8" fontId="18" numFmtId="0" xfId="0" applyAlignment="1" applyBorder="1" applyFont="1">
      <alignment horizontal="center" readingOrder="0" vertical="bottom"/>
    </xf>
    <xf borderId="19" fillId="8" fontId="18" numFmtId="0" xfId="0" applyAlignment="1" applyBorder="1" applyFont="1">
      <alignment horizontal="center" readingOrder="0" vertical="bottom"/>
    </xf>
    <xf borderId="4" fillId="0" fontId="5" numFmtId="0" xfId="0" applyAlignment="1" applyBorder="1" applyFont="1">
      <alignment horizontal="center" vertical="bottom"/>
    </xf>
    <xf borderId="20" fillId="0" fontId="19" numFmtId="0" xfId="0" applyAlignment="1" applyBorder="1" applyFont="1">
      <alignment horizontal="center" readingOrder="0" vertical="bottom"/>
    </xf>
    <xf borderId="22" fillId="0" fontId="19" numFmtId="0" xfId="0" applyAlignment="1" applyBorder="1" applyFont="1">
      <alignment horizontal="center" readingOrder="0" vertical="bottom"/>
    </xf>
    <xf borderId="26" fillId="0" fontId="19" numFmtId="0" xfId="0" applyAlignment="1" applyBorder="1" applyFont="1">
      <alignment horizontal="center" readingOrder="0" vertical="bottom"/>
    </xf>
    <xf borderId="28" fillId="0" fontId="19" numFmtId="0" xfId="0" applyAlignment="1" applyBorder="1" applyFont="1">
      <alignment horizontal="center" readingOrder="0" vertical="bottom"/>
    </xf>
    <xf borderId="26" fillId="0" fontId="20" numFmtId="0" xfId="0" applyAlignment="1" applyBorder="1" applyFont="1">
      <alignment horizontal="center" readingOrder="0" vertical="bottom"/>
    </xf>
    <xf borderId="1" fillId="6" fontId="17" numFmtId="168" xfId="0" applyAlignment="1" applyBorder="1" applyFont="1" applyNumberFormat="1">
      <alignment horizontal="center" readingOrder="0" vertical="center"/>
    </xf>
    <xf borderId="29" fillId="0" fontId="19" numFmtId="0" xfId="0" applyAlignment="1" applyBorder="1" applyFont="1">
      <alignment horizontal="center" readingOrder="0" vertical="bottom"/>
    </xf>
    <xf borderId="31" fillId="0" fontId="19" numFmtId="0" xfId="0" applyAlignment="1" applyBorder="1" applyFont="1">
      <alignment horizontal="center" readingOrder="0" vertical="bottom"/>
    </xf>
    <xf borderId="1" fillId="0" fontId="5" numFmtId="0" xfId="0" applyAlignment="1" applyBorder="1" applyFont="1">
      <alignment horizontal="center" vertical="bottom"/>
    </xf>
    <xf borderId="2" fillId="0" fontId="5" numFmtId="49" xfId="0" applyAlignment="1" applyBorder="1" applyFont="1" applyNumberFormat="1">
      <alignment horizontal="center" vertical="bottom"/>
    </xf>
    <xf borderId="2" fillId="0" fontId="5" numFmtId="0" xfId="0" applyAlignment="1" applyBorder="1" applyFont="1">
      <alignment horizontal="center" vertical="bottom"/>
    </xf>
    <xf borderId="2" fillId="0" fontId="5" numFmtId="0" xfId="0" applyAlignment="1" applyBorder="1" applyFont="1">
      <alignment horizontal="center" readingOrder="0" vertical="bottom"/>
    </xf>
    <xf borderId="3" fillId="0" fontId="5" numFmtId="0" xfId="0" applyAlignment="1" applyBorder="1" applyFont="1">
      <alignment horizontal="center" vertical="bottom"/>
    </xf>
    <xf borderId="10" fillId="4" fontId="5" numFmtId="0" xfId="0" applyAlignment="1" applyBorder="1" applyFont="1">
      <alignment horizontal="center" vertical="bottom"/>
    </xf>
    <xf borderId="0" fillId="4" fontId="5" numFmtId="0" xfId="0" applyAlignment="1" applyFont="1">
      <alignment horizontal="center" vertical="bottom"/>
    </xf>
    <xf borderId="0" fillId="4" fontId="5" numFmtId="0" xfId="0" applyAlignment="1" applyFont="1">
      <alignment horizontal="center" readingOrder="0" vertical="bottom"/>
    </xf>
    <xf borderId="11" fillId="4" fontId="5" numFmtId="0" xfId="0" applyAlignment="1" applyBorder="1" applyFont="1">
      <alignment horizontal="center" readingOrder="0" vertical="bottom"/>
    </xf>
    <xf borderId="1" fillId="6" fontId="18" numFmtId="0" xfId="0" applyAlignment="1" applyBorder="1" applyFont="1">
      <alignment horizontal="center" readingOrder="0" vertical="bottom"/>
    </xf>
    <xf borderId="13" fillId="4" fontId="5" numFmtId="0" xfId="0" applyAlignment="1" applyBorder="1" applyFont="1">
      <alignment horizontal="center" vertical="bottom"/>
    </xf>
    <xf borderId="15" fillId="4" fontId="5" numFmtId="0" xfId="0" applyAlignment="1" applyBorder="1" applyFont="1">
      <alignment horizontal="center" vertical="bottom"/>
    </xf>
    <xf borderId="15" fillId="4" fontId="5" numFmtId="0" xfId="0" applyAlignment="1" applyBorder="1" applyFont="1">
      <alignment horizontal="center" readingOrder="0" vertical="bottom"/>
    </xf>
    <xf borderId="14" fillId="4" fontId="5" numFmtId="0" xfId="0" applyAlignment="1" applyBorder="1" applyFont="1">
      <alignment horizontal="center" readingOrder="0" vertical="bottom"/>
    </xf>
    <xf borderId="17" fillId="6" fontId="18" numFmtId="0" xfId="0" applyAlignment="1" applyBorder="1" applyFont="1">
      <alignment horizontal="center" readingOrder="0" vertical="bottom"/>
    </xf>
    <xf borderId="18" fillId="6" fontId="18" numFmtId="0" xfId="0" applyAlignment="1" applyBorder="1" applyFont="1">
      <alignment horizontal="center" readingOrder="0" vertical="bottom"/>
    </xf>
    <xf borderId="19" fillId="6" fontId="18" numFmtId="0" xfId="0" applyAlignment="1" applyBorder="1" applyFont="1">
      <alignment horizontal="center" readingOrder="0" vertical="bottom"/>
    </xf>
    <xf borderId="27" fillId="0" fontId="19" numFmtId="0" xfId="0" applyAlignment="1" applyBorder="1" applyFont="1">
      <alignment horizontal="center" readingOrder="0" vertical="bottom"/>
    </xf>
    <xf borderId="26" fillId="0" fontId="19" numFmtId="0" xfId="0" applyAlignment="1" applyBorder="1" applyFont="1">
      <alignment horizontal="center" readingOrder="0" vertical="bottom"/>
    </xf>
    <xf borderId="29" fillId="0" fontId="19" numFmtId="0" xfId="0" applyAlignment="1" applyBorder="1" applyFont="1">
      <alignment horizontal="center" readingOrder="0" vertical="bottom"/>
    </xf>
    <xf borderId="30" fillId="0" fontId="19" numFmtId="0" xfId="0" applyAlignment="1" applyBorder="1" applyFont="1">
      <alignment horizontal="center" readingOrder="0" vertical="bottom"/>
    </xf>
    <xf borderId="0" fillId="2" fontId="2" numFmtId="0" xfId="0" applyAlignment="1" applyFont="1">
      <alignment horizontal="center" readingOrder="0" vertical="center"/>
    </xf>
    <xf borderId="1" fillId="6" fontId="2" numFmtId="0" xfId="0" applyAlignment="1" applyBorder="1" applyFont="1">
      <alignment horizontal="center" readingOrder="0" vertical="center"/>
    </xf>
    <xf borderId="74" fillId="2" fontId="2" numFmtId="0" xfId="0" applyAlignment="1" applyBorder="1" applyFont="1">
      <alignment horizontal="center" readingOrder="0" vertical="center"/>
    </xf>
    <xf borderId="74" fillId="2" fontId="1" numFmtId="0" xfId="0" applyAlignment="1" applyBorder="1" applyFont="1">
      <alignment horizontal="center" vertical="center"/>
    </xf>
    <xf borderId="17" fillId="0" fontId="13" numFmtId="0" xfId="0" applyAlignment="1" applyBorder="1" applyFont="1">
      <alignment horizontal="center" readingOrder="0" vertical="center"/>
    </xf>
    <xf borderId="19" fillId="0" fontId="13" numFmtId="0" xfId="0" applyAlignment="1" applyBorder="1" applyFont="1">
      <alignment horizontal="center" readingOrder="0" vertical="center"/>
    </xf>
    <xf borderId="1" fillId="0" fontId="21" numFmtId="0" xfId="0" applyAlignment="1" applyBorder="1" applyFont="1">
      <alignment horizontal="center" vertical="center"/>
    </xf>
    <xf borderId="3" fillId="0" fontId="21" numFmtId="0" xfId="0" applyAlignment="1" applyBorder="1" applyFont="1">
      <alignment horizontal="center" vertical="center"/>
    </xf>
    <xf borderId="0" fillId="2" fontId="13" numFmtId="0" xfId="0" applyAlignment="1" applyFont="1">
      <alignment horizontal="center" readingOrder="0" vertical="center"/>
    </xf>
    <xf borderId="20" fillId="4" fontId="5" numFmtId="168" xfId="0" applyAlignment="1" applyBorder="1" applyFont="1" applyNumberFormat="1">
      <alignment horizontal="center" readingOrder="0" vertical="center"/>
    </xf>
    <xf borderId="61" fillId="0" fontId="5" numFmtId="0" xfId="0" applyAlignment="1" applyBorder="1" applyFont="1">
      <alignment horizontal="center" readingOrder="0" vertical="center"/>
    </xf>
    <xf borderId="4" fillId="4" fontId="5" numFmtId="0" xfId="0" applyAlignment="1" applyBorder="1" applyFont="1">
      <alignment horizontal="center" vertical="center"/>
    </xf>
    <xf borderId="6" fillId="4" fontId="5" numFmtId="0" xfId="0" applyAlignment="1" applyBorder="1" applyFont="1">
      <alignment horizontal="center" vertical="center"/>
    </xf>
    <xf borderId="48" fillId="2" fontId="5" numFmtId="0" xfId="0" applyAlignment="1" applyBorder="1" applyFont="1">
      <alignment horizontal="center" readingOrder="0" vertical="center"/>
    </xf>
    <xf borderId="49" fillId="2" fontId="1" numFmtId="0" xfId="0" applyAlignment="1" applyBorder="1" applyFont="1">
      <alignment horizontal="center" vertical="center"/>
    </xf>
    <xf borderId="29" fillId="4" fontId="5" numFmtId="20" xfId="0" applyAlignment="1" applyBorder="1" applyFont="1" applyNumberFormat="1">
      <alignment horizontal="center" readingOrder="0" vertical="center"/>
    </xf>
    <xf borderId="33" fillId="0" fontId="5" numFmtId="0" xfId="0" applyAlignment="1" applyBorder="1" applyFont="1">
      <alignment horizontal="center" vertical="center"/>
    </xf>
    <xf borderId="33" fillId="0" fontId="5" numFmtId="0" xfId="0" applyAlignment="1" applyBorder="1" applyFont="1">
      <alignment horizontal="center" readingOrder="0" vertical="center"/>
    </xf>
    <xf borderId="48" fillId="2" fontId="1" numFmtId="0" xfId="0" applyAlignment="1" applyBorder="1" applyFont="1">
      <alignment horizontal="center" vertical="center"/>
    </xf>
    <xf borderId="41" fillId="2" fontId="1" numFmtId="0" xfId="0" applyAlignment="1" applyBorder="1" applyFont="1">
      <alignment horizontal="center" vertical="center"/>
    </xf>
    <xf borderId="75" fillId="2" fontId="1" numFmtId="0" xfId="0" applyAlignment="1" applyBorder="1" applyFont="1">
      <alignment horizontal="center" vertical="center"/>
    </xf>
    <xf borderId="33" fillId="0" fontId="5" numFmtId="49" xfId="0" applyAlignment="1" applyBorder="1" applyFont="1" applyNumberFormat="1">
      <alignment horizontal="center" vertical="center"/>
    </xf>
    <xf borderId="13" fillId="9" fontId="5" numFmtId="0" xfId="0" applyAlignment="1" applyBorder="1" applyFill="1" applyFont="1">
      <alignment horizontal="center" vertical="center"/>
    </xf>
    <xf borderId="3" fillId="0" fontId="13" numFmtId="0" xfId="0" applyAlignment="1" applyBorder="1" applyFont="1">
      <alignment horizontal="center" readingOrder="0" vertical="center"/>
    </xf>
    <xf borderId="76" fillId="2" fontId="1" numFmtId="0" xfId="0" applyAlignment="1" applyBorder="1" applyFont="1">
      <alignment horizontal="center" vertical="center"/>
    </xf>
    <xf borderId="77" fillId="2" fontId="1" numFmtId="0" xfId="0" applyAlignment="1" applyBorder="1" applyFont="1">
      <alignment horizontal="center" vertical="center"/>
    </xf>
    <xf borderId="74" fillId="2" fontId="21" numFmtId="0" xfId="0" applyAlignment="1" applyBorder="1" applyFont="1">
      <alignment horizontal="center" vertical="center"/>
    </xf>
    <xf borderId="0" fillId="2" fontId="21" numFmtId="0" xfId="0" applyAlignment="1" applyFont="1">
      <alignment horizontal="center" vertical="center"/>
    </xf>
    <xf borderId="74" fillId="2" fontId="5" numFmtId="0" xfId="0" applyAlignment="1" applyBorder="1" applyFont="1">
      <alignment horizontal="center" vertical="center"/>
    </xf>
    <xf borderId="1" fillId="10" fontId="2" numFmtId="0" xfId="0" applyAlignment="1" applyBorder="1" applyFill="1" applyFont="1">
      <alignment horizontal="center" readingOrder="0" vertical="center"/>
    </xf>
    <xf borderId="48" fillId="2" fontId="1" numFmtId="0" xfId="0" applyBorder="1" applyFont="1"/>
    <xf borderId="78" fillId="2" fontId="1" numFmtId="0" xfId="0" applyAlignment="1" applyBorder="1" applyFont="1">
      <alignment horizontal="center" vertical="center"/>
    </xf>
    <xf borderId="79" fillId="2" fontId="1" numFmtId="0" xfId="0" applyAlignment="1" applyBorder="1" applyFont="1">
      <alignment horizontal="center" vertical="center"/>
    </xf>
    <xf borderId="11" fillId="2" fontId="2" numFmtId="0" xfId="0" applyAlignment="1" applyBorder="1" applyFont="1">
      <alignment horizontal="center" readingOrder="0" vertical="center"/>
    </xf>
    <xf borderId="2" fillId="11" fontId="22" numFmtId="0" xfId="0" applyAlignment="1" applyBorder="1" applyFill="1" applyFont="1">
      <alignment horizontal="center" readingOrder="0" vertical="center"/>
    </xf>
    <xf borderId="1" fillId="11" fontId="2" numFmtId="0" xfId="0" applyAlignment="1" applyBorder="1" applyFont="1">
      <alignment horizontal="center" readingOrder="0" vertical="center"/>
    </xf>
    <xf borderId="3" fillId="11" fontId="2" numFmtId="0" xfId="0" applyAlignment="1" applyBorder="1" applyFont="1">
      <alignment horizontal="center" readingOrder="0" vertical="center"/>
    </xf>
    <xf borderId="2" fillId="11" fontId="2" numFmtId="0" xfId="0" applyAlignment="1" applyBorder="1" applyFont="1">
      <alignment horizontal="center" readingOrder="0" vertical="center"/>
    </xf>
    <xf borderId="2" fillId="2" fontId="2" numFmtId="0" xfId="0" applyAlignment="1" applyBorder="1" applyFont="1">
      <alignment horizontal="center" readingOrder="0" vertical="center"/>
    </xf>
    <xf borderId="1" fillId="0" fontId="1" numFmtId="0" xfId="0" applyBorder="1" applyFont="1"/>
    <xf borderId="2" fillId="0" fontId="23" numFmtId="168" xfId="0" applyAlignment="1" applyBorder="1" applyFont="1" applyNumberFormat="1">
      <alignment horizontal="center" readingOrder="0" shrinkToFit="0" vertical="center" wrapText="1"/>
    </xf>
    <xf borderId="2" fillId="0" fontId="23" numFmtId="0" xfId="0" applyAlignment="1" applyBorder="1" applyFont="1">
      <alignment horizontal="center" readingOrder="0" shrinkToFit="0" vertical="center" wrapText="1"/>
    </xf>
    <xf borderId="0" fillId="2" fontId="23" numFmtId="0" xfId="0" applyAlignment="1" applyFont="1">
      <alignment horizontal="center" readingOrder="0" shrinkToFit="0" vertical="center" wrapText="1"/>
    </xf>
    <xf borderId="0" fillId="2" fontId="24" numFmtId="0" xfId="0" applyAlignment="1" applyFont="1">
      <alignment horizontal="center"/>
    </xf>
    <xf borderId="4" fillId="0" fontId="18" numFmtId="0" xfId="0" applyAlignment="1" applyBorder="1" applyFont="1">
      <alignment horizontal="center" readingOrder="0" vertical="center"/>
    </xf>
    <xf borderId="4" fillId="0" fontId="18" numFmtId="0" xfId="0" applyAlignment="1" applyBorder="1" applyFont="1">
      <alignment horizontal="center" readingOrder="0" shrinkToFit="0" vertical="center" wrapText="1"/>
    </xf>
    <xf borderId="0" fillId="2" fontId="18" numFmtId="0" xfId="0" applyAlignment="1" applyFont="1">
      <alignment horizontal="center" readingOrder="0" shrinkToFit="0" vertical="center" wrapText="1"/>
    </xf>
    <xf borderId="4" fillId="0" fontId="25" numFmtId="0" xfId="0" applyAlignment="1" applyBorder="1" applyFont="1">
      <alignment horizontal="center" readingOrder="0" vertical="center"/>
    </xf>
    <xf borderId="0" fillId="2" fontId="18" numFmtId="0" xfId="0" applyAlignment="1" applyFont="1">
      <alignment horizontal="center" readingOrder="0" vertical="center"/>
    </xf>
    <xf borderId="51" fillId="0" fontId="19" numFmtId="0" xfId="0" applyAlignment="1" applyBorder="1" applyFont="1">
      <alignment horizontal="center" readingOrder="0" vertical="center"/>
    </xf>
    <xf borderId="4" fillId="0" fontId="19" numFmtId="0" xfId="0" applyAlignment="1" applyBorder="1" applyFont="1">
      <alignment horizontal="center" readingOrder="0" vertical="center"/>
    </xf>
    <xf borderId="5" fillId="0" fontId="19" numFmtId="0" xfId="0" applyAlignment="1" applyBorder="1" applyFont="1">
      <alignment horizontal="center" readingOrder="0" vertical="center"/>
    </xf>
    <xf borderId="6" fillId="0" fontId="19"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4" fillId="0" fontId="19" numFmtId="0" xfId="0" applyAlignment="1" applyBorder="1" applyFont="1">
      <alignment horizontal="center" readingOrder="0" shrinkToFit="0" vertical="center" wrapText="1"/>
    </xf>
    <xf borderId="6" fillId="0" fontId="19" numFmtId="0" xfId="0" applyAlignment="1" applyBorder="1" applyFont="1">
      <alignment horizontal="center" readingOrder="0" vertical="center"/>
    </xf>
    <xf borderId="2" fillId="0" fontId="19" numFmtId="0" xfId="0" applyAlignment="1" applyBorder="1" applyFont="1">
      <alignment horizontal="center" readingOrder="0" vertical="center"/>
    </xf>
    <xf borderId="3" fillId="0" fontId="19" numFmtId="0" xfId="0" applyAlignment="1" applyBorder="1" applyFont="1">
      <alignment horizontal="center" readingOrder="0" vertical="center"/>
    </xf>
    <xf borderId="1" fillId="0" fontId="19" numFmtId="0" xfId="0" applyAlignment="1" applyBorder="1" applyFont="1">
      <alignment horizontal="center" readingOrder="0" vertical="center"/>
    </xf>
    <xf borderId="3" fillId="0" fontId="19" numFmtId="0" xfId="0" applyAlignment="1" applyBorder="1" applyFont="1">
      <alignment horizontal="center" readingOrder="0" shrinkToFit="0" vertical="center" wrapText="1"/>
    </xf>
    <xf borderId="0" fillId="2" fontId="19" numFmtId="0" xfId="0" applyAlignment="1" applyFont="1">
      <alignment horizontal="center" readingOrder="0" vertical="center"/>
    </xf>
    <xf borderId="5" fillId="0" fontId="5" numFmtId="49" xfId="0" applyAlignment="1" applyBorder="1" applyFont="1" applyNumberFormat="1">
      <alignment horizontal="center" readingOrder="0" vertical="center"/>
    </xf>
    <xf borderId="5" fillId="0" fontId="5" numFmtId="0" xfId="0" applyAlignment="1" applyBorder="1" applyFont="1">
      <alignment horizontal="center" readingOrder="0" vertical="center"/>
    </xf>
    <xf borderId="6" fillId="0" fontId="5" numFmtId="0" xfId="0" applyAlignment="1" applyBorder="1" applyFont="1">
      <alignment horizontal="center" readingOrder="0" vertical="center"/>
    </xf>
    <xf borderId="12" fillId="0" fontId="5" numFmtId="0" xfId="0" applyAlignment="1" applyBorder="1" applyFont="1">
      <alignment horizontal="center" readingOrder="0" vertical="center"/>
    </xf>
    <xf borderId="0" fillId="0" fontId="5" numFmtId="49" xfId="0" applyAlignment="1" applyFont="1" applyNumberFormat="1">
      <alignment horizontal="center" readingOrder="0" vertical="center"/>
    </xf>
    <xf borderId="11" fillId="0" fontId="5" numFmtId="0" xfId="0" applyAlignment="1" applyBorder="1" applyFont="1">
      <alignment horizontal="center" readingOrder="0" vertical="center"/>
    </xf>
    <xf borderId="46" fillId="0" fontId="3" numFmtId="0" xfId="0" applyBorder="1" applyFont="1"/>
    <xf borderId="25" fillId="0" fontId="3" numFmtId="0" xfId="0" applyBorder="1" applyFont="1"/>
    <xf borderId="80" fillId="0" fontId="5" numFmtId="0" xfId="0" applyAlignment="1" applyBorder="1" applyFont="1">
      <alignment horizontal="center" readingOrder="0" vertical="center"/>
    </xf>
    <xf borderId="48" fillId="0" fontId="5" numFmtId="49" xfId="0" applyAlignment="1" applyBorder="1" applyFont="1" applyNumberFormat="1">
      <alignment horizontal="center" readingOrder="0" vertical="center"/>
    </xf>
    <xf borderId="48" fillId="0" fontId="5" numFmtId="0" xfId="0" applyAlignment="1" applyBorder="1" applyFont="1">
      <alignment horizontal="center" readingOrder="0" vertical="center"/>
    </xf>
    <xf borderId="47" fillId="0" fontId="5" numFmtId="0" xfId="0" applyAlignment="1" applyBorder="1" applyFont="1">
      <alignment horizontal="center" readingOrder="0" vertical="center"/>
    </xf>
    <xf borderId="48" fillId="0" fontId="5" numFmtId="0" xfId="0" applyAlignment="1" applyBorder="1" applyFont="1">
      <alignment horizontal="center" readingOrder="0" vertical="center"/>
    </xf>
    <xf borderId="0" fillId="0" fontId="5" numFmtId="0" xfId="0" applyAlignment="1" applyFont="1">
      <alignment horizontal="center" readingOrder="0" vertical="center"/>
    </xf>
    <xf borderId="11" fillId="0" fontId="5" numFmtId="0" xfId="0" applyAlignment="1" applyBorder="1" applyFont="1">
      <alignment horizontal="center" readingOrder="0" vertical="center"/>
    </xf>
    <xf borderId="60" fillId="0" fontId="5" numFmtId="0" xfId="0" applyAlignment="1" applyBorder="1" applyFont="1">
      <alignment horizontal="center" readingOrder="0" vertical="center"/>
    </xf>
    <xf borderId="48" fillId="0" fontId="5" numFmtId="49" xfId="0" applyAlignment="1" applyBorder="1" applyFont="1" applyNumberFormat="1">
      <alignment horizontal="center" readingOrder="0"/>
    </xf>
    <xf borderId="48" fillId="0" fontId="5" numFmtId="49" xfId="0" applyAlignment="1" applyBorder="1" applyFont="1" applyNumberFormat="1">
      <alignment horizontal="center" readingOrder="0" vertical="bottom"/>
    </xf>
    <xf borderId="23" fillId="0" fontId="3" numFmtId="0" xfId="0" applyBorder="1" applyFont="1"/>
    <xf borderId="23" fillId="0" fontId="5" numFmtId="0" xfId="0" applyAlignment="1" applyBorder="1" applyFont="1">
      <alignment horizontal="center" readingOrder="0" vertical="center"/>
    </xf>
    <xf borderId="46" fillId="0" fontId="5" numFmtId="49" xfId="0" applyAlignment="1" applyBorder="1" applyFont="1" applyNumberFormat="1">
      <alignment horizontal="center" readingOrder="0" vertical="center"/>
    </xf>
    <xf borderId="46" fillId="0" fontId="5" numFmtId="0" xfId="0" applyAlignment="1" applyBorder="1" applyFont="1">
      <alignment horizontal="center" readingOrder="0" vertical="center"/>
    </xf>
    <xf borderId="25" fillId="0" fontId="5" numFmtId="0" xfId="0" applyAlignment="1" applyBorder="1" applyFont="1">
      <alignment horizontal="center" readingOrder="0" vertical="center"/>
    </xf>
    <xf borderId="46" fillId="0" fontId="5" numFmtId="49" xfId="0" applyAlignment="1" applyBorder="1" applyFont="1" applyNumberFormat="1">
      <alignment horizontal="center" readingOrder="0"/>
    </xf>
    <xf borderId="46" fillId="0" fontId="5" numFmtId="49" xfId="0" applyAlignment="1" applyBorder="1" applyFont="1" applyNumberFormat="1">
      <alignment horizontal="center" readingOrder="0" vertical="bottom"/>
    </xf>
    <xf borderId="47" fillId="0" fontId="5" numFmtId="0" xfId="0" applyAlignment="1" applyBorder="1" applyFont="1">
      <alignment horizontal="center" readingOrder="0" vertical="center"/>
    </xf>
    <xf borderId="13" fillId="0" fontId="5" numFmtId="0" xfId="0" applyAlignment="1" applyBorder="1" applyFont="1">
      <alignment horizontal="center" readingOrder="0" vertical="center"/>
    </xf>
    <xf borderId="15" fillId="0" fontId="5" numFmtId="49" xfId="0" applyAlignment="1" applyBorder="1" applyFont="1" applyNumberFormat="1">
      <alignment horizontal="center" readingOrder="0" vertical="center"/>
    </xf>
    <xf borderId="14" fillId="0" fontId="5" numFmtId="0" xfId="0" applyAlignment="1" applyBorder="1" applyFont="1">
      <alignment horizontal="center" readingOrder="0" vertical="center"/>
    </xf>
    <xf borderId="0" fillId="2" fontId="5" numFmtId="49" xfId="0" applyAlignment="1" applyFont="1" applyNumberFormat="1">
      <alignment horizontal="center" readingOrder="0" vertical="center"/>
    </xf>
    <xf borderId="0" fillId="2" fontId="5" numFmtId="0" xfId="0" applyAlignment="1" applyFont="1">
      <alignment horizontal="center"/>
    </xf>
    <xf borderId="1" fillId="0" fontId="5" numFmtId="49" xfId="0" applyAlignment="1" applyBorder="1" applyFont="1" applyNumberFormat="1">
      <alignment horizontal="center" readingOrder="0" vertical="center"/>
    </xf>
    <xf borderId="3" fillId="0" fontId="5" numFmtId="49" xfId="0" applyAlignment="1" applyBorder="1" applyFont="1" applyNumberFormat="1">
      <alignment horizontal="center" readingOrder="0" vertical="center"/>
    </xf>
    <xf borderId="5" fillId="0" fontId="18" numFmtId="49" xfId="0" applyAlignment="1" applyBorder="1" applyFont="1" applyNumberFormat="1">
      <alignment horizontal="center" readingOrder="0" shrinkToFit="0" vertical="center" wrapText="1"/>
    </xf>
    <xf borderId="5" fillId="0" fontId="18" numFmtId="0" xfId="0" applyAlignment="1" applyBorder="1" applyFont="1">
      <alignment horizontal="center" readingOrder="0" shrinkToFit="0" vertical="center" wrapText="1"/>
    </xf>
    <xf borderId="4" fillId="0" fontId="18" numFmtId="49" xfId="0" applyAlignment="1" applyBorder="1" applyFont="1" applyNumberFormat="1">
      <alignment horizontal="center" readingOrder="0" vertical="center"/>
    </xf>
    <xf borderId="0" fillId="0" fontId="18" numFmtId="0" xfId="0" applyAlignment="1" applyFont="1">
      <alignment horizontal="center" readingOrder="0" shrinkToFit="0" vertical="center" wrapText="1"/>
    </xf>
    <xf borderId="0" fillId="0" fontId="19" numFmtId="0" xfId="0" applyAlignment="1" applyFont="1">
      <alignment horizontal="center" readingOrder="0" vertical="center"/>
    </xf>
    <xf borderId="4" fillId="0" fontId="18" numFmtId="49" xfId="0" applyAlignment="1" applyBorder="1" applyFont="1" applyNumberFormat="1">
      <alignment horizontal="center" readingOrder="0" shrinkToFit="0" vertical="center" wrapText="1"/>
    </xf>
    <xf borderId="4" fillId="0" fontId="18" numFmtId="49" xfId="0" applyAlignment="1" applyBorder="1" applyFont="1" applyNumberFormat="1">
      <alignment horizontal="center" readingOrder="0" shrinkToFit="0" vertical="center" wrapText="1"/>
    </xf>
    <xf borderId="6" fillId="0" fontId="26" numFmtId="0" xfId="0" applyAlignment="1" applyBorder="1" applyFont="1">
      <alignment horizontal="center" readingOrder="0" vertical="center"/>
    </xf>
    <xf borderId="81" fillId="0" fontId="5" numFmtId="0" xfId="0" applyAlignment="1" applyBorder="1" applyFont="1">
      <alignment horizontal="center" readingOrder="0" vertical="center"/>
    </xf>
    <xf borderId="41" fillId="0" fontId="5" numFmtId="0" xfId="0" applyAlignment="1" applyBorder="1" applyFont="1">
      <alignment horizontal="center" readingOrder="0" vertical="center"/>
    </xf>
    <xf borderId="49" fillId="0" fontId="5" numFmtId="0" xfId="0" applyAlignment="1" applyBorder="1" applyFont="1">
      <alignment horizontal="center" readingOrder="0" vertical="center"/>
    </xf>
    <xf borderId="0" fillId="2" fontId="13" numFmtId="49" xfId="0" applyAlignment="1" applyFont="1" applyNumberFormat="1">
      <alignment horizontal="center" readingOrder="0" vertical="center"/>
    </xf>
    <xf borderId="4" fillId="0" fontId="27" numFmtId="0" xfId="0" applyAlignment="1" applyBorder="1" applyFont="1">
      <alignment horizontal="center" readingOrder="0" vertical="center"/>
    </xf>
    <xf borderId="75" fillId="0" fontId="5" numFmtId="0" xfId="0" applyAlignment="1" applyBorder="1" applyFont="1">
      <alignment horizontal="center" readingOrder="0" vertical="center"/>
    </xf>
    <xf borderId="4" fillId="0" fontId="5" numFmtId="0" xfId="0" applyAlignment="1" applyBorder="1" applyFont="1">
      <alignment horizontal="center" readingOrder="0" vertical="center"/>
    </xf>
    <xf borderId="80" fillId="0" fontId="5" numFmtId="0" xfId="0" applyAlignment="1" applyBorder="1" applyFont="1">
      <alignment horizontal="center" readingOrder="0" vertical="center"/>
    </xf>
    <xf borderId="10" fillId="0" fontId="5" numFmtId="0" xfId="0" applyAlignment="1" applyBorder="1" applyFont="1">
      <alignment horizontal="center" readingOrder="0" vertical="center"/>
    </xf>
    <xf borderId="44" fillId="0" fontId="5" numFmtId="0" xfId="0" applyAlignment="1" applyBorder="1" applyFont="1">
      <alignment horizontal="center" readingOrder="0" vertical="center"/>
    </xf>
    <xf borderId="13" fillId="0" fontId="5" numFmtId="49" xfId="0" applyAlignment="1" applyBorder="1" applyFont="1" applyNumberFormat="1">
      <alignment horizontal="center" readingOrder="0" vertical="center"/>
    </xf>
    <xf borderId="14" fillId="0" fontId="5" numFmtId="49" xfId="0" applyAlignment="1" applyBorder="1" applyFont="1" applyNumberFormat="1">
      <alignment horizontal="center" readingOrder="0" vertical="center"/>
    </xf>
    <xf borderId="5" fillId="0" fontId="18" numFmtId="49" xfId="0" applyAlignment="1" applyBorder="1" applyFont="1" applyNumberFormat="1">
      <alignment horizontal="center" readingOrder="0" shrinkToFit="0" vertical="center" wrapText="1"/>
    </xf>
    <xf borderId="0" fillId="2" fontId="18"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4" fillId="0" fontId="28" numFmtId="49" xfId="0" applyAlignment="1" applyBorder="1" applyFont="1" applyNumberFormat="1">
      <alignment horizontal="center" readingOrder="0" shrinkToFit="0" vertical="center" wrapText="1"/>
    </xf>
    <xf borderId="4" fillId="6" fontId="15" numFmtId="0" xfId="0" applyAlignment="1" applyBorder="1" applyFont="1">
      <alignment horizontal="center" readingOrder="0" vertical="center"/>
    </xf>
    <xf borderId="3" fillId="0" fontId="5" numFmtId="0" xfId="0" applyAlignment="1" applyBorder="1" applyFont="1">
      <alignment horizontal="center" readingOrder="0" vertical="center"/>
    </xf>
    <xf borderId="1" fillId="6" fontId="29" numFmtId="0" xfId="0" applyAlignment="1" applyBorder="1" applyFont="1">
      <alignment horizontal="center" readingOrder="0" vertical="center"/>
    </xf>
    <xf borderId="4" fillId="4" fontId="5" numFmtId="0" xfId="0" applyAlignment="1" applyBorder="1" applyFont="1">
      <alignment horizontal="center" readingOrder="0" vertical="center"/>
    </xf>
    <xf borderId="10" fillId="4" fontId="5" numFmtId="0" xfId="0" applyAlignment="1" applyBorder="1" applyFont="1">
      <alignment horizontal="center" readingOrder="0" vertical="center"/>
    </xf>
    <xf borderId="13" fillId="4" fontId="5" numFmtId="0" xfId="0" applyAlignment="1" applyBorder="1" applyFont="1">
      <alignment horizontal="center" readingOrder="0" vertical="center"/>
    </xf>
    <xf borderId="15" fillId="0" fontId="5" numFmtId="0" xfId="0" applyAlignment="1" applyBorder="1" applyFont="1">
      <alignment horizontal="center" vertical="center"/>
    </xf>
    <xf borderId="13" fillId="6" fontId="29" numFmtId="0" xfId="0" applyAlignment="1" applyBorder="1" applyFont="1">
      <alignment horizontal="center" readingOrder="0" vertical="center"/>
    </xf>
    <xf borderId="11" fillId="0" fontId="5" numFmtId="0" xfId="0" applyAlignment="1" applyBorder="1" applyFont="1">
      <alignment horizontal="center" vertical="center"/>
    </xf>
    <xf borderId="14" fillId="0" fontId="5" numFmtId="0" xfId="0" applyAlignment="1" applyBorder="1" applyFont="1">
      <alignment horizontal="center" vertical="center"/>
    </xf>
    <xf borderId="0" fillId="0" fontId="30" numFmtId="0" xfId="0" applyAlignment="1" applyFont="1">
      <alignment horizontal="center" readingOrder="0" vertical="center"/>
    </xf>
    <xf borderId="11" fillId="0" fontId="30" numFmtId="0" xfId="0" applyAlignment="1" applyBorder="1" applyFont="1">
      <alignment horizontal="center" readingOrder="0" vertical="center"/>
    </xf>
    <xf borderId="4" fillId="6" fontId="29" numFmtId="0" xfId="0" applyAlignment="1" applyBorder="1" applyFont="1">
      <alignment horizontal="center" readingOrder="0" vertical="center"/>
    </xf>
    <xf borderId="5" fillId="0" fontId="5" numFmtId="0" xfId="0" applyAlignment="1" applyBorder="1" applyFont="1">
      <alignment horizontal="center" vertical="center"/>
    </xf>
    <xf borderId="5" fillId="0" fontId="5" numFmtId="0" xfId="0" applyAlignment="1" applyBorder="1" applyFont="1">
      <alignment horizontal="center" shrinkToFit="0" vertical="center" wrapText="1"/>
    </xf>
    <xf borderId="6"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11" fillId="0" fontId="5" numFmtId="0" xfId="0" applyAlignment="1" applyBorder="1" applyFont="1">
      <alignment horizontal="center" shrinkToFit="0" vertical="center" wrapText="1"/>
    </xf>
    <xf borderId="11" fillId="0" fontId="5" numFmtId="0" xfId="0" applyAlignment="1" applyBorder="1" applyFont="1">
      <alignment horizontal="center" shrinkToFit="0" vertical="center" wrapText="1"/>
    </xf>
    <xf borderId="15" fillId="0" fontId="30" numFmtId="0" xfId="0" applyAlignment="1" applyBorder="1" applyFont="1">
      <alignment horizontal="center" readingOrder="0" vertical="center"/>
    </xf>
    <xf borderId="14" fillId="0" fontId="30" numFmtId="0" xfId="0" applyAlignment="1" applyBorder="1" applyFont="1">
      <alignment horizontal="center" readingOrder="0" vertical="center"/>
    </xf>
    <xf borderId="14" fillId="0" fontId="5" numFmtId="0" xfId="0" applyAlignment="1" applyBorder="1" applyFont="1">
      <alignment horizontal="center" shrinkToFit="0" vertical="center" wrapText="1"/>
    </xf>
    <xf borderId="0" fillId="0" fontId="1" numFmtId="0" xfId="0" applyAlignment="1" applyFont="1">
      <alignment horizontal="center" vertical="center"/>
    </xf>
    <xf borderId="0" fillId="0" fontId="2" numFmtId="0" xfId="0" applyAlignment="1" applyFont="1">
      <alignment horizontal="center" readingOrder="0" vertical="center"/>
    </xf>
    <xf borderId="0" fillId="0" fontId="2" numFmtId="0" xfId="0" applyFont="1"/>
    <xf borderId="4" fillId="3" fontId="17" numFmtId="0" xfId="0" applyAlignment="1" applyBorder="1" applyFont="1">
      <alignment horizontal="center" readingOrder="0" vertical="center"/>
    </xf>
    <xf borderId="51" fillId="0" fontId="31" numFmtId="0" xfId="0" applyAlignment="1" applyBorder="1" applyFont="1">
      <alignment horizontal="center" readingOrder="0" vertical="center"/>
    </xf>
    <xf borderId="16" fillId="0" fontId="31" numFmtId="0" xfId="0" applyAlignment="1" applyBorder="1" applyFont="1">
      <alignment horizontal="center" readingOrder="0" vertical="center"/>
    </xf>
    <xf borderId="82" fillId="3" fontId="17" numFmtId="0" xfId="0" applyAlignment="1" applyBorder="1" applyFont="1">
      <alignment horizontal="center" readingOrder="0" vertical="center"/>
    </xf>
    <xf borderId="83" fillId="0" fontId="3" numFmtId="0" xfId="0" applyBorder="1" applyFont="1"/>
    <xf borderId="84" fillId="0" fontId="3" numFmtId="0" xfId="0" applyBorder="1" applyFont="1"/>
    <xf borderId="16" fillId="0" fontId="1" numFmtId="0" xfId="0" applyAlignment="1" applyBorder="1" applyFont="1">
      <alignment horizontal="center" readingOrder="0" vertical="center"/>
    </xf>
    <xf borderId="13" fillId="3" fontId="17" numFmtId="168" xfId="0" applyAlignment="1" applyBorder="1" applyFont="1" applyNumberFormat="1">
      <alignment horizontal="center"/>
    </xf>
    <xf borderId="13" fillId="3" fontId="17" numFmtId="168" xfId="0" applyAlignment="1" applyBorder="1" applyFont="1" applyNumberFormat="1">
      <alignment horizontal="center" vertical="bottom"/>
    </xf>
    <xf borderId="12" fillId="0" fontId="1" numFmtId="0" xfId="0" applyAlignment="1" applyBorder="1" applyFont="1">
      <alignment horizontal="center" readingOrder="0" vertical="center"/>
    </xf>
    <xf borderId="5" fillId="0" fontId="5" numFmtId="20" xfId="0" applyAlignment="1" applyBorder="1" applyFont="1" applyNumberFormat="1">
      <alignment horizontal="center" vertical="bottom"/>
    </xf>
    <xf borderId="5" fillId="0" fontId="32" numFmtId="49" xfId="0" applyAlignment="1" applyBorder="1" applyFont="1" applyNumberFormat="1">
      <alignment horizontal="center" vertical="bottom"/>
    </xf>
    <xf borderId="0" fillId="0" fontId="5" numFmtId="20" xfId="0" applyAlignment="1" applyFont="1" applyNumberFormat="1">
      <alignment horizontal="center" vertical="bottom"/>
    </xf>
    <xf borderId="0" fillId="0" fontId="32" numFmtId="49" xfId="0" applyAlignment="1" applyFont="1" applyNumberFormat="1">
      <alignment horizontal="center" vertical="bottom"/>
    </xf>
    <xf borderId="11" fillId="0" fontId="5" numFmtId="0" xfId="0" applyAlignment="1" applyBorder="1" applyFont="1">
      <alignment horizontal="center" vertical="bottom"/>
    </xf>
    <xf borderId="15" fillId="0" fontId="5" numFmtId="20" xfId="0" applyAlignment="1" applyBorder="1" applyFont="1" applyNumberFormat="1">
      <alignment horizontal="center" vertical="bottom"/>
    </xf>
    <xf borderId="15" fillId="0" fontId="32" numFmtId="49" xfId="0" applyAlignment="1" applyBorder="1" applyFont="1" applyNumberFormat="1">
      <alignment horizontal="center" vertical="bottom"/>
    </xf>
    <xf borderId="15" fillId="0" fontId="14" numFmtId="49" xfId="0" applyAlignment="1" applyBorder="1" applyFont="1" applyNumberFormat="1">
      <alignment horizontal="center" vertical="bottom"/>
    </xf>
    <xf borderId="15" fillId="0" fontId="5" numFmtId="0" xfId="0" applyAlignment="1" applyBorder="1" applyFont="1">
      <alignment horizontal="center" vertical="bottom"/>
    </xf>
    <xf borderId="13" fillId="0" fontId="14" numFmtId="0" xfId="0" applyAlignment="1" applyBorder="1" applyFont="1">
      <alignment horizontal="center" vertical="bottom"/>
    </xf>
    <xf borderId="15" fillId="0" fontId="5" numFmtId="0" xfId="0" applyAlignment="1" applyBorder="1" applyFont="1">
      <alignment horizontal="center" vertical="bottom"/>
    </xf>
    <xf borderId="14" fillId="0" fontId="5" numFmtId="0" xfId="0" applyAlignment="1" applyBorder="1" applyFont="1">
      <alignment horizontal="center" vertical="bottom"/>
    </xf>
    <xf borderId="13" fillId="3" fontId="15" numFmtId="168" xfId="0" applyAlignment="1" applyBorder="1" applyFont="1" applyNumberFormat="1">
      <alignment horizontal="center"/>
    </xf>
    <xf borderId="32" fillId="0" fontId="1" numFmtId="0" xfId="0" applyAlignment="1" applyBorder="1" applyFont="1">
      <alignment horizontal="center" readingOrder="0" vertical="center"/>
    </xf>
    <xf borderId="4" fillId="3" fontId="5" numFmtId="0" xfId="0" applyAlignment="1" applyBorder="1" applyFont="1">
      <alignment horizontal="center" vertical="bottom"/>
    </xf>
    <xf borderId="5" fillId="3" fontId="5" numFmtId="49" xfId="0" applyAlignment="1" applyBorder="1" applyFont="1" applyNumberFormat="1">
      <alignment horizontal="center" vertical="bottom"/>
    </xf>
    <xf borderId="5" fillId="3" fontId="5" numFmtId="0" xfId="0" applyAlignment="1" applyBorder="1" applyFont="1">
      <alignment horizontal="center" vertical="bottom"/>
    </xf>
    <xf borderId="6" fillId="3" fontId="5" numFmtId="0" xfId="0" applyAlignment="1" applyBorder="1" applyFont="1">
      <alignment horizontal="center" vertical="bottom"/>
    </xf>
    <xf borderId="5" fillId="0" fontId="14" numFmtId="0" xfId="0" applyAlignment="1" applyBorder="1" applyFont="1">
      <alignment horizontal="center" vertical="bottom"/>
    </xf>
    <xf borderId="4" fillId="0" fontId="13" numFmtId="0" xfId="0" applyAlignment="1" applyBorder="1" applyFont="1">
      <alignment horizontal="center" readingOrder="0"/>
    </xf>
    <xf borderId="5" fillId="0" fontId="13" numFmtId="0" xfId="0" applyAlignment="1" applyBorder="1" applyFont="1">
      <alignment horizontal="center" readingOrder="0"/>
    </xf>
    <xf borderId="6" fillId="0" fontId="13" numFmtId="0" xfId="0" applyAlignment="1" applyBorder="1" applyFont="1">
      <alignment horizontal="center" readingOrder="0" vertical="bottom"/>
    </xf>
    <xf borderId="4" fillId="0" fontId="5" numFmtId="0" xfId="0" applyAlignment="1" applyBorder="1" applyFont="1">
      <alignment horizontal="center"/>
    </xf>
    <xf borderId="5" fillId="0" fontId="5" numFmtId="0" xfId="0" applyAlignment="1" applyBorder="1" applyFont="1">
      <alignment horizontal="center"/>
    </xf>
    <xf borderId="6" fillId="0" fontId="5" numFmtId="0" xfId="0" applyAlignment="1" applyBorder="1" applyFont="1">
      <alignment horizontal="center" readingOrder="0"/>
    </xf>
    <xf borderId="10" fillId="0" fontId="5" numFmtId="0" xfId="0" applyAlignment="1" applyBorder="1" applyFont="1">
      <alignment horizontal="center"/>
    </xf>
    <xf borderId="0" fillId="0" fontId="5" numFmtId="0" xfId="0" applyAlignment="1" applyFont="1">
      <alignment horizontal="center"/>
    </xf>
    <xf borderId="11" fillId="0" fontId="5" numFmtId="0" xfId="0" applyAlignment="1" applyBorder="1" applyFont="1">
      <alignment horizontal="center" readingOrder="0"/>
    </xf>
    <xf borderId="34" fillId="0" fontId="5" numFmtId="0" xfId="0" applyAlignment="1" applyBorder="1" applyFont="1">
      <alignment horizontal="center"/>
    </xf>
    <xf borderId="35" fillId="0" fontId="5" numFmtId="0" xfId="0" applyAlignment="1" applyBorder="1" applyFont="1">
      <alignment horizontal="center"/>
    </xf>
    <xf borderId="85" fillId="0" fontId="5" numFmtId="0" xfId="0" applyAlignment="1" applyBorder="1" applyFont="1">
      <alignment horizontal="center" readingOrder="0"/>
    </xf>
    <xf borderId="4" fillId="0" fontId="14" numFmtId="0" xfId="0" applyAlignment="1" applyBorder="1" applyFont="1">
      <alignment horizontal="center" vertical="bottom"/>
    </xf>
    <xf borderId="86" fillId="0" fontId="5" numFmtId="0" xfId="0" applyAlignment="1" applyBorder="1" applyFont="1">
      <alignment horizontal="center"/>
    </xf>
    <xf borderId="87" fillId="0" fontId="5" numFmtId="0" xfId="0" applyAlignment="1" applyBorder="1" applyFont="1">
      <alignment horizontal="center"/>
    </xf>
    <xf borderId="88" fillId="0" fontId="5" numFmtId="0" xfId="0" applyAlignment="1" applyBorder="1" applyFont="1">
      <alignment horizontal="center" readingOrder="0"/>
    </xf>
    <xf borderId="0" fillId="0" fontId="14" numFmtId="0" xfId="0" applyAlignment="1" applyFont="1">
      <alignment horizontal="center" vertical="bottom"/>
    </xf>
    <xf borderId="13" fillId="0" fontId="5" numFmtId="0" xfId="0" applyAlignment="1" applyBorder="1" applyFont="1">
      <alignment horizontal="center"/>
    </xf>
    <xf borderId="15" fillId="0" fontId="5" numFmtId="0" xfId="0" applyAlignment="1" applyBorder="1" applyFont="1">
      <alignment horizontal="center"/>
    </xf>
    <xf borderId="14" fillId="0" fontId="5" numFmtId="0" xfId="0" applyAlignment="1" applyBorder="1" applyFont="1">
      <alignment horizontal="center" readingOrder="0"/>
    </xf>
    <xf borderId="15" fillId="0" fontId="14" numFmtId="0" xfId="0" applyAlignment="1" applyBorder="1" applyFont="1">
      <alignment horizontal="center" vertical="bottom"/>
    </xf>
    <xf borderId="4" fillId="4" fontId="5" numFmtId="0" xfId="0" applyAlignment="1" applyBorder="1" applyFont="1">
      <alignment horizontal="center" vertical="bottom"/>
    </xf>
    <xf borderId="5" fillId="4" fontId="5" numFmtId="0" xfId="0" applyAlignment="1" applyBorder="1" applyFont="1">
      <alignment horizontal="center" vertical="bottom"/>
    </xf>
    <xf borderId="0" fillId="4" fontId="5" numFmtId="0" xfId="0" applyAlignment="1" applyFont="1">
      <alignment horizontal="center" vertical="bottom"/>
    </xf>
    <xf borderId="10" fillId="4" fontId="5" numFmtId="0" xfId="0" applyAlignment="1" applyBorder="1" applyFont="1">
      <alignment horizontal="center" vertical="bottom"/>
    </xf>
    <xf borderId="0" fillId="4" fontId="14" numFmtId="0" xfId="0" applyAlignment="1" applyFont="1">
      <alignment horizontal="center" vertical="bottom"/>
    </xf>
    <xf borderId="0" fillId="4" fontId="5" numFmtId="0" xfId="0" applyAlignment="1" applyFont="1">
      <alignment horizontal="center" vertical="bottom"/>
    </xf>
    <xf borderId="13" fillId="4" fontId="5" numFmtId="0" xfId="0" applyAlignment="1" applyBorder="1" applyFont="1">
      <alignment horizontal="center" vertical="bottom"/>
    </xf>
    <xf borderId="15" fillId="4" fontId="5" numFmtId="0" xfId="0" applyAlignment="1" applyBorder="1" applyFont="1">
      <alignment horizontal="center" vertical="bottom"/>
    </xf>
    <xf borderId="0" fillId="4" fontId="5" numFmtId="168" xfId="0" applyAlignment="1" applyFont="1" applyNumberFormat="1">
      <alignment horizontal="center" vertical="bottom"/>
    </xf>
    <xf borderId="4" fillId="4" fontId="5" numFmtId="168" xfId="0" applyAlignment="1" applyBorder="1" applyFont="1" applyNumberFormat="1">
      <alignment horizontal="center" vertical="bottom"/>
    </xf>
    <xf borderId="5" fillId="4" fontId="5" numFmtId="168" xfId="0" applyAlignment="1" applyBorder="1" applyFont="1" applyNumberFormat="1">
      <alignment horizontal="center" vertical="bottom"/>
    </xf>
    <xf borderId="10" fillId="4" fontId="5" numFmtId="0" xfId="0" applyAlignment="1" applyBorder="1" applyFont="1">
      <alignment horizontal="center" vertical="bottom"/>
    </xf>
    <xf borderId="15" fillId="3" fontId="17" numFmtId="168" xfId="0" applyAlignment="1" applyBorder="1" applyFont="1" applyNumberFormat="1">
      <alignment horizontal="center" vertical="bottom"/>
    </xf>
    <xf borderId="10" fillId="0" fontId="14" numFmtId="0" xfId="0" applyAlignment="1" applyBorder="1" applyFont="1">
      <alignment horizontal="center" vertical="bottom"/>
    </xf>
    <xf borderId="4" fillId="0" fontId="23" numFmtId="0" xfId="0" applyAlignment="1" applyBorder="1" applyFont="1">
      <alignment horizontal="center" readingOrder="0" vertical="center"/>
    </xf>
    <xf borderId="0" fillId="3" fontId="23" numFmtId="0" xfId="0" applyAlignment="1" applyFont="1">
      <alignment horizontal="center" readingOrder="0" shrinkToFit="0" vertical="center" wrapText="1"/>
    </xf>
    <xf borderId="4" fillId="0" fontId="24" numFmtId="0" xfId="0" applyAlignment="1" applyBorder="1" applyFont="1">
      <alignment horizontal="center"/>
    </xf>
    <xf borderId="5" fillId="0" fontId="24" numFmtId="0" xfId="0" applyAlignment="1" applyBorder="1" applyFont="1">
      <alignment horizontal="center"/>
    </xf>
    <xf borderId="5" fillId="0" fontId="23" numFmtId="0" xfId="0" applyAlignment="1" applyBorder="1" applyFont="1">
      <alignment horizontal="center" readingOrder="0" shrinkToFit="0" vertical="center" wrapText="1"/>
    </xf>
    <xf borderId="6" fillId="0" fontId="23" numFmtId="0" xfId="0" applyAlignment="1" applyBorder="1" applyFont="1">
      <alignment horizontal="center" readingOrder="0" shrinkToFit="0" vertical="center" wrapText="1"/>
    </xf>
    <xf borderId="13" fillId="0" fontId="24" numFmtId="0" xfId="0" applyAlignment="1" applyBorder="1" applyFont="1">
      <alignment horizontal="center"/>
    </xf>
    <xf borderId="15" fillId="0" fontId="23" numFmtId="168" xfId="0" applyAlignment="1" applyBorder="1" applyFont="1" applyNumberFormat="1">
      <alignment horizontal="center" readingOrder="0" shrinkToFit="0" vertical="center" wrapText="1"/>
    </xf>
    <xf borderId="15" fillId="0" fontId="23" numFmtId="0" xfId="0" applyAlignment="1" applyBorder="1" applyFont="1">
      <alignment horizontal="center" readingOrder="0" shrinkToFit="0" vertical="center" wrapText="1"/>
    </xf>
    <xf borderId="51" fillId="0" fontId="29" numFmtId="0" xfId="0" applyAlignment="1" applyBorder="1" applyFont="1">
      <alignment horizontal="center" readingOrder="0" shrinkToFit="0" vertical="center" wrapText="1"/>
    </xf>
    <xf borderId="51" fillId="0" fontId="13"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2" fillId="4" fontId="13" numFmtId="0" xfId="0" applyAlignment="1" applyBorder="1" applyFont="1">
      <alignment horizontal="center" readingOrder="0" shrinkToFit="0" vertical="center" wrapText="1"/>
    </xf>
    <xf borderId="3" fillId="4" fontId="13" numFmtId="0" xfId="0" applyAlignment="1" applyBorder="1" applyFont="1">
      <alignment horizontal="center" readingOrder="0" shrinkToFit="0" vertical="center" wrapText="1"/>
    </xf>
    <xf borderId="2" fillId="0" fontId="13" numFmtId="0" xfId="0" applyAlignment="1" applyBorder="1" applyFont="1">
      <alignment horizontal="center" readingOrder="0" shrinkToFit="0" vertical="center" wrapText="1"/>
    </xf>
    <xf borderId="3" fillId="0" fontId="13" numFmtId="0" xfId="0" applyAlignment="1" applyBorder="1" applyFont="1">
      <alignment horizontal="center" readingOrder="0" shrinkToFit="0" vertical="center" wrapText="1"/>
    </xf>
    <xf borderId="0" fillId="3" fontId="5" numFmtId="0" xfId="0" applyAlignment="1" applyFont="1">
      <alignment horizontal="center" shrinkToFit="0" vertical="center" wrapText="1"/>
    </xf>
    <xf borderId="10" fillId="0" fontId="18" numFmtId="0" xfId="0" applyAlignment="1" applyBorder="1" applyFont="1">
      <alignment horizontal="center" readingOrder="0" vertical="center"/>
    </xf>
    <xf borderId="0" fillId="3" fontId="19" numFmtId="0" xfId="0" applyAlignment="1" applyFont="1">
      <alignment horizontal="center" shrinkToFit="0" vertical="center" wrapText="1"/>
    </xf>
    <xf borderId="10" fillId="0" fontId="18" numFmtId="0" xfId="0" applyAlignment="1" applyBorder="1" applyFont="1">
      <alignment horizontal="center" readingOrder="0" vertical="center"/>
    </xf>
    <xf borderId="10" fillId="0" fontId="18" numFmtId="168" xfId="0" applyAlignment="1" applyBorder="1" applyFont="1" applyNumberFormat="1">
      <alignment horizontal="center" readingOrder="0" vertical="center"/>
    </xf>
    <xf borderId="0" fillId="0" fontId="18" numFmtId="168" xfId="0" applyAlignment="1" applyFont="1" applyNumberFormat="1">
      <alignment horizontal="center" readingOrder="0" shrinkToFit="0" vertical="center" wrapText="1"/>
    </xf>
    <xf borderId="0" fillId="0" fontId="18" numFmtId="0" xfId="0" applyAlignment="1" applyFont="1">
      <alignment horizontal="center" readingOrder="0" shrinkToFit="0" vertical="center" wrapText="1"/>
    </xf>
    <xf borderId="12" fillId="0" fontId="33" numFmtId="0" xfId="0" applyAlignment="1" applyBorder="1" applyFont="1">
      <alignment horizontal="center" vertical="center"/>
    </xf>
    <xf borderId="12" fillId="0" fontId="5" numFmtId="0" xfId="0" applyAlignment="1" applyBorder="1" applyFont="1">
      <alignment horizontal="center" vertical="center"/>
    </xf>
    <xf borderId="12" fillId="0" fontId="14" numFmtId="0" xfId="0" applyAlignment="1" applyBorder="1" applyFont="1">
      <alignment horizontal="center" vertical="center"/>
    </xf>
    <xf borderId="0" fillId="3" fontId="5" numFmtId="0" xfId="0" applyAlignment="1" applyFont="1">
      <alignment horizontal="center" readingOrder="0" vertical="center"/>
    </xf>
    <xf borderId="16" fillId="0" fontId="5" numFmtId="0" xfId="0" applyAlignment="1" applyBorder="1" applyFont="1">
      <alignment horizontal="center" readingOrder="0" vertical="center"/>
    </xf>
    <xf borderId="0" fillId="0" fontId="26" numFmtId="49" xfId="0" applyAlignment="1" applyFont="1" applyNumberFormat="1">
      <alignment horizontal="center" readingOrder="0"/>
    </xf>
    <xf borderId="0" fillId="0" fontId="32" numFmtId="49" xfId="0" applyAlignment="1" applyFont="1" applyNumberFormat="1">
      <alignment readingOrder="0" vertical="bottom"/>
    </xf>
    <xf borderId="12" fillId="0" fontId="26" numFmtId="0" xfId="0" applyAlignment="1" applyBorder="1" applyFont="1">
      <alignment horizontal="center" readingOrder="0" vertical="center"/>
    </xf>
    <xf borderId="12" fillId="0" fontId="5" numFmtId="0" xfId="0" applyAlignment="1" applyBorder="1" applyFont="1">
      <alignment horizontal="center" vertical="center"/>
    </xf>
    <xf borderId="46" fillId="0" fontId="32" numFmtId="49" xfId="0" applyAlignment="1" applyBorder="1" applyFont="1" applyNumberFormat="1">
      <alignment readingOrder="0" vertical="bottom"/>
    </xf>
    <xf borderId="32" fillId="0" fontId="33" numFmtId="0" xfId="0" applyAlignment="1" applyBorder="1" applyFont="1">
      <alignment horizontal="center" vertical="center"/>
    </xf>
    <xf borderId="32" fillId="0" fontId="5" numFmtId="0" xfId="0" applyAlignment="1" applyBorder="1" applyFont="1">
      <alignment horizontal="center" vertical="center"/>
    </xf>
    <xf borderId="0" fillId="3" fontId="5" numFmtId="0" xfId="0" applyAlignment="1" applyFont="1">
      <alignment horizontal="center" vertical="center"/>
    </xf>
    <xf borderId="0" fillId="3" fontId="5" numFmtId="0" xfId="0" applyAlignment="1" applyFont="1">
      <alignment horizontal="center"/>
    </xf>
    <xf borderId="1" fillId="4" fontId="13" numFmtId="0" xfId="0" applyAlignment="1" applyBorder="1" applyFont="1">
      <alignment horizontal="center" readingOrder="0" shrinkToFit="0" vertical="center" wrapText="1"/>
    </xf>
    <xf borderId="2" fillId="4" fontId="13" numFmtId="0" xfId="0" applyAlignment="1" applyBorder="1" applyFont="1">
      <alignment horizontal="center" readingOrder="0" vertical="center"/>
    </xf>
    <xf borderId="0" fillId="4" fontId="5" numFmtId="0" xfId="0" applyAlignment="1" applyFont="1">
      <alignment horizontal="center" vertical="center"/>
    </xf>
    <xf borderId="0" fillId="4" fontId="5" numFmtId="49" xfId="0" applyAlignment="1" applyFont="1" applyNumberFormat="1">
      <alignment horizontal="center" readingOrder="0" vertical="center"/>
    </xf>
    <xf borderId="0" fillId="4" fontId="5" numFmtId="0" xfId="0" applyAlignment="1" applyFont="1">
      <alignment horizontal="center" vertical="center"/>
    </xf>
    <xf borderId="4" fillId="4" fontId="30" numFmtId="0" xfId="0" applyAlignment="1" applyBorder="1" applyFont="1">
      <alignment horizontal="center" readingOrder="0" shrinkToFit="0" vertical="center" wrapText="1"/>
    </xf>
    <xf borderId="5" fillId="4" fontId="30" numFmtId="0" xfId="0" applyAlignment="1" applyBorder="1" applyFont="1">
      <alignment horizontal="center" readingOrder="0" shrinkToFit="0" vertical="center" wrapText="1"/>
    </xf>
    <xf borderId="6" fillId="4" fontId="30" numFmtId="0" xfId="0" applyAlignment="1" applyBorder="1" applyFont="1">
      <alignment horizontal="center" readingOrder="0" shrinkToFit="0" vertical="center" wrapText="1"/>
    </xf>
    <xf borderId="45" fillId="0" fontId="5" numFmtId="0" xfId="0" applyAlignment="1" applyBorder="1" applyFont="1">
      <alignment horizontal="center" readingOrder="0" vertical="center"/>
    </xf>
    <xf borderId="0" fillId="4" fontId="5" numFmtId="49" xfId="0" applyAlignment="1" applyFont="1" applyNumberFormat="1">
      <alignment horizontal="center" vertical="center"/>
    </xf>
    <xf borderId="0" fillId="4" fontId="5" numFmtId="49" xfId="0" applyAlignment="1" applyFont="1" applyNumberFormat="1">
      <alignment horizontal="center" vertical="center"/>
    </xf>
    <xf borderId="10" fillId="4" fontId="30" numFmtId="0" xfId="0" applyAlignment="1" applyBorder="1" applyFont="1">
      <alignment horizontal="center" readingOrder="0" shrinkToFit="0" vertical="center" wrapText="1"/>
    </xf>
    <xf borderId="0" fillId="4" fontId="30" numFmtId="0" xfId="0" applyAlignment="1" applyFont="1">
      <alignment horizontal="center" readingOrder="0" shrinkToFit="0" vertical="center" wrapText="1"/>
    </xf>
    <xf borderId="11" fillId="4" fontId="30" numFmtId="49" xfId="0" applyAlignment="1" applyBorder="1" applyFont="1" applyNumberFormat="1">
      <alignment horizontal="center" readingOrder="0" shrinkToFit="0" vertical="center" wrapText="1"/>
    </xf>
    <xf borderId="0" fillId="0" fontId="32" numFmtId="49" xfId="0" applyAlignment="1" applyFont="1" applyNumberFormat="1">
      <alignment horizontal="center"/>
    </xf>
    <xf borderId="0" fillId="0" fontId="32" numFmtId="49" xfId="0" applyAlignment="1" applyFont="1" applyNumberFormat="1">
      <alignment horizontal="center" readingOrder="0"/>
    </xf>
    <xf borderId="48" fillId="0" fontId="5" numFmtId="49" xfId="0" applyAlignment="1" applyBorder="1" applyFont="1" applyNumberFormat="1">
      <alignment horizontal="center" vertical="bottom"/>
    </xf>
    <xf borderId="0" fillId="0" fontId="32" numFmtId="49" xfId="0" applyFont="1" applyNumberFormat="1"/>
    <xf borderId="23" fillId="4" fontId="5" numFmtId="0" xfId="0" applyAlignment="1" applyBorder="1" applyFont="1">
      <alignment horizontal="center" readingOrder="0" vertical="center"/>
    </xf>
    <xf borderId="46" fillId="4" fontId="5" numFmtId="0" xfId="0" applyAlignment="1" applyBorder="1" applyFont="1">
      <alignment horizontal="center" vertical="center"/>
    </xf>
    <xf borderId="46" fillId="4" fontId="5" numFmtId="49" xfId="0" applyAlignment="1" applyBorder="1" applyFont="1" applyNumberFormat="1">
      <alignment horizontal="center" vertical="center"/>
    </xf>
    <xf borderId="46" fillId="4" fontId="14" numFmtId="49" xfId="0" applyAlignment="1" applyBorder="1" applyFont="1" applyNumberFormat="1">
      <alignment horizontal="center" vertical="center"/>
    </xf>
    <xf borderId="23" fillId="4" fontId="30" numFmtId="0" xfId="0" applyAlignment="1" applyBorder="1" applyFont="1">
      <alignment horizontal="center" readingOrder="0" shrinkToFit="0" vertical="center" wrapText="1"/>
    </xf>
    <xf borderId="46" fillId="4" fontId="30" numFmtId="49" xfId="0" applyAlignment="1" applyBorder="1" applyFont="1" applyNumberFormat="1">
      <alignment horizontal="center" readingOrder="0" shrinkToFit="0" vertical="center" wrapText="1"/>
    </xf>
    <xf borderId="46" fillId="4" fontId="30" numFmtId="0" xfId="0" applyAlignment="1" applyBorder="1" applyFont="1">
      <alignment horizontal="center" readingOrder="0" shrinkToFit="0" vertical="center" wrapText="1"/>
    </xf>
    <xf borderId="25" fillId="4" fontId="30" numFmtId="0" xfId="0" applyAlignment="1" applyBorder="1" applyFont="1">
      <alignment horizontal="center" readingOrder="0" shrinkToFit="0" vertical="center" wrapText="1"/>
    </xf>
    <xf borderId="0" fillId="4" fontId="5" numFmtId="0" xfId="0" applyAlignment="1" applyFont="1">
      <alignment horizontal="center" readingOrder="0" vertical="center"/>
    </xf>
    <xf borderId="0" fillId="4" fontId="5" numFmtId="49" xfId="0" applyAlignment="1" applyFont="1" applyNumberFormat="1">
      <alignment horizontal="center" readingOrder="0" vertical="center"/>
    </xf>
    <xf borderId="11" fillId="4" fontId="30" numFmtId="0" xfId="0" applyAlignment="1" applyBorder="1" applyFont="1">
      <alignment horizontal="center" readingOrder="0" shrinkToFit="0" vertical="center" wrapText="1"/>
    </xf>
    <xf borderId="0" fillId="4" fontId="14" numFmtId="0" xfId="0" applyAlignment="1" applyFont="1">
      <alignment horizontal="center" vertical="center"/>
    </xf>
    <xf borderId="15" fillId="0" fontId="32" numFmtId="49" xfId="0" applyAlignment="1" applyBorder="1" applyFont="1" applyNumberFormat="1">
      <alignment horizontal="center"/>
    </xf>
    <xf borderId="32" fillId="0" fontId="5" numFmtId="0" xfId="0" applyAlignment="1" applyBorder="1" applyFont="1">
      <alignment horizontal="center" readingOrder="0" vertical="center"/>
    </xf>
    <xf borderId="15" fillId="0" fontId="32" numFmtId="49" xfId="0" applyAlignment="1" applyBorder="1" applyFont="1" applyNumberFormat="1">
      <alignment horizontal="center" readingOrder="0"/>
    </xf>
    <xf borderId="89" fillId="0" fontId="5" numFmtId="49" xfId="0" applyAlignment="1" applyBorder="1" applyFont="1" applyNumberFormat="1">
      <alignment horizontal="center" readingOrder="0"/>
    </xf>
    <xf borderId="15" fillId="0" fontId="32" numFmtId="49" xfId="0" applyBorder="1" applyFont="1" applyNumberFormat="1"/>
    <xf borderId="0" fillId="3" fontId="5" numFmtId="49" xfId="0" applyAlignment="1" applyFont="1" applyNumberFormat="1">
      <alignment horizontal="center" readingOrder="0" vertical="center"/>
    </xf>
    <xf borderId="80" fillId="4" fontId="5" numFmtId="0" xfId="0" applyAlignment="1" applyBorder="1" applyFont="1">
      <alignment horizontal="center" readingOrder="0" vertical="center"/>
    </xf>
    <xf borderId="48" fillId="4" fontId="5" numFmtId="0" xfId="0" applyAlignment="1" applyBorder="1" applyFont="1">
      <alignment horizontal="center" vertical="center"/>
    </xf>
    <xf borderId="48" fillId="4" fontId="5" numFmtId="49" xfId="0" applyAlignment="1" applyBorder="1" applyFont="1" applyNumberFormat="1">
      <alignment horizontal="center" vertical="center"/>
    </xf>
    <xf borderId="48" fillId="4" fontId="5" numFmtId="0" xfId="0" applyAlignment="1" applyBorder="1" applyFont="1">
      <alignment horizontal="center" vertical="center"/>
    </xf>
    <xf borderId="80" fillId="4" fontId="30" numFmtId="0" xfId="0" applyAlignment="1" applyBorder="1" applyFont="1">
      <alignment horizontal="center" readingOrder="0" shrinkToFit="0" vertical="center" wrapText="1"/>
    </xf>
    <xf borderId="48" fillId="4" fontId="30" numFmtId="0" xfId="0" applyAlignment="1" applyBorder="1" applyFont="1">
      <alignment horizontal="center" readingOrder="0" shrinkToFit="0" vertical="center" wrapText="1"/>
    </xf>
    <xf borderId="47" fillId="4" fontId="30" numFmtId="0" xfId="0" applyAlignment="1" applyBorder="1" applyFont="1">
      <alignment horizontal="center" readingOrder="0" shrinkToFit="0" vertical="center" wrapText="1"/>
    </xf>
    <xf borderId="0" fillId="3" fontId="19" numFmtId="0" xfId="0" applyAlignment="1" applyFont="1">
      <alignment horizontal="center" readingOrder="0" vertical="center"/>
    </xf>
    <xf borderId="4" fillId="0" fontId="18" numFmtId="0" xfId="0" applyAlignment="1" applyBorder="1" applyFont="1">
      <alignment horizontal="center" readingOrder="0" vertical="center"/>
    </xf>
    <xf borderId="4" fillId="0" fontId="18" numFmtId="0" xfId="0" applyAlignment="1" applyBorder="1" applyFont="1">
      <alignment horizontal="center" readingOrder="0" vertical="center"/>
    </xf>
    <xf borderId="46" fillId="4" fontId="5" numFmtId="0" xfId="0" applyAlignment="1" applyBorder="1" applyFont="1">
      <alignment horizontal="center" vertical="center"/>
    </xf>
    <xf borderId="46" fillId="4" fontId="5" numFmtId="49" xfId="0" applyAlignment="1" applyBorder="1" applyFont="1" applyNumberFormat="1">
      <alignment horizontal="center" vertical="center"/>
    </xf>
    <xf borderId="0" fillId="4" fontId="5" numFmtId="168" xfId="0" applyAlignment="1" applyFont="1" applyNumberFormat="1">
      <alignment horizontal="center" vertical="center"/>
    </xf>
    <xf borderId="10" fillId="4" fontId="30" numFmtId="168" xfId="0" applyAlignment="1" applyBorder="1" applyFont="1" applyNumberFormat="1">
      <alignment horizontal="center" readingOrder="0" shrinkToFit="0" vertical="center" wrapText="1"/>
    </xf>
    <xf borderId="11" fillId="4" fontId="30" numFmtId="168" xfId="0" applyAlignment="1" applyBorder="1" applyFont="1" applyNumberFormat="1">
      <alignment horizontal="center" readingOrder="0" shrinkToFit="0" vertical="center" wrapText="1"/>
    </xf>
    <xf borderId="0" fillId="3" fontId="13" numFmtId="49" xfId="0" applyAlignment="1" applyFont="1" applyNumberFormat="1">
      <alignment horizontal="center" readingOrder="0" vertical="center"/>
    </xf>
    <xf borderId="5" fillId="4" fontId="5" numFmtId="0" xfId="0" applyAlignment="1" applyBorder="1" applyFont="1">
      <alignment horizontal="center" vertical="center"/>
    </xf>
    <xf borderId="5" fillId="4" fontId="5" numFmtId="49" xfId="0" applyAlignment="1" applyBorder="1" applyFont="1" applyNumberFormat="1">
      <alignment horizontal="center" vertical="center"/>
    </xf>
    <xf borderId="5" fillId="0" fontId="34" numFmtId="0" xfId="0" applyAlignment="1" applyBorder="1" applyFont="1">
      <alignment horizontal="center" readingOrder="0" shrinkToFit="0" vertical="center" wrapText="1"/>
    </xf>
    <xf borderId="0" fillId="0" fontId="5" numFmtId="49" xfId="0" applyAlignment="1" applyFont="1" applyNumberFormat="1">
      <alignment horizontal="center"/>
    </xf>
    <xf borderId="15" fillId="0" fontId="5" numFmtId="49" xfId="0" applyAlignment="1" applyBorder="1" applyFont="1" applyNumberFormat="1">
      <alignment horizontal="center"/>
    </xf>
    <xf borderId="5" fillId="0" fontId="18" numFmtId="0" xfId="0" applyAlignment="1" applyBorder="1" applyFont="1">
      <alignment horizontal="center" readingOrder="0" shrinkToFit="0" vertical="center" wrapText="1"/>
    </xf>
    <xf borderId="15" fillId="4" fontId="5" numFmtId="0" xfId="0" applyAlignment="1" applyBorder="1" applyFont="1">
      <alignment horizontal="center" vertical="center"/>
    </xf>
    <xf borderId="15" fillId="4" fontId="5" numFmtId="49" xfId="0" applyAlignment="1" applyBorder="1" applyFont="1" applyNumberFormat="1">
      <alignment horizontal="center" vertical="center"/>
    </xf>
    <xf borderId="15" fillId="4" fontId="5" numFmtId="0" xfId="0" applyAlignment="1" applyBorder="1" applyFont="1">
      <alignment horizontal="center" vertical="center"/>
    </xf>
    <xf borderId="13" fillId="4" fontId="30" numFmtId="0" xfId="0" applyAlignment="1" applyBorder="1" applyFont="1">
      <alignment horizontal="center" readingOrder="0" shrinkToFit="0" vertical="center" wrapText="1"/>
    </xf>
    <xf borderId="15" fillId="4" fontId="30" numFmtId="0" xfId="0" applyAlignment="1" applyBorder="1" applyFont="1">
      <alignment horizontal="center" readingOrder="0" shrinkToFit="0" vertical="center" wrapText="1"/>
    </xf>
    <xf borderId="14" fillId="4" fontId="30" numFmtId="0" xfId="0" applyAlignment="1" applyBorder="1" applyFont="1">
      <alignment horizontal="center" readingOrder="0" shrinkToFit="0" vertical="center" wrapText="1"/>
    </xf>
    <xf borderId="5" fillId="3" fontId="5" numFmtId="0" xfId="0" applyAlignment="1" applyBorder="1" applyFont="1">
      <alignment horizontal="center" vertical="center"/>
    </xf>
    <xf borderId="5" fillId="3" fontId="5" numFmtId="0" xfId="0" applyAlignment="1" applyBorder="1" applyFont="1">
      <alignment horizontal="center"/>
    </xf>
    <xf borderId="0" fillId="3" fontId="5"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3" fontId="5" numFmtId="0" xfId="0" applyAlignment="1" applyFont="1">
      <alignment horizontal="center" vertical="center"/>
    </xf>
    <xf borderId="4" fillId="3" fontId="15" numFmtId="0" xfId="0" applyAlignment="1" applyBorder="1" applyFont="1">
      <alignment horizontal="center" readingOrder="0" vertical="center"/>
    </xf>
    <xf borderId="4" fillId="3" fontId="29" numFmtId="0" xfId="0" applyAlignment="1" applyBorder="1" applyFont="1">
      <alignment horizontal="center" readingOrder="0" vertical="center"/>
    </xf>
    <xf borderId="5" fillId="0" fontId="5" numFmtId="0" xfId="0" applyAlignment="1" applyBorder="1" applyFont="1">
      <alignment horizontal="center"/>
    </xf>
    <xf borderId="6" fillId="0" fontId="5" numFmtId="0" xfId="0" applyAlignment="1" applyBorder="1" applyFont="1">
      <alignment horizontal="center"/>
    </xf>
    <xf borderId="5" fillId="4" fontId="5" numFmtId="0" xfId="0" applyAlignment="1" applyBorder="1" applyFont="1">
      <alignment horizontal="center" readingOrder="0" vertical="center"/>
    </xf>
    <xf borderId="0" fillId="0" fontId="5" numFmtId="0" xfId="0" applyAlignment="1" applyFont="1">
      <alignment horizontal="center"/>
    </xf>
    <xf borderId="11" fillId="0" fontId="5" numFmtId="0" xfId="0" applyAlignment="1" applyBorder="1" applyFont="1">
      <alignment horizontal="center"/>
    </xf>
    <xf borderId="0" fillId="0" fontId="5" numFmtId="0" xfId="0" applyFont="1"/>
    <xf borderId="11" fillId="0" fontId="5" numFmtId="0" xfId="0" applyBorder="1" applyFont="1"/>
    <xf borderId="11" fillId="0" fontId="5" numFmtId="0" xfId="0" applyAlignment="1" applyBorder="1" applyFont="1">
      <alignment horizontal="center"/>
    </xf>
    <xf borderId="11" fillId="0" fontId="5" numFmtId="0" xfId="0" applyBorder="1" applyFont="1"/>
    <xf borderId="15" fillId="0" fontId="5" numFmtId="0" xfId="0" applyBorder="1" applyFont="1"/>
    <xf borderId="15" fillId="0" fontId="5" numFmtId="0" xfId="0" applyAlignment="1" applyBorder="1" applyFont="1">
      <alignment horizontal="center"/>
    </xf>
    <xf borderId="14" fillId="0" fontId="5" numFmtId="0" xfId="0" applyAlignment="1" applyBorder="1" applyFont="1">
      <alignment horizontal="center"/>
    </xf>
    <xf borderId="15" fillId="4" fontId="5" numFmtId="0" xfId="0" applyAlignment="1" applyBorder="1" applyFont="1">
      <alignment horizontal="center" readingOrder="0" vertical="center"/>
    </xf>
    <xf borderId="10" fillId="3" fontId="29" numFmtId="0" xfId="0" applyAlignment="1" applyBorder="1" applyFont="1">
      <alignment horizontal="center" readingOrder="0" vertical="center"/>
    </xf>
    <xf borderId="0" fillId="0" fontId="5" numFmtId="0" xfId="0" applyAlignment="1" applyFont="1">
      <alignment readingOrder="0"/>
    </xf>
    <xf borderId="11" fillId="0" fontId="1" numFmtId="0" xfId="0" applyBorder="1" applyFont="1"/>
    <xf borderId="0" fillId="0" fontId="18" numFmtId="0" xfId="0" applyAlignment="1" applyFont="1">
      <alignment horizontal="center" readingOrder="0" vertical="center"/>
    </xf>
    <xf borderId="0" fillId="0" fontId="18" numFmtId="0" xfId="0" applyAlignment="1" applyFont="1">
      <alignment vertical="center"/>
    </xf>
    <xf borderId="0" fillId="0" fontId="19" numFmtId="0" xfId="0" applyAlignment="1" applyFont="1">
      <alignment horizontal="center" vertical="center"/>
    </xf>
    <xf borderId="4" fillId="5" fontId="17" numFmtId="0" xfId="0" applyAlignment="1" applyBorder="1" applyFont="1">
      <alignment horizontal="center" readingOrder="0" vertical="center"/>
    </xf>
    <xf borderId="1" fillId="0" fontId="18" numFmtId="0" xfId="0" applyAlignment="1" applyBorder="1" applyFont="1">
      <alignment horizontal="center" readingOrder="0" vertical="center"/>
    </xf>
    <xf borderId="6" fillId="0" fontId="18" numFmtId="0" xfId="0" applyAlignment="1" applyBorder="1" applyFont="1">
      <alignment horizontal="center" readingOrder="0" vertical="center"/>
    </xf>
    <xf borderId="82" fillId="5" fontId="17" numFmtId="0" xfId="0" applyAlignment="1" applyBorder="1" applyFont="1">
      <alignment horizontal="center" readingOrder="0" vertical="center"/>
    </xf>
    <xf borderId="10" fillId="0" fontId="19" numFmtId="0" xfId="0" applyAlignment="1" applyBorder="1" applyFont="1">
      <alignment horizontal="center" readingOrder="0" vertical="center"/>
    </xf>
    <xf borderId="16" fillId="0" fontId="19" numFmtId="0" xfId="0" applyAlignment="1" applyBorder="1" applyFont="1">
      <alignment horizontal="center" vertical="center"/>
    </xf>
    <xf borderId="0" fillId="0" fontId="18" numFmtId="168" xfId="0" applyAlignment="1" applyFont="1" applyNumberFormat="1">
      <alignment horizontal="center" readingOrder="0" vertical="center"/>
    </xf>
    <xf borderId="13" fillId="5" fontId="17" numFmtId="168" xfId="0" applyAlignment="1" applyBorder="1" applyFont="1" applyNumberFormat="1">
      <alignment horizontal="center" readingOrder="0" vertical="center"/>
    </xf>
    <xf borderId="12" fillId="0" fontId="19" numFmtId="0" xfId="0" applyAlignment="1" applyBorder="1" applyFont="1">
      <alignment horizontal="center" vertical="center"/>
    </xf>
    <xf borderId="0" fillId="0" fontId="19" numFmtId="0" xfId="0" applyAlignment="1" applyFont="1">
      <alignment vertical="center"/>
    </xf>
    <xf borderId="0" fillId="0" fontId="19" numFmtId="168" xfId="0" applyAlignment="1" applyFont="1" applyNumberFormat="1">
      <alignment horizontal="center" vertical="center"/>
    </xf>
    <xf borderId="4" fillId="0" fontId="19" numFmtId="0" xfId="0" applyAlignment="1" applyBorder="1" applyFont="1">
      <alignment horizontal="center" vertical="center"/>
    </xf>
    <xf borderId="5" fillId="0" fontId="19" numFmtId="49" xfId="0" applyAlignment="1" applyBorder="1" applyFont="1" applyNumberFormat="1">
      <alignment horizontal="center" vertical="center"/>
    </xf>
    <xf borderId="5" fillId="0" fontId="19" numFmtId="0" xfId="0" applyAlignment="1" applyBorder="1" applyFont="1">
      <alignment horizontal="center" vertical="center"/>
    </xf>
    <xf borderId="6" fillId="0" fontId="19" numFmtId="0" xfId="0" applyAlignment="1" applyBorder="1" applyFont="1">
      <alignment horizontal="center" vertical="center"/>
    </xf>
    <xf borderId="12" fillId="0" fontId="19" numFmtId="0" xfId="0" applyAlignment="1" applyBorder="1" applyFont="1">
      <alignment horizontal="center" readingOrder="0" vertical="center"/>
    </xf>
    <xf borderId="5" fillId="0" fontId="19" numFmtId="20" xfId="0" applyAlignment="1" applyBorder="1" applyFont="1" applyNumberFormat="1">
      <alignment horizontal="center" vertical="center"/>
    </xf>
    <xf borderId="0" fillId="0" fontId="19" numFmtId="0" xfId="0" applyAlignment="1" applyFont="1">
      <alignment horizontal="center" vertical="center"/>
    </xf>
    <xf borderId="10" fillId="0" fontId="19" numFmtId="0" xfId="0" applyAlignment="1" applyBorder="1" applyFont="1">
      <alignment horizontal="center" vertical="center"/>
    </xf>
    <xf borderId="0" fillId="0" fontId="19" numFmtId="49" xfId="0" applyAlignment="1" applyFont="1" applyNumberFormat="1">
      <alignment horizontal="center" vertical="center"/>
    </xf>
    <xf borderId="0" fillId="0" fontId="19" numFmtId="20" xfId="0" applyAlignment="1" applyFont="1" applyNumberFormat="1">
      <alignment horizontal="center" vertical="center"/>
    </xf>
    <xf borderId="10" fillId="0" fontId="19" numFmtId="0" xfId="0" applyAlignment="1" applyBorder="1" applyFont="1">
      <alignment horizontal="center" vertical="center"/>
    </xf>
    <xf borderId="0" fillId="0" fontId="19" numFmtId="0" xfId="0" applyAlignment="1" applyFont="1">
      <alignment horizontal="center" vertical="center"/>
    </xf>
    <xf borderId="11" fillId="0" fontId="19" numFmtId="0" xfId="0" applyAlignment="1" applyBorder="1" applyFont="1">
      <alignment horizontal="center" vertical="center"/>
    </xf>
    <xf borderId="13" fillId="0" fontId="19" numFmtId="0" xfId="0" applyAlignment="1" applyBorder="1" applyFont="1">
      <alignment horizontal="center" vertical="center"/>
    </xf>
    <xf borderId="15" fillId="0" fontId="19" numFmtId="49" xfId="0" applyAlignment="1" applyBorder="1" applyFont="1" applyNumberFormat="1">
      <alignment horizontal="center" vertical="center"/>
    </xf>
    <xf borderId="15" fillId="0" fontId="19" numFmtId="20" xfId="0" applyAlignment="1" applyBorder="1" applyFont="1" applyNumberFormat="1">
      <alignment horizontal="center" vertical="center"/>
    </xf>
    <xf borderId="15" fillId="0" fontId="19" numFmtId="0" xfId="0" applyAlignment="1" applyBorder="1" applyFont="1">
      <alignment horizontal="center" vertical="center"/>
    </xf>
    <xf borderId="13" fillId="0" fontId="19" numFmtId="0" xfId="0" applyAlignment="1" applyBorder="1" applyFont="1">
      <alignment horizontal="center" vertical="center"/>
    </xf>
    <xf borderId="15" fillId="0" fontId="19" numFmtId="0" xfId="0" applyAlignment="1" applyBorder="1" applyFont="1">
      <alignment horizontal="center" vertical="center"/>
    </xf>
    <xf borderId="14" fillId="0" fontId="19" numFmtId="0" xfId="0" applyAlignment="1" applyBorder="1" applyFont="1">
      <alignment horizontal="center" vertical="center"/>
    </xf>
    <xf borderId="13" fillId="0" fontId="19" numFmtId="0" xfId="0" applyAlignment="1" applyBorder="1" applyFont="1">
      <alignment horizontal="center" readingOrder="0" vertical="center"/>
    </xf>
    <xf borderId="32" fillId="0" fontId="19" numFmtId="0" xfId="0" applyAlignment="1" applyBorder="1" applyFont="1">
      <alignment horizontal="center" vertical="center"/>
    </xf>
    <xf borderId="4" fillId="5" fontId="19" numFmtId="0" xfId="0" applyAlignment="1" applyBorder="1" applyFont="1">
      <alignment horizontal="center" vertical="center"/>
    </xf>
    <xf borderId="5" fillId="5" fontId="19" numFmtId="49" xfId="0" applyAlignment="1" applyBorder="1" applyFont="1" applyNumberFormat="1">
      <alignment horizontal="center" vertical="center"/>
    </xf>
    <xf borderId="5" fillId="5" fontId="19" numFmtId="0" xfId="0" applyAlignment="1" applyBorder="1" applyFont="1">
      <alignment horizontal="center" vertical="center"/>
    </xf>
    <xf borderId="6" fillId="5" fontId="19" numFmtId="0" xfId="0" applyAlignment="1" applyBorder="1" applyFont="1">
      <alignment horizontal="center" vertical="center"/>
    </xf>
    <xf borderId="10" fillId="0" fontId="35" numFmtId="0" xfId="0" applyAlignment="1" applyBorder="1" applyFont="1">
      <alignment horizontal="center" vertical="center"/>
    </xf>
    <xf borderId="0" fillId="0" fontId="19" numFmtId="0" xfId="0" applyAlignment="1" applyFont="1">
      <alignment horizontal="center" vertical="center"/>
    </xf>
    <xf borderId="5" fillId="0" fontId="18" numFmtId="0" xfId="0" applyAlignment="1" applyBorder="1" applyFont="1">
      <alignment horizontal="center" readingOrder="0" vertical="center"/>
    </xf>
    <xf borderId="5" fillId="0" fontId="19" numFmtId="0" xfId="0" applyAlignment="1" applyBorder="1" applyFont="1">
      <alignment horizontal="center" vertical="center"/>
    </xf>
    <xf borderId="11" fillId="0" fontId="19" numFmtId="0" xfId="0" applyAlignment="1" applyBorder="1" applyFont="1">
      <alignment horizontal="center" readingOrder="0" vertical="center"/>
    </xf>
    <xf borderId="14" fillId="0" fontId="19" numFmtId="0" xfId="0" applyAlignment="1" applyBorder="1" applyFont="1">
      <alignment horizontal="center" readingOrder="0" vertical="center"/>
    </xf>
    <xf borderId="4" fillId="0" fontId="35" numFmtId="0" xfId="0" applyAlignment="1" applyBorder="1" applyFont="1">
      <alignment horizontal="center" vertical="center"/>
    </xf>
    <xf borderId="0" fillId="4" fontId="19" numFmtId="0" xfId="0" applyAlignment="1" applyFont="1">
      <alignment horizontal="center" vertical="center"/>
    </xf>
    <xf borderId="4" fillId="4" fontId="19" numFmtId="0" xfId="0" applyAlignment="1" applyBorder="1" applyFont="1">
      <alignment horizontal="center" vertical="center"/>
    </xf>
    <xf borderId="5" fillId="4" fontId="19" numFmtId="0" xfId="0" applyAlignment="1" applyBorder="1" applyFont="1">
      <alignment horizontal="center" vertical="center"/>
    </xf>
    <xf borderId="0" fillId="4" fontId="19" numFmtId="0" xfId="0" applyAlignment="1" applyFont="1">
      <alignment horizontal="center" vertical="center"/>
    </xf>
    <xf borderId="10" fillId="4" fontId="19" numFmtId="0" xfId="0" applyAlignment="1" applyBorder="1" applyFont="1">
      <alignment horizontal="center" vertical="center"/>
    </xf>
    <xf borderId="0" fillId="4" fontId="19" numFmtId="0" xfId="0" applyAlignment="1" applyFont="1">
      <alignment horizontal="center" vertical="center"/>
    </xf>
    <xf borderId="13" fillId="4" fontId="19" numFmtId="0" xfId="0" applyAlignment="1" applyBorder="1" applyFont="1">
      <alignment horizontal="center" vertical="center"/>
    </xf>
    <xf borderId="15" fillId="4" fontId="19" numFmtId="0" xfId="0" applyAlignment="1" applyBorder="1" applyFont="1">
      <alignment horizontal="center" vertical="center"/>
    </xf>
    <xf borderId="0" fillId="4" fontId="19" numFmtId="168" xfId="0" applyAlignment="1" applyFont="1" applyNumberFormat="1">
      <alignment horizontal="center" vertical="center"/>
    </xf>
    <xf borderId="4" fillId="4" fontId="19" numFmtId="168" xfId="0" applyAlignment="1" applyBorder="1" applyFont="1" applyNumberFormat="1">
      <alignment horizontal="center" vertical="center"/>
    </xf>
    <xf borderId="5" fillId="4" fontId="19" numFmtId="168" xfId="0" applyAlignment="1" applyBorder="1" applyFont="1" applyNumberFormat="1">
      <alignment horizontal="center" vertical="center"/>
    </xf>
    <xf borderId="10" fillId="4" fontId="35" numFmtId="0" xfId="0" applyAlignment="1" applyBorder="1" applyFont="1">
      <alignment horizontal="center" vertical="center"/>
    </xf>
    <xf borderId="4" fillId="0" fontId="18" numFmtId="10" xfId="0" applyAlignment="1" applyBorder="1" applyFont="1" applyNumberFormat="1">
      <alignment horizontal="center" readingOrder="0" vertical="center"/>
    </xf>
    <xf borderId="0" fillId="5" fontId="18" numFmtId="0" xfId="0" applyAlignment="1" applyFont="1">
      <alignment horizontal="center" readingOrder="0" shrinkToFit="0" vertical="center" wrapText="1"/>
    </xf>
    <xf borderId="4" fillId="0" fontId="19" numFmtId="0" xfId="0" applyAlignment="1" applyBorder="1" applyFont="1">
      <alignment horizontal="center" vertical="center"/>
    </xf>
    <xf borderId="6" fillId="0" fontId="18" numFmtId="0" xfId="0" applyAlignment="1" applyBorder="1" applyFont="1">
      <alignment horizontal="center" readingOrder="0" shrinkToFit="0" vertical="center" wrapText="1"/>
    </xf>
    <xf borderId="15" fillId="0" fontId="18" numFmtId="168" xfId="0" applyAlignment="1" applyBorder="1" applyFont="1" applyNumberFormat="1">
      <alignment horizontal="center" readingOrder="0" shrinkToFit="0" vertical="center" wrapText="1"/>
    </xf>
    <xf borderId="15" fillId="0" fontId="18" numFmtId="0" xfId="0" applyAlignment="1" applyBorder="1" applyFont="1">
      <alignment horizontal="center" readingOrder="0" shrinkToFit="0" vertical="center" wrapText="1"/>
    </xf>
    <xf borderId="4" fillId="0" fontId="33" numFmtId="0" xfId="0" applyAlignment="1" applyBorder="1" applyFont="1">
      <alignment horizontal="center" shrinkToFit="0" vertical="center" wrapText="1"/>
    </xf>
    <xf borderId="20" fillId="0" fontId="18" numFmtId="0" xfId="0" applyAlignment="1" applyBorder="1" applyFont="1">
      <alignment horizontal="center" shrinkToFit="0" vertical="center" wrapText="1"/>
    </xf>
    <xf borderId="61" fillId="0" fontId="18" numFmtId="0" xfId="0" applyAlignment="1" applyBorder="1" applyFont="1">
      <alignment horizontal="center" shrinkToFit="0" vertical="center" wrapText="1"/>
    </xf>
    <xf borderId="1" fillId="0" fontId="18" numFmtId="0" xfId="0" applyAlignment="1" applyBorder="1" applyFont="1">
      <alignment horizontal="center" readingOrder="0" shrinkToFit="0" vertical="center" wrapText="1"/>
    </xf>
    <xf borderId="2" fillId="4" fontId="18" numFmtId="0" xfId="0" applyAlignment="1" applyBorder="1" applyFont="1">
      <alignment horizontal="center" shrinkToFit="0" vertical="center" wrapText="1"/>
    </xf>
    <xf borderId="3" fillId="4" fontId="18" numFmtId="0" xfId="0" applyAlignment="1" applyBorder="1" applyFont="1">
      <alignment horizontal="center" shrinkToFit="0" vertical="center" wrapText="1"/>
    </xf>
    <xf borderId="2" fillId="0" fontId="18" numFmtId="0" xfId="0" applyAlignment="1" applyBorder="1" applyFont="1">
      <alignment horizontal="center" shrinkToFit="0" vertical="center" wrapText="1"/>
    </xf>
    <xf borderId="2" fillId="0" fontId="18" numFmtId="0" xfId="0" applyAlignment="1" applyBorder="1" applyFont="1">
      <alignment horizontal="center" shrinkToFit="0" vertical="center" wrapText="1"/>
    </xf>
    <xf borderId="3" fillId="0" fontId="18" numFmtId="0" xfId="0" applyAlignment="1" applyBorder="1" applyFont="1">
      <alignment horizontal="center" shrinkToFit="0" vertical="center" wrapText="1"/>
    </xf>
    <xf borderId="0" fillId="5" fontId="19" numFmtId="0" xfId="0" applyAlignment="1" applyFont="1">
      <alignment horizontal="center" shrinkToFit="0" vertical="center" wrapText="1"/>
    </xf>
    <xf borderId="16" fillId="0" fontId="33" numFmtId="0" xfId="0" applyAlignment="1" applyBorder="1" applyFont="1">
      <alignment horizontal="center" vertical="center"/>
    </xf>
    <xf borderId="61" fillId="0" fontId="19" numFmtId="0" xfId="0" applyAlignment="1" applyBorder="1" applyFont="1">
      <alignment horizontal="center" vertical="center"/>
    </xf>
    <xf borderId="11" fillId="0" fontId="19" numFmtId="0" xfId="0" applyAlignment="1" applyBorder="1" applyFont="1">
      <alignment horizontal="center" vertical="center"/>
    </xf>
    <xf borderId="62" fillId="0" fontId="19" numFmtId="0" xfId="0" applyAlignment="1" applyBorder="1" applyFont="1">
      <alignment horizontal="center" vertical="center"/>
    </xf>
    <xf borderId="0" fillId="5" fontId="19" numFmtId="0" xfId="0" applyAlignment="1" applyFont="1">
      <alignment horizontal="center" readingOrder="0" vertical="center"/>
    </xf>
    <xf borderId="5" fillId="0" fontId="19" numFmtId="49" xfId="0" applyAlignment="1" applyBorder="1" applyFont="1" applyNumberFormat="1">
      <alignment horizontal="center" readingOrder="0" vertical="center"/>
    </xf>
    <xf borderId="5" fillId="0" fontId="19" numFmtId="0" xfId="0" applyAlignment="1" applyBorder="1" applyFont="1">
      <alignment horizontal="center" readingOrder="0" vertical="center"/>
    </xf>
    <xf borderId="6" fillId="0" fontId="19" numFmtId="0" xfId="0" applyAlignment="1" applyBorder="1" applyFont="1">
      <alignment horizontal="center" readingOrder="0" vertical="center"/>
    </xf>
    <xf borderId="16" fillId="0" fontId="19" numFmtId="0" xfId="0" applyAlignment="1" applyBorder="1" applyFont="1">
      <alignment horizontal="center" readingOrder="0" vertical="center"/>
    </xf>
    <xf borderId="0" fillId="0" fontId="19" numFmtId="49" xfId="0" applyAlignment="1" applyFont="1" applyNumberFormat="1">
      <alignment horizontal="center" readingOrder="0" vertical="center"/>
    </xf>
    <xf borderId="46" fillId="0" fontId="19" numFmtId="49" xfId="0" applyAlignment="1" applyBorder="1" applyFont="1" applyNumberFormat="1">
      <alignment horizontal="center" readingOrder="0" vertical="center"/>
    </xf>
    <xf borderId="33" fillId="0" fontId="19" numFmtId="0" xfId="0" applyAlignment="1" applyBorder="1" applyFont="1">
      <alignment horizontal="center" vertical="center"/>
    </xf>
    <xf borderId="60" fillId="0" fontId="19" numFmtId="0" xfId="0" applyAlignment="1" applyBorder="1" applyFont="1">
      <alignment horizontal="center" readingOrder="0" vertical="center"/>
    </xf>
    <xf borderId="80" fillId="0" fontId="19" numFmtId="0" xfId="0" applyAlignment="1" applyBorder="1" applyFont="1">
      <alignment horizontal="center" readingOrder="0" vertical="center"/>
    </xf>
    <xf borderId="48" fillId="0" fontId="19" numFmtId="49" xfId="0" applyAlignment="1" applyBorder="1" applyFont="1" applyNumberFormat="1">
      <alignment horizontal="center" readingOrder="0" vertical="center"/>
    </xf>
    <xf borderId="48" fillId="0" fontId="19" numFmtId="0" xfId="0" applyAlignment="1" applyBorder="1" applyFont="1">
      <alignment horizontal="center" readingOrder="0" vertical="center"/>
    </xf>
    <xf borderId="47" fillId="0" fontId="19" numFmtId="0" xfId="0" applyAlignment="1" applyBorder="1" applyFont="1">
      <alignment horizontal="center" readingOrder="0" vertical="center"/>
    </xf>
    <xf borderId="48" fillId="0" fontId="19" numFmtId="0" xfId="0" applyAlignment="1" applyBorder="1" applyFont="1">
      <alignment horizontal="center" readingOrder="0" vertical="center"/>
    </xf>
    <xf borderId="47" fillId="0" fontId="19" numFmtId="0" xfId="0" applyAlignment="1" applyBorder="1" applyFont="1">
      <alignment horizontal="center" readingOrder="0" vertical="center"/>
    </xf>
    <xf borderId="0" fillId="5" fontId="19" numFmtId="0" xfId="0" applyAlignment="1" applyFont="1">
      <alignment horizontal="center" vertical="center"/>
    </xf>
    <xf borderId="0" fillId="5" fontId="19" numFmtId="0" xfId="0" applyAlignment="1" applyFont="1">
      <alignment horizontal="center" vertical="center"/>
    </xf>
    <xf borderId="1" fillId="0" fontId="18" numFmtId="0" xfId="0" applyAlignment="1" applyBorder="1" applyFont="1">
      <alignment horizontal="center" vertical="center"/>
    </xf>
    <xf borderId="1" fillId="4" fontId="18" numFmtId="0" xfId="0" applyAlignment="1" applyBorder="1" applyFont="1">
      <alignment horizontal="center" shrinkToFit="0" vertical="center" wrapText="1"/>
    </xf>
    <xf borderId="2" fillId="4" fontId="18" numFmtId="0" xfId="0" applyAlignment="1" applyBorder="1" applyFont="1">
      <alignment horizontal="center" vertical="center"/>
    </xf>
    <xf borderId="1" fillId="4" fontId="18" numFmtId="0" xfId="0" applyAlignment="1" applyBorder="1" applyFont="1">
      <alignment horizontal="center" shrinkToFit="0" vertical="center" wrapText="1"/>
    </xf>
    <xf borderId="2" fillId="4" fontId="18" numFmtId="0" xfId="0" applyAlignment="1" applyBorder="1" applyFont="1">
      <alignment horizontal="center" shrinkToFit="0" vertical="center" wrapText="1"/>
    </xf>
    <xf borderId="3" fillId="4" fontId="18" numFmtId="0" xfId="0" applyAlignment="1" applyBorder="1" applyFont="1">
      <alignment horizontal="center" shrinkToFit="0" vertical="center" wrapText="1"/>
    </xf>
    <xf borderId="10" fillId="4" fontId="19" numFmtId="0" xfId="0" applyAlignment="1" applyBorder="1" applyFont="1">
      <alignment horizontal="center" vertical="center"/>
    </xf>
    <xf borderId="0" fillId="4" fontId="35" numFmtId="0" xfId="0" applyAlignment="1" applyFont="1">
      <alignment horizontal="center" vertical="center"/>
    </xf>
    <xf borderId="0" fillId="4" fontId="19" numFmtId="49" xfId="0" applyAlignment="1" applyFont="1" applyNumberFormat="1">
      <alignment horizontal="center" readingOrder="0" vertical="center"/>
    </xf>
    <xf borderId="6" fillId="4" fontId="19" numFmtId="0" xfId="0" applyAlignment="1" applyBorder="1" applyFont="1">
      <alignment horizontal="center" vertical="center"/>
    </xf>
    <xf borderId="23" fillId="0" fontId="19" numFmtId="0" xfId="0" applyAlignment="1" applyBorder="1" applyFont="1">
      <alignment horizontal="center" readingOrder="0" vertical="center"/>
    </xf>
    <xf borderId="46" fillId="0" fontId="19" numFmtId="0" xfId="0" applyAlignment="1" applyBorder="1" applyFont="1">
      <alignment horizontal="center" readingOrder="0" vertical="center"/>
    </xf>
    <xf borderId="25" fillId="0" fontId="19" numFmtId="0" xfId="0" applyAlignment="1" applyBorder="1" applyFont="1">
      <alignment horizontal="center" readingOrder="0" vertical="center"/>
    </xf>
    <xf borderId="45" fillId="0" fontId="19" numFmtId="0" xfId="0" applyAlignment="1" applyBorder="1" applyFont="1">
      <alignment horizontal="center" readingOrder="0" vertical="center"/>
    </xf>
    <xf borderId="0" fillId="4" fontId="19" numFmtId="49" xfId="0" applyAlignment="1" applyFont="1" applyNumberFormat="1">
      <alignment horizontal="center" vertical="center"/>
    </xf>
    <xf borderId="0" fillId="4" fontId="35" numFmtId="49" xfId="0" applyAlignment="1" applyFont="1" applyNumberFormat="1">
      <alignment horizontal="center" vertical="center"/>
    </xf>
    <xf borderId="10" fillId="4" fontId="19" numFmtId="49" xfId="0" applyAlignment="1" applyBorder="1" applyFont="1" applyNumberFormat="1">
      <alignment horizontal="center" vertical="center"/>
    </xf>
    <xf borderId="11" fillId="4" fontId="19" numFmtId="0" xfId="0" applyAlignment="1" applyBorder="1" applyFont="1">
      <alignment horizontal="center" vertical="center"/>
    </xf>
    <xf borderId="48" fillId="0" fontId="5" numFmtId="49" xfId="0" applyAlignment="1" applyBorder="1" applyFont="1" applyNumberFormat="1">
      <alignment horizontal="center"/>
    </xf>
    <xf borderId="0" fillId="4" fontId="19" numFmtId="49" xfId="0" applyAlignment="1" applyFont="1" applyNumberFormat="1">
      <alignment horizontal="center" vertical="center"/>
    </xf>
    <xf borderId="46" fillId="0" fontId="19" numFmtId="0" xfId="0" applyAlignment="1" applyBorder="1" applyFont="1">
      <alignment horizontal="center" vertical="center"/>
    </xf>
    <xf borderId="23" fillId="4" fontId="19" numFmtId="0" xfId="0" applyAlignment="1" applyBorder="1" applyFont="1">
      <alignment horizontal="center" vertical="center"/>
    </xf>
    <xf borderId="46" fillId="4" fontId="35" numFmtId="0" xfId="0" applyAlignment="1" applyBorder="1" applyFont="1">
      <alignment horizontal="center" vertical="center"/>
    </xf>
    <xf borderId="46" fillId="4" fontId="19" numFmtId="49" xfId="0" applyAlignment="1" applyBorder="1" applyFont="1" applyNumberFormat="1">
      <alignment horizontal="center" vertical="center"/>
    </xf>
    <xf borderId="46" fillId="4" fontId="35" numFmtId="49" xfId="0" applyAlignment="1" applyBorder="1" applyFont="1" applyNumberFormat="1">
      <alignment horizontal="center" vertical="center"/>
    </xf>
    <xf borderId="46" fillId="4" fontId="19" numFmtId="0" xfId="0" applyAlignment="1" applyBorder="1" applyFont="1">
      <alignment horizontal="center" vertical="center"/>
    </xf>
    <xf borderId="46" fillId="4" fontId="19" numFmtId="0" xfId="0" applyAlignment="1" applyBorder="1" applyFont="1">
      <alignment horizontal="center" vertical="center"/>
    </xf>
    <xf borderId="25" fillId="4" fontId="19" numFmtId="49" xfId="0" applyAlignment="1" applyBorder="1" applyFont="1" applyNumberFormat="1">
      <alignment horizontal="center" vertical="center"/>
    </xf>
    <xf borderId="0" fillId="4" fontId="19" numFmtId="49" xfId="0" applyAlignment="1" applyFont="1" applyNumberFormat="1">
      <alignment horizontal="center" readingOrder="0" vertical="center"/>
    </xf>
    <xf borderId="15" fillId="0" fontId="19" numFmtId="49" xfId="0" applyAlignment="1" applyBorder="1" applyFont="1" applyNumberFormat="1">
      <alignment horizontal="center" readingOrder="0" vertical="center"/>
    </xf>
    <xf borderId="15" fillId="0" fontId="19" numFmtId="0" xfId="0" applyAlignment="1" applyBorder="1" applyFont="1">
      <alignment horizontal="center" readingOrder="0" vertical="center"/>
    </xf>
    <xf borderId="32" fillId="0" fontId="19" numFmtId="0" xfId="0" applyAlignment="1" applyBorder="1" applyFont="1">
      <alignment horizontal="center" readingOrder="0" vertical="center"/>
    </xf>
    <xf borderId="46" fillId="0" fontId="5" numFmtId="49" xfId="0" applyAlignment="1" applyBorder="1" applyFont="1" applyNumberFormat="1">
      <alignment horizontal="center"/>
    </xf>
    <xf borderId="0" fillId="5" fontId="19" numFmtId="49" xfId="0" applyAlignment="1" applyFont="1" applyNumberFormat="1">
      <alignment horizontal="center" readingOrder="0" vertical="center"/>
    </xf>
    <xf borderId="1" fillId="0" fontId="19" numFmtId="49" xfId="0" applyAlignment="1" applyBorder="1" applyFont="1" applyNumberFormat="1">
      <alignment horizontal="center" readingOrder="0" vertical="center"/>
    </xf>
    <xf borderId="3" fillId="0" fontId="19" numFmtId="49" xfId="0" applyAlignment="1" applyBorder="1" applyFont="1" applyNumberFormat="1">
      <alignment horizontal="center" readingOrder="0" vertical="center"/>
    </xf>
    <xf borderId="46" fillId="4" fontId="19" numFmtId="49" xfId="0" applyAlignment="1" applyBorder="1" applyFont="1" applyNumberFormat="1">
      <alignment horizontal="center" readingOrder="0" vertical="center"/>
    </xf>
    <xf borderId="25" fillId="4" fontId="19" numFmtId="0" xfId="0" applyAlignment="1" applyBorder="1" applyFont="1">
      <alignment horizontal="center" vertical="center"/>
    </xf>
    <xf borderId="4" fillId="0" fontId="18" numFmtId="0" xfId="0" applyAlignment="1" applyBorder="1" applyFont="1">
      <alignment horizontal="center" vertical="center"/>
    </xf>
    <xf borderId="13" fillId="0" fontId="19" numFmtId="0" xfId="0" applyAlignment="1" applyBorder="1" applyFont="1">
      <alignment horizontal="center" readingOrder="0" shrinkToFit="0" vertical="center" wrapText="1"/>
    </xf>
    <xf borderId="5" fillId="0" fontId="19" numFmtId="49" xfId="0" applyAlignment="1" applyBorder="1" applyFont="1" applyNumberFormat="1">
      <alignment horizontal="center" readingOrder="0"/>
    </xf>
    <xf borderId="48" fillId="0" fontId="19" numFmtId="0" xfId="0" applyAlignment="1" applyBorder="1" applyFont="1">
      <alignment horizontal="center" vertical="center"/>
    </xf>
    <xf borderId="80" fillId="4" fontId="19" numFmtId="0" xfId="0" applyAlignment="1" applyBorder="1" applyFont="1">
      <alignment horizontal="center" vertical="center"/>
    </xf>
    <xf borderId="48" fillId="4" fontId="35" numFmtId="0" xfId="0" applyAlignment="1" applyBorder="1" applyFont="1">
      <alignment horizontal="center" vertical="center"/>
    </xf>
    <xf borderId="48" fillId="4" fontId="19" numFmtId="49" xfId="0" applyAlignment="1" applyBorder="1" applyFont="1" applyNumberFormat="1">
      <alignment horizontal="center" vertical="center"/>
    </xf>
    <xf borderId="48" fillId="4" fontId="19" numFmtId="0" xfId="0" applyAlignment="1" applyBorder="1" applyFont="1">
      <alignment horizontal="center" vertical="center"/>
    </xf>
    <xf borderId="48" fillId="4" fontId="19" numFmtId="0" xfId="0" applyAlignment="1" applyBorder="1" applyFont="1">
      <alignment horizontal="center" vertical="center"/>
    </xf>
    <xf borderId="47" fillId="4" fontId="19" numFmtId="0" xfId="0" applyAlignment="1" applyBorder="1" applyFont="1">
      <alignment horizontal="center" vertical="center"/>
    </xf>
    <xf borderId="0" fillId="0" fontId="19" numFmtId="49" xfId="0" applyAlignment="1" applyFont="1" applyNumberFormat="1">
      <alignment horizontal="center" readingOrder="0"/>
    </xf>
    <xf borderId="0" fillId="12" fontId="35" numFmtId="0" xfId="0" applyAlignment="1" applyFill="1" applyFont="1">
      <alignment horizontal="center" vertical="center"/>
    </xf>
    <xf borderId="0" fillId="12" fontId="19" numFmtId="49" xfId="0" applyAlignment="1" applyFont="1" applyNumberFormat="1">
      <alignment horizontal="center" vertical="center"/>
    </xf>
    <xf borderId="11" fillId="4" fontId="19" numFmtId="0" xfId="0" applyAlignment="1" applyBorder="1" applyFont="1">
      <alignment horizontal="center" vertical="center"/>
    </xf>
    <xf borderId="25" fillId="4" fontId="19" numFmtId="0" xfId="0" applyAlignment="1" applyBorder="1" applyFont="1">
      <alignment horizontal="center" vertical="center"/>
    </xf>
    <xf borderId="0" fillId="0" fontId="19" numFmtId="0" xfId="0" applyAlignment="1" applyFont="1">
      <alignment horizontal="center" readingOrder="0" vertical="center"/>
    </xf>
    <xf borderId="11" fillId="0" fontId="19" numFmtId="0" xfId="0" applyAlignment="1" applyBorder="1" applyFont="1">
      <alignment horizontal="center" readingOrder="0" vertical="center"/>
    </xf>
    <xf borderId="48" fillId="0" fontId="19" numFmtId="49" xfId="0" applyAlignment="1" applyBorder="1" applyFont="1" applyNumberFormat="1">
      <alignment horizontal="center" readingOrder="0"/>
    </xf>
    <xf borderId="46" fillId="4" fontId="19" numFmtId="49" xfId="0" applyAlignment="1" applyBorder="1" applyFont="1" applyNumberFormat="1">
      <alignment horizontal="center" vertical="center"/>
    </xf>
    <xf borderId="0" fillId="4" fontId="35" numFmtId="168" xfId="0" applyAlignment="1" applyFont="1" applyNumberFormat="1">
      <alignment horizontal="center" vertical="center"/>
    </xf>
    <xf borderId="46" fillId="0" fontId="19" numFmtId="49" xfId="0" applyAlignment="1" applyBorder="1" applyFont="1" applyNumberFormat="1">
      <alignment horizontal="center" readingOrder="0"/>
    </xf>
    <xf borderId="15" fillId="0" fontId="19" numFmtId="49" xfId="0" applyAlignment="1" applyBorder="1" applyFont="1" applyNumberFormat="1">
      <alignment horizontal="center" readingOrder="0"/>
    </xf>
    <xf borderId="5" fillId="4" fontId="35" numFmtId="0" xfId="0" applyAlignment="1" applyBorder="1" applyFont="1">
      <alignment horizontal="center" vertical="center"/>
    </xf>
    <xf borderId="5" fillId="4" fontId="19" numFmtId="49" xfId="0" applyAlignment="1" applyBorder="1" applyFont="1" applyNumberFormat="1">
      <alignment horizontal="center" vertical="center"/>
    </xf>
    <xf borderId="5" fillId="4" fontId="19" numFmtId="0" xfId="0" applyAlignment="1" applyBorder="1" applyFont="1">
      <alignment horizontal="center" vertical="center"/>
    </xf>
    <xf borderId="6" fillId="4" fontId="19" numFmtId="0" xfId="0" applyAlignment="1" applyBorder="1" applyFont="1">
      <alignment horizontal="center" vertical="center"/>
    </xf>
    <xf borderId="5" fillId="0" fontId="18" numFmtId="0" xfId="0" applyAlignment="1" applyBorder="1" applyFont="1">
      <alignment horizontal="center" shrinkToFit="0" vertical="center" wrapText="1"/>
    </xf>
    <xf borderId="46" fillId="12" fontId="35" numFmtId="0" xfId="0" applyAlignment="1" applyBorder="1" applyFont="1">
      <alignment horizontal="center" vertical="center"/>
    </xf>
    <xf borderId="46" fillId="12" fontId="19" numFmtId="49" xfId="0" applyAlignment="1" applyBorder="1" applyFont="1" applyNumberFormat="1">
      <alignment horizontal="center" vertical="center"/>
    </xf>
    <xf borderId="4" fillId="0" fontId="19" numFmtId="0" xfId="0" applyAlignment="1" applyBorder="1" applyFont="1">
      <alignment horizontal="center"/>
    </xf>
    <xf borderId="10" fillId="0" fontId="19" numFmtId="0" xfId="0" applyAlignment="1" applyBorder="1" applyFont="1">
      <alignment horizontal="center"/>
    </xf>
    <xf borderId="13" fillId="4" fontId="19" numFmtId="0" xfId="0" applyAlignment="1" applyBorder="1" applyFont="1">
      <alignment horizontal="center" vertical="center"/>
    </xf>
    <xf borderId="15" fillId="4" fontId="35" numFmtId="0" xfId="0" applyAlignment="1" applyBorder="1" applyFont="1">
      <alignment horizontal="center" vertical="center"/>
    </xf>
    <xf borderId="15" fillId="4" fontId="19" numFmtId="49" xfId="0" applyAlignment="1" applyBorder="1" applyFont="1" applyNumberFormat="1">
      <alignment horizontal="center" vertical="center"/>
    </xf>
    <xf borderId="15" fillId="4" fontId="19" numFmtId="0" xfId="0" applyAlignment="1" applyBorder="1" applyFont="1">
      <alignment horizontal="center" vertical="center"/>
    </xf>
    <xf borderId="14" fillId="4" fontId="19" numFmtId="0" xfId="0" applyAlignment="1" applyBorder="1" applyFont="1">
      <alignment horizontal="center" vertical="center"/>
    </xf>
    <xf borderId="5" fillId="5" fontId="19" numFmtId="0" xfId="0" applyAlignment="1" applyBorder="1" applyFont="1">
      <alignment horizontal="center" vertical="center"/>
    </xf>
    <xf borderId="4" fillId="5" fontId="15" numFmtId="0" xfId="0" applyAlignment="1" applyBorder="1" applyFont="1">
      <alignment horizontal="center" readingOrder="0" vertical="center"/>
    </xf>
    <xf borderId="4" fillId="5" fontId="29" numFmtId="0" xfId="0" applyAlignment="1" applyBorder="1" applyFont="1">
      <alignment horizontal="center" readingOrder="0" vertical="center"/>
    </xf>
    <xf borderId="5" fillId="0" fontId="5" numFmtId="0" xfId="0" applyAlignment="1" applyBorder="1" applyFont="1">
      <alignment horizontal="center" shrinkToFit="0" wrapText="1"/>
    </xf>
    <xf borderId="6" fillId="0" fontId="5" numFmtId="0" xfId="0" applyAlignment="1" applyBorder="1" applyFont="1">
      <alignment horizontal="center" shrinkToFit="0" wrapText="1"/>
    </xf>
    <xf borderId="0" fillId="0" fontId="5" numFmtId="0" xfId="0" applyAlignment="1" applyFont="1">
      <alignment horizontal="center" shrinkToFit="0" wrapText="1"/>
    </xf>
    <xf borderId="11" fillId="0" fontId="5" numFmtId="0" xfId="0" applyAlignment="1" applyBorder="1" applyFont="1">
      <alignment horizontal="center" shrinkToFit="0" wrapText="1"/>
    </xf>
    <xf borderId="0" fillId="0" fontId="1" numFmtId="0" xfId="0" applyAlignment="1" applyFont="1">
      <alignment horizontal="center" readingOrder="0"/>
    </xf>
    <xf borderId="11" fillId="4" fontId="36" numFmtId="0" xfId="0" applyAlignment="1" applyBorder="1" applyFont="1">
      <alignment horizontal="center" readingOrder="0"/>
    </xf>
    <xf borderId="0" fillId="0" fontId="32" numFmtId="0" xfId="0" applyAlignment="1" applyFont="1">
      <alignment vertical="bottom"/>
    </xf>
    <xf borderId="0" fillId="0" fontId="1" numFmtId="0" xfId="0" applyAlignment="1" applyFont="1">
      <alignment horizontal="center"/>
    </xf>
    <xf borderId="11" fillId="0" fontId="1" numFmtId="0" xfId="0" applyAlignment="1" applyBorder="1" applyFont="1">
      <alignment horizontal="center"/>
    </xf>
    <xf borderId="10" fillId="4" fontId="5" numFmtId="0" xfId="0" applyAlignment="1" applyBorder="1" applyFont="1">
      <alignment horizontal="center"/>
    </xf>
    <xf borderId="0" fillId="0" fontId="32" numFmtId="0" xfId="0" applyAlignment="1" applyFont="1">
      <alignment horizontal="center" vertical="bottom"/>
    </xf>
    <xf borderId="11" fillId="0" fontId="32" numFmtId="0" xfId="0" applyAlignment="1" applyBorder="1" applyFont="1">
      <alignment horizontal="center" vertical="bottom"/>
    </xf>
    <xf borderId="0" fillId="4" fontId="5" numFmtId="0" xfId="0" applyAlignment="1" applyFont="1">
      <alignment horizontal="center"/>
    </xf>
    <xf borderId="11" fillId="0" fontId="32" numFmtId="0" xfId="0" applyAlignment="1" applyBorder="1" applyFont="1">
      <alignment vertical="bottom"/>
    </xf>
    <xf borderId="10" fillId="5" fontId="29" numFmtId="0" xfId="0" applyAlignment="1" applyBorder="1" applyFont="1">
      <alignment horizontal="center" readingOrder="0" vertical="center"/>
    </xf>
    <xf borderId="11" fillId="0" fontId="1" numFmtId="0" xfId="0" applyAlignment="1" applyBorder="1" applyFont="1">
      <alignment horizontal="center" readingOrder="0"/>
    </xf>
    <xf borderId="0" fillId="0" fontId="5" numFmtId="0" xfId="0" applyAlignment="1" applyFont="1">
      <alignment horizontal="center" shrinkToFit="0" wrapText="1"/>
    </xf>
    <xf borderId="11" fillId="0" fontId="5" numFmtId="0" xfId="0" applyAlignment="1" applyBorder="1" applyFont="1">
      <alignment horizontal="center" shrinkToFit="0" wrapText="1"/>
    </xf>
    <xf borderId="0" fillId="0" fontId="5" numFmtId="0" xfId="0" applyAlignment="1" applyFont="1">
      <alignment horizontal="center" readingOrder="0" shrinkToFit="0" wrapText="1"/>
    </xf>
    <xf borderId="11" fillId="0" fontId="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1" fillId="0" fontId="1" numFmtId="0" xfId="0" applyAlignment="1" applyBorder="1" applyFont="1">
      <alignment horizontal="center" readingOrder="0" vertical="center"/>
    </xf>
    <xf borderId="11" fillId="0" fontId="1" numFmtId="0" xfId="0" applyAlignment="1" applyBorder="1" applyFont="1">
      <alignment horizontal="center" readingOrder="0" vertical="center"/>
    </xf>
    <xf borderId="4" fillId="0" fontId="5" numFmtId="168" xfId="0" applyAlignment="1" applyBorder="1" applyFont="1" applyNumberFormat="1">
      <alignment horizontal="center" vertical="bottom"/>
    </xf>
    <xf borderId="5" fillId="0" fontId="5" numFmtId="168" xfId="0" applyAlignment="1" applyBorder="1" applyFont="1" applyNumberFormat="1">
      <alignment horizontal="center" vertical="bottom"/>
    </xf>
    <xf borderId="6" fillId="0" fontId="5" numFmtId="168" xfId="0" applyAlignment="1" applyBorder="1" applyFont="1" applyNumberFormat="1">
      <alignment horizontal="center" vertical="bottom"/>
    </xf>
    <xf borderId="5" fillId="0" fontId="1" numFmtId="0" xfId="0" applyAlignment="1" applyBorder="1" applyFont="1">
      <alignment horizontal="center"/>
    </xf>
    <xf borderId="11" fillId="0" fontId="5" numFmtId="0" xfId="0" applyAlignment="1" applyBorder="1" applyFont="1">
      <alignment horizontal="center" vertical="bottom"/>
    </xf>
    <xf borderId="15" fillId="0" fontId="1" numFmtId="0" xfId="0" applyAlignment="1" applyBorder="1" applyFont="1">
      <alignment horizontal="center"/>
    </xf>
    <xf borderId="14" fillId="0" fontId="5" numFmtId="0" xfId="0" applyAlignment="1" applyBorder="1" applyFont="1">
      <alignment horizontal="center" vertical="bottom"/>
    </xf>
    <xf borderId="13" fillId="5" fontId="17" numFmtId="168" xfId="0" applyAlignment="1" applyBorder="1" applyFont="1" applyNumberFormat="1">
      <alignment horizontal="center" readingOrder="0" vertical="bottom"/>
    </xf>
    <xf borderId="13" fillId="0" fontId="1" numFmtId="0" xfId="0" applyAlignment="1" applyBorder="1" applyFont="1">
      <alignment horizontal="center" readingOrder="0" vertical="center"/>
    </xf>
    <xf borderId="14" fillId="0" fontId="1" numFmtId="0" xfId="0" applyAlignment="1" applyBorder="1" applyFont="1">
      <alignment horizontal="center" readingOrder="0" vertical="center"/>
    </xf>
    <xf borderId="15" fillId="0" fontId="5" numFmtId="0" xfId="0" applyAlignment="1" applyBorder="1" applyFont="1">
      <alignment horizontal="center" vertical="bottom"/>
    </xf>
    <xf borderId="35" fillId="0" fontId="5" numFmtId="0" xfId="0" applyAlignment="1" applyBorder="1" applyFont="1">
      <alignment horizontal="center"/>
    </xf>
    <xf borderId="35" fillId="0" fontId="5" numFmtId="0" xfId="0" applyAlignment="1" applyBorder="1" applyFont="1">
      <alignment horizontal="center"/>
    </xf>
    <xf borderId="87" fillId="0" fontId="5" numFmtId="0" xfId="0" applyAlignment="1" applyBorder="1" applyFont="1">
      <alignment horizontal="center"/>
    </xf>
    <xf borderId="6" fillId="4" fontId="5" numFmtId="0" xfId="0" applyAlignment="1" applyBorder="1" applyFont="1">
      <alignment horizontal="center" vertical="bottom"/>
    </xf>
    <xf borderId="5" fillId="4" fontId="5" numFmtId="0" xfId="0" applyAlignment="1" applyBorder="1" applyFont="1">
      <alignment horizontal="center" vertical="bottom"/>
    </xf>
    <xf borderId="11" fillId="4" fontId="5" numFmtId="0" xfId="0" applyAlignment="1" applyBorder="1" applyFont="1">
      <alignment horizontal="center" vertical="bottom"/>
    </xf>
    <xf borderId="13" fillId="4" fontId="5" numFmtId="0" xfId="0" applyAlignment="1" applyBorder="1" applyFont="1">
      <alignment horizontal="center" vertical="bottom"/>
    </xf>
    <xf borderId="14" fillId="4" fontId="5" numFmtId="0" xfId="0" applyAlignment="1" applyBorder="1" applyFont="1">
      <alignment horizontal="center" vertical="bottom"/>
    </xf>
    <xf borderId="0" fillId="0" fontId="37" numFmtId="0" xfId="0" applyAlignment="1" applyFont="1">
      <alignment horizontal="center" readingOrder="0" vertical="center"/>
    </xf>
    <xf borderId="10" fillId="5" fontId="23" numFmtId="0" xfId="0" applyAlignment="1" applyBorder="1" applyFont="1">
      <alignment horizontal="center" readingOrder="0" shrinkToFit="0" vertical="center" wrapText="1"/>
    </xf>
    <xf borderId="1" fillId="0" fontId="23" numFmtId="168" xfId="0" applyAlignment="1" applyBorder="1" applyFont="1" applyNumberFormat="1">
      <alignment horizontal="center" readingOrder="0" shrinkToFit="0" vertical="center" wrapText="1"/>
    </xf>
    <xf borderId="0" fillId="5" fontId="23" numFmtId="0" xfId="0" applyAlignment="1" applyFont="1">
      <alignment horizontal="center" readingOrder="0" shrinkToFit="0" vertical="center" wrapText="1"/>
    </xf>
    <xf borderId="51" fillId="5" fontId="29" numFmtId="0" xfId="0" applyAlignment="1" applyBorder="1" applyFont="1">
      <alignment horizontal="center" readingOrder="0" shrinkToFit="0" vertical="center" wrapText="1"/>
    </xf>
    <xf borderId="4" fillId="0" fontId="13" numFmtId="0" xfId="0" applyAlignment="1" applyBorder="1" applyFont="1">
      <alignment horizontal="center" readingOrder="0" shrinkToFit="0" vertical="center" wrapText="1"/>
    </xf>
    <xf borderId="6" fillId="0" fontId="13" numFmtId="0" xfId="0" applyAlignment="1" applyBorder="1" applyFont="1">
      <alignment horizontal="center" readingOrder="0" shrinkToFit="0" vertical="center" wrapText="1"/>
    </xf>
    <xf borderId="5" fillId="0" fontId="13" numFmtId="0" xfId="0" applyAlignment="1" applyBorder="1" applyFont="1">
      <alignment horizontal="center" readingOrder="0" shrinkToFit="0" vertical="center" wrapText="1"/>
    </xf>
    <xf borderId="16" fillId="0" fontId="13" numFmtId="0" xfId="0" applyAlignment="1" applyBorder="1" applyFont="1">
      <alignment horizontal="center" readingOrder="0" shrinkToFit="0" vertical="center" wrapText="1"/>
    </xf>
    <xf borderId="0" fillId="5" fontId="5" numFmtId="0" xfId="0" applyAlignment="1" applyFont="1">
      <alignment horizontal="center" shrinkToFit="0" vertical="center" wrapText="1"/>
    </xf>
    <xf borderId="51" fillId="0" fontId="5"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7" fillId="0" fontId="5" numFmtId="0" xfId="0" applyAlignment="1" applyBorder="1" applyFont="1">
      <alignment horizontal="center" readingOrder="0" shrinkToFit="0" vertical="center" wrapText="1"/>
    </xf>
    <xf borderId="21" fillId="0" fontId="5" numFmtId="0" xfId="0" applyAlignment="1" applyBorder="1" applyFont="1">
      <alignment horizontal="center" readingOrder="0" shrinkToFit="0" vertical="center" wrapText="1"/>
    </xf>
    <xf borderId="22" fillId="0" fontId="5" numFmtId="0" xfId="0" applyAlignment="1" applyBorder="1" applyFont="1">
      <alignment horizontal="center" readingOrder="0" shrinkToFit="0" vertical="center" wrapText="1"/>
    </xf>
    <xf borderId="10" fillId="5" fontId="5" numFmtId="0" xfId="0" applyAlignment="1" applyBorder="1" applyFont="1">
      <alignment horizontal="center" shrinkToFit="0" vertical="center" wrapText="1"/>
    </xf>
    <xf borderId="32" fillId="0" fontId="5" numFmtId="0" xfId="0" applyAlignment="1" applyBorder="1" applyFont="1">
      <alignment horizontal="center" readingOrder="0" shrinkToFit="0" vertical="center" wrapText="1"/>
    </xf>
    <xf borderId="0" fillId="5" fontId="5" numFmtId="0" xfId="0" applyAlignment="1" applyFont="1">
      <alignment horizontal="center" readingOrder="0" shrinkToFit="0" vertical="center" wrapText="1"/>
    </xf>
    <xf borderId="16" fillId="5" fontId="38" numFmtId="0" xfId="0" applyAlignment="1" applyBorder="1" applyFont="1">
      <alignment horizontal="center" vertical="center"/>
    </xf>
    <xf borderId="16" fillId="0" fontId="5" numFmtId="0" xfId="0" applyAlignment="1" applyBorder="1" applyFont="1">
      <alignment horizontal="center" vertical="center"/>
    </xf>
    <xf borderId="6" fillId="0" fontId="5" numFmtId="0" xfId="0" applyAlignment="1" applyBorder="1" applyFont="1">
      <alignment horizontal="center" vertical="center"/>
    </xf>
    <xf borderId="0" fillId="5" fontId="1" numFmtId="0" xfId="0" applyAlignment="1" applyFont="1">
      <alignment horizontal="center" readingOrder="0" vertical="center"/>
    </xf>
    <xf borderId="4" fillId="0" fontId="1" numFmtId="0" xfId="0" applyAlignment="1" applyBorder="1" applyFont="1">
      <alignment horizontal="center" vertical="center"/>
    </xf>
    <xf borderId="26" fillId="0" fontId="1" numFmtId="0" xfId="0" applyAlignment="1" applyBorder="1" applyFont="1">
      <alignment horizontal="center" readingOrder="0" vertical="center"/>
    </xf>
    <xf borderId="21" fillId="0" fontId="1" numFmtId="0" xfId="0" applyAlignment="1" applyBorder="1" applyFont="1">
      <alignment horizontal="center" readingOrder="0" vertical="center"/>
    </xf>
    <xf borderId="21" fillId="10" fontId="1" numFmtId="0" xfId="0" applyAlignment="1" applyBorder="1" applyFont="1">
      <alignment horizontal="center" readingOrder="0" vertical="center"/>
    </xf>
    <xf borderId="22" fillId="10" fontId="1" numFmtId="0" xfId="0" applyAlignment="1" applyBorder="1" applyFont="1">
      <alignment horizontal="center" vertical="center"/>
    </xf>
    <xf borderId="5" fillId="0" fontId="1" numFmtId="0" xfId="0" applyAlignment="1" applyBorder="1" applyFont="1">
      <alignment horizontal="center" vertical="center"/>
    </xf>
    <xf borderId="0" fillId="0" fontId="1" numFmtId="0" xfId="0" applyAlignment="1" applyFont="1">
      <alignment horizontal="center" vertical="center"/>
    </xf>
    <xf borderId="11" fillId="0" fontId="1" numFmtId="0" xfId="0" applyAlignment="1" applyBorder="1" applyFont="1">
      <alignment horizontal="center" vertical="center"/>
    </xf>
    <xf borderId="6" fillId="0" fontId="1" numFmtId="0" xfId="0" applyAlignment="1" applyBorder="1" applyFont="1">
      <alignment horizontal="center" vertical="center"/>
    </xf>
    <xf borderId="0" fillId="5" fontId="1" numFmtId="0" xfId="0" applyAlignment="1" applyFont="1">
      <alignment horizontal="center" vertical="center"/>
    </xf>
    <xf borderId="4" fillId="0" fontId="1" numFmtId="168" xfId="0" applyAlignment="1" applyBorder="1" applyFont="1" applyNumberFormat="1">
      <alignment horizontal="center" vertical="center"/>
    </xf>
    <xf borderId="6" fillId="0" fontId="1" numFmtId="168" xfId="0" applyAlignment="1" applyBorder="1" applyFont="1" applyNumberFormat="1">
      <alignment horizontal="center" vertical="center"/>
    </xf>
    <xf borderId="4" fillId="0" fontId="1" numFmtId="0" xfId="0" applyAlignment="1" applyBorder="1" applyFont="1">
      <alignment horizontal="center" vertical="center"/>
    </xf>
    <xf borderId="6" fillId="0" fontId="1" numFmtId="0" xfId="0" applyAlignment="1" applyBorder="1" applyFont="1">
      <alignment horizontal="center" readingOrder="0" vertical="center"/>
    </xf>
    <xf borderId="12" fillId="5" fontId="38" numFmtId="0" xfId="0" applyAlignment="1" applyBorder="1" applyFont="1">
      <alignment horizontal="center" vertical="center"/>
    </xf>
    <xf borderId="27" fillId="0" fontId="1" numFmtId="0" xfId="0" applyAlignment="1" applyBorder="1" applyFont="1">
      <alignment horizontal="center" readingOrder="0" vertical="center"/>
    </xf>
    <xf borderId="27" fillId="10" fontId="1" numFmtId="0" xfId="0" applyAlignment="1" applyBorder="1" applyFont="1">
      <alignment horizontal="center" readingOrder="0" vertical="center"/>
    </xf>
    <xf borderId="28" fillId="10" fontId="1" numFmtId="0" xfId="0" applyAlignment="1" applyBorder="1" applyFont="1">
      <alignment horizontal="center" vertical="center"/>
    </xf>
    <xf borderId="29" fillId="0" fontId="1" numFmtId="0" xfId="0" applyAlignment="1" applyBorder="1" applyFont="1">
      <alignment horizontal="center" readingOrder="0" vertical="center"/>
    </xf>
    <xf borderId="30" fillId="0" fontId="1" numFmtId="0" xfId="0" applyAlignment="1" applyBorder="1" applyFont="1">
      <alignment horizontal="center" readingOrder="0" vertical="center"/>
    </xf>
    <xf borderId="30" fillId="10" fontId="1" numFmtId="0" xfId="0" applyAlignment="1" applyBorder="1" applyFont="1">
      <alignment horizontal="center" readingOrder="0" vertical="center"/>
    </xf>
    <xf borderId="31" fillId="10" fontId="1" numFmtId="0" xfId="0" applyAlignment="1" applyBorder="1" applyFont="1">
      <alignment horizontal="center" vertical="center"/>
    </xf>
    <xf borderId="32" fillId="5" fontId="38" numFmtId="0" xfId="0" applyAlignment="1" applyBorder="1" applyFont="1">
      <alignment horizontal="center" vertical="center"/>
    </xf>
    <xf borderId="13" fillId="0" fontId="1" numFmtId="0" xfId="0" applyAlignment="1" applyBorder="1" applyFont="1">
      <alignment horizontal="center" vertical="center"/>
    </xf>
    <xf borderId="33" fillId="0" fontId="1" numFmtId="0" xfId="0" applyAlignment="1" applyBorder="1" applyFont="1">
      <alignment horizontal="center" vertical="center"/>
    </xf>
    <xf borderId="4" fillId="0" fontId="13" numFmtId="0" xfId="0" applyAlignment="1" applyBorder="1" applyFont="1">
      <alignment horizontal="center" readingOrder="0" vertical="center"/>
    </xf>
    <xf borderId="0" fillId="5" fontId="13" numFmtId="0" xfId="0" applyAlignment="1" applyFont="1">
      <alignment horizontal="center" vertical="center"/>
    </xf>
    <xf borderId="2" fillId="5" fontId="5" numFmtId="0" xfId="0" applyAlignment="1" applyBorder="1" applyFont="1">
      <alignment horizontal="center" shrinkToFit="0" vertical="center" wrapText="1"/>
    </xf>
    <xf borderId="2" fillId="5" fontId="5" numFmtId="0" xfId="0" applyAlignment="1" applyBorder="1" applyFont="1">
      <alignment horizontal="center" readingOrder="0" shrinkToFit="0" vertical="center" wrapText="1"/>
    </xf>
    <xf borderId="2" fillId="0" fontId="13" numFmtId="0" xfId="0" applyAlignment="1" applyBorder="1" applyFont="1">
      <alignment horizontal="center" readingOrder="0" vertical="center"/>
    </xf>
    <xf borderId="13" fillId="0" fontId="5" numFmtId="0" xfId="0" applyAlignment="1" applyBorder="1" applyFont="1">
      <alignment horizontal="center" readingOrder="0" shrinkToFit="0" vertical="center" wrapText="1"/>
    </xf>
    <xf borderId="0" fillId="0" fontId="5" numFmtId="3" xfId="0" applyAlignment="1" applyFont="1" applyNumberFormat="1">
      <alignment horizontal="center" vertical="center"/>
    </xf>
    <xf borderId="5" fillId="0" fontId="1" numFmtId="49" xfId="0" applyAlignment="1" applyBorder="1" applyFont="1" applyNumberFormat="1">
      <alignment horizontal="center" vertical="center"/>
    </xf>
    <xf borderId="4" fillId="0" fontId="1" numFmtId="0" xfId="0" applyAlignment="1" applyBorder="1" applyFont="1">
      <alignment horizontal="center" readingOrder="0" vertical="center"/>
    </xf>
    <xf borderId="0" fillId="0" fontId="5" numFmtId="49" xfId="0" applyAlignment="1" applyFont="1" applyNumberFormat="1">
      <alignment horizontal="center" vertical="center"/>
    </xf>
    <xf borderId="6" fillId="0" fontId="1" numFmtId="0" xfId="0" applyAlignment="1" applyBorder="1" applyFont="1">
      <alignment horizontal="center" readingOrder="0" vertical="center"/>
    </xf>
    <xf borderId="0" fillId="0" fontId="5" numFmtId="168" xfId="0" applyAlignment="1" applyFont="1" applyNumberFormat="1">
      <alignment horizontal="center" vertical="center"/>
    </xf>
    <xf borderId="5" fillId="0" fontId="1" numFmtId="0" xfId="0" applyAlignment="1" applyBorder="1" applyFont="1">
      <alignment horizontal="center" readingOrder="0" vertical="center"/>
    </xf>
    <xf borderId="0" fillId="5" fontId="1" numFmtId="0" xfId="0" applyAlignment="1" applyFont="1">
      <alignment horizontal="center" vertical="center"/>
    </xf>
    <xf borderId="15" fillId="0" fontId="5" numFmtId="3" xfId="0" applyAlignment="1" applyBorder="1" applyFont="1" applyNumberFormat="1">
      <alignment horizontal="center" vertical="center"/>
    </xf>
    <xf borderId="0" fillId="0" fontId="2" numFmtId="0" xfId="0" applyAlignment="1" applyFont="1">
      <alignment vertical="center"/>
    </xf>
    <xf borderId="4" fillId="6" fontId="15" numFmtId="0" xfId="0" applyAlignment="1" applyBorder="1" applyFont="1">
      <alignment horizontal="center" vertical="center"/>
    </xf>
    <xf borderId="82" fillId="6" fontId="15" numFmtId="0" xfId="0" applyAlignment="1" applyBorder="1" applyFont="1">
      <alignment horizontal="center" vertical="center"/>
    </xf>
    <xf borderId="0" fillId="0" fontId="15" numFmtId="168" xfId="0" applyAlignment="1" applyFont="1" applyNumberFormat="1">
      <alignment horizontal="center" readingOrder="0" vertical="center"/>
    </xf>
    <xf borderId="13" fillId="6" fontId="15" numFmtId="168" xfId="0" applyAlignment="1" applyBorder="1" applyFont="1" applyNumberFormat="1">
      <alignment horizontal="center" vertical="center"/>
    </xf>
    <xf borderId="13" fillId="6" fontId="15" numFmtId="168" xfId="0" applyAlignment="1" applyBorder="1" applyFont="1" applyNumberFormat="1">
      <alignment horizontal="center" readingOrder="0" vertical="center"/>
    </xf>
    <xf borderId="0" fillId="0" fontId="1" numFmtId="0" xfId="0" applyAlignment="1" applyFont="1">
      <alignment vertical="center"/>
    </xf>
    <xf borderId="5" fillId="0" fontId="5" numFmtId="49" xfId="0" applyAlignment="1" applyBorder="1" applyFont="1" applyNumberFormat="1">
      <alignment horizontal="center" vertical="center"/>
    </xf>
    <xf borderId="4" fillId="0" fontId="5" numFmtId="168" xfId="0" applyAlignment="1" applyBorder="1" applyFont="1" applyNumberFormat="1">
      <alignment horizontal="center" vertical="center"/>
    </xf>
    <xf borderId="5" fillId="0" fontId="5" numFmtId="168" xfId="0" applyAlignment="1" applyBorder="1" applyFont="1" applyNumberFormat="1">
      <alignment horizontal="center" vertical="center"/>
    </xf>
    <xf borderId="6" fillId="0" fontId="5" numFmtId="168" xfId="0" applyAlignment="1" applyBorder="1" applyFont="1" applyNumberFormat="1">
      <alignment horizontal="center" vertical="center"/>
    </xf>
    <xf borderId="5" fillId="0" fontId="5" numFmtId="20" xfId="0" applyAlignment="1" applyBorder="1" applyFont="1" applyNumberFormat="1">
      <alignment horizontal="center" readingOrder="0" vertical="center"/>
    </xf>
    <xf borderId="5" fillId="0" fontId="1" numFmtId="0" xfId="0" applyAlignment="1" applyBorder="1" applyFont="1">
      <alignment horizontal="center" vertical="center"/>
    </xf>
    <xf borderId="0" fillId="0" fontId="5" numFmtId="0" xfId="0" applyAlignment="1" applyFont="1">
      <alignment horizontal="center" vertical="center"/>
    </xf>
    <xf borderId="10" fillId="0" fontId="5" numFmtId="0" xfId="0" applyAlignment="1" applyBorder="1" applyFont="1">
      <alignment horizontal="center" vertical="center"/>
    </xf>
    <xf borderId="0" fillId="0" fontId="5" numFmtId="20" xfId="0" applyAlignment="1" applyFont="1" applyNumberFormat="1">
      <alignment horizontal="center" readingOrder="0" vertical="center"/>
    </xf>
    <xf borderId="0" fillId="0" fontId="5" numFmtId="0" xfId="0" applyAlignment="1" applyFont="1">
      <alignment horizontal="center" vertical="center"/>
    </xf>
    <xf borderId="15" fillId="0" fontId="5" numFmtId="49" xfId="0" applyAlignment="1" applyBorder="1" applyFont="1" applyNumberFormat="1">
      <alignment horizontal="center" vertical="center"/>
    </xf>
    <xf borderId="15" fillId="0" fontId="5" numFmtId="20" xfId="0" applyAlignment="1" applyBorder="1" applyFont="1" applyNumberFormat="1">
      <alignment horizontal="center" readingOrder="0" vertical="center"/>
    </xf>
    <xf borderId="15" fillId="0" fontId="1" numFmtId="0" xfId="0" applyAlignment="1" applyBorder="1" applyFont="1">
      <alignment horizontal="center" vertical="center"/>
    </xf>
    <xf borderId="5" fillId="0" fontId="13" numFmtId="0" xfId="0" applyAlignment="1" applyBorder="1" applyFont="1">
      <alignment horizontal="center" readingOrder="0" vertical="center"/>
    </xf>
    <xf borderId="6" fillId="0" fontId="13" numFmtId="0" xfId="0" applyAlignment="1" applyBorder="1" applyFont="1">
      <alignment horizontal="center" readingOrder="0" vertical="center"/>
    </xf>
    <xf borderId="15" fillId="0" fontId="5" numFmtId="0" xfId="0" applyAlignment="1" applyBorder="1" applyFont="1">
      <alignment horizontal="center" vertical="center"/>
    </xf>
    <xf borderId="34" fillId="0" fontId="5" numFmtId="0" xfId="0" applyAlignment="1" applyBorder="1" applyFont="1">
      <alignment horizontal="center" vertical="center"/>
    </xf>
    <xf borderId="85" fillId="0" fontId="5" numFmtId="0" xfId="0" applyAlignment="1" applyBorder="1" applyFont="1">
      <alignment horizontal="center" readingOrder="0" vertical="center"/>
    </xf>
    <xf borderId="35" fillId="0" fontId="5" numFmtId="0" xfId="0" applyAlignment="1" applyBorder="1" applyFont="1">
      <alignment horizontal="center" vertical="center"/>
    </xf>
    <xf borderId="87" fillId="0" fontId="5" numFmtId="0" xfId="0" applyAlignment="1" applyBorder="1" applyFont="1">
      <alignment horizontal="center" vertical="center"/>
    </xf>
    <xf borderId="87" fillId="0" fontId="5" numFmtId="0" xfId="0" applyAlignment="1" applyBorder="1" applyFont="1">
      <alignment horizontal="center" vertical="center"/>
    </xf>
    <xf borderId="88" fillId="0" fontId="5" numFmtId="0" xfId="0" applyAlignment="1" applyBorder="1" applyFont="1">
      <alignment horizontal="center" readingOrder="0" vertical="center"/>
    </xf>
    <xf borderId="4" fillId="4" fontId="5" numFmtId="0" xfId="0" applyAlignment="1" applyBorder="1" applyFont="1">
      <alignment horizontal="center" vertical="center"/>
    </xf>
    <xf borderId="6" fillId="4" fontId="5" numFmtId="0" xfId="0" applyAlignment="1" applyBorder="1" applyFont="1">
      <alignment horizontal="center" vertical="center"/>
    </xf>
    <xf borderId="5" fillId="4" fontId="5" numFmtId="0" xfId="0" applyAlignment="1" applyBorder="1" applyFont="1">
      <alignment horizontal="center" vertical="center"/>
    </xf>
    <xf borderId="0" fillId="4" fontId="5" numFmtId="0" xfId="0" applyAlignment="1" applyFont="1">
      <alignment horizontal="center" vertical="center"/>
    </xf>
    <xf borderId="10" fillId="4" fontId="5" numFmtId="0" xfId="0" applyAlignment="1" applyBorder="1" applyFont="1">
      <alignment horizontal="center" vertical="center"/>
    </xf>
    <xf borderId="11" fillId="4" fontId="5" numFmtId="0" xfId="0" applyAlignment="1" applyBorder="1" applyFont="1">
      <alignment horizontal="center" vertical="center"/>
    </xf>
    <xf borderId="0" fillId="4" fontId="5" numFmtId="0" xfId="0" applyAlignment="1" applyFont="1">
      <alignment horizontal="center" vertical="center"/>
    </xf>
    <xf borderId="13" fillId="4" fontId="5" numFmtId="0" xfId="0" applyAlignment="1" applyBorder="1" applyFont="1">
      <alignment horizontal="center" vertical="center"/>
    </xf>
    <xf borderId="15" fillId="4" fontId="5" numFmtId="0" xfId="0" applyAlignment="1" applyBorder="1" applyFont="1">
      <alignment horizontal="center" vertical="center"/>
    </xf>
    <xf borderId="14" fillId="4" fontId="5" numFmtId="0" xfId="0" applyAlignment="1" applyBorder="1" applyFont="1">
      <alignment horizontal="center" vertical="center"/>
    </xf>
    <xf borderId="13" fillId="4" fontId="5" numFmtId="0" xfId="0" applyAlignment="1" applyBorder="1" applyFont="1">
      <alignment horizontal="center" vertical="center"/>
    </xf>
    <xf borderId="4" fillId="4" fontId="5" numFmtId="168" xfId="0" applyAlignment="1" applyBorder="1" applyFont="1" applyNumberFormat="1">
      <alignment horizontal="center" vertical="center"/>
    </xf>
    <xf borderId="5" fillId="4" fontId="5" numFmtId="168" xfId="0" applyAlignment="1" applyBorder="1" applyFont="1" applyNumberFormat="1">
      <alignment horizontal="center" vertical="center"/>
    </xf>
    <xf borderId="10" fillId="6" fontId="23" numFmtId="0" xfId="0" applyAlignment="1" applyBorder="1" applyFont="1">
      <alignment horizontal="center" readingOrder="0" shrinkToFit="0" vertical="center" wrapText="1"/>
    </xf>
    <xf borderId="0" fillId="6" fontId="23" numFmtId="0" xfId="0" applyAlignment="1" applyFont="1">
      <alignment horizontal="center" readingOrder="0" shrinkToFit="0" vertical="center" wrapText="1"/>
    </xf>
    <xf borderId="51" fillId="6" fontId="29" numFmtId="0" xfId="0" applyAlignment="1" applyBorder="1" applyFont="1">
      <alignment horizontal="center" readingOrder="0" shrinkToFit="0" vertical="center" wrapText="1"/>
    </xf>
    <xf borderId="0" fillId="6" fontId="5" numFmtId="0" xfId="0" applyAlignment="1" applyFont="1">
      <alignment horizontal="center" shrinkToFit="0" vertical="center" wrapText="1"/>
    </xf>
    <xf borderId="10" fillId="6" fontId="5" numFmtId="0" xfId="0" applyAlignment="1" applyBorder="1" applyFont="1">
      <alignment horizontal="center" shrinkToFit="0" vertical="center" wrapText="1"/>
    </xf>
    <xf borderId="0" fillId="6" fontId="5" numFmtId="0" xfId="0" applyAlignment="1" applyFont="1">
      <alignment horizontal="center" readingOrder="0" shrinkToFit="0" vertical="center" wrapText="1"/>
    </xf>
    <xf borderId="16" fillId="6" fontId="38" numFmtId="0" xfId="0" applyAlignment="1" applyBorder="1" applyFont="1">
      <alignment horizontal="center" vertical="center"/>
    </xf>
    <xf borderId="0" fillId="6" fontId="1" numFmtId="0" xfId="0" applyAlignment="1" applyFont="1">
      <alignment horizontal="center" readingOrder="0" vertical="center"/>
    </xf>
    <xf borderId="10" fillId="6" fontId="1" numFmtId="0" xfId="0" applyAlignment="1" applyBorder="1" applyFont="1">
      <alignment horizontal="center" readingOrder="0" vertical="center"/>
    </xf>
    <xf borderId="0" fillId="6" fontId="1" numFmtId="0" xfId="0" applyAlignment="1" applyFont="1">
      <alignment horizontal="center" vertical="center"/>
    </xf>
    <xf borderId="12" fillId="6" fontId="38" numFmtId="0" xfId="0" applyAlignment="1" applyBorder="1" applyFont="1">
      <alignment horizontal="center" vertical="center"/>
    </xf>
    <xf borderId="32" fillId="6" fontId="38" numFmtId="0" xfId="0" applyAlignment="1" applyBorder="1" applyFont="1">
      <alignment horizontal="center" vertical="center"/>
    </xf>
    <xf borderId="0" fillId="6" fontId="13" numFmtId="0" xfId="0" applyAlignment="1" applyFont="1">
      <alignment horizontal="center" vertical="center"/>
    </xf>
    <xf borderId="2" fillId="6" fontId="5" numFmtId="0" xfId="0" applyAlignment="1" applyBorder="1" applyFont="1">
      <alignment horizontal="center" shrinkToFit="0" vertical="center" wrapText="1"/>
    </xf>
    <xf borderId="2" fillId="6" fontId="5" numFmtId="0" xfId="0" applyAlignment="1" applyBorder="1" applyFont="1">
      <alignment horizontal="center" readingOrder="0" shrinkToFit="0" vertical="center" wrapText="1"/>
    </xf>
    <xf borderId="0" fillId="6" fontId="1" numFmtId="0" xfId="0" applyAlignment="1" applyFont="1">
      <alignment horizontal="center" vertical="center"/>
    </xf>
    <xf borderId="0" fillId="0" fontId="1" numFmtId="0" xfId="0" applyAlignment="1" applyFont="1">
      <alignment readingOrder="0"/>
    </xf>
    <xf borderId="16" fillId="0" fontId="37" numFmtId="0" xfId="0" applyAlignment="1" applyBorder="1" applyFont="1">
      <alignment horizontal="center" readingOrder="0" shrinkToFit="0" vertical="center" wrapText="1"/>
    </xf>
    <xf borderId="7" fillId="0" fontId="1" numFmtId="0" xfId="0" applyAlignment="1" applyBorder="1" applyFont="1">
      <alignment horizontal="center" readingOrder="0" shrinkToFit="0" vertical="center" wrapText="1"/>
    </xf>
    <xf borderId="60" fillId="0" fontId="1" numFmtId="0" xfId="0" applyAlignment="1" applyBorder="1" applyFont="1">
      <alignment horizontal="center" readingOrder="0" shrinkToFit="0" vertical="center" wrapText="1"/>
    </xf>
    <xf borderId="60" fillId="0" fontId="1" numFmtId="171" xfId="0" applyAlignment="1" applyBorder="1" applyFont="1" applyNumberFormat="1">
      <alignment horizontal="center" readingOrder="0" shrinkToFit="0" vertical="center" wrapText="1"/>
    </xf>
    <xf borderId="70" fillId="0" fontId="1" numFmtId="0" xfId="0" applyAlignment="1" applyBorder="1" applyFont="1">
      <alignment horizontal="center" readingOrder="0" shrinkToFit="0" vertical="center" wrapText="1"/>
    </xf>
    <xf borderId="70" fillId="0" fontId="1" numFmtId="171" xfId="0" applyAlignment="1" applyBorder="1" applyFont="1" applyNumberFormat="1">
      <alignment horizontal="center" readingOrder="0" shrinkToFit="0" vertical="center" wrapText="1"/>
    </xf>
    <xf borderId="82" fillId="0" fontId="1" numFmtId="0" xfId="0" applyAlignment="1" applyBorder="1" applyFont="1">
      <alignment horizontal="center" readingOrder="0" shrinkToFit="0" vertical="center" wrapText="1"/>
    </xf>
    <xf borderId="70" fillId="0" fontId="1" numFmtId="0" xfId="0" applyBorder="1" applyFont="1"/>
    <xf borderId="70" fillId="0" fontId="5" numFmtId="0" xfId="0" applyAlignment="1" applyBorder="1" applyFont="1">
      <alignment horizontal="center" readingOrder="0" vertical="center"/>
    </xf>
    <xf borderId="71" fillId="0" fontId="1" numFmtId="0" xfId="0" applyAlignment="1" applyBorder="1" applyFont="1">
      <alignment horizontal="center" readingOrder="0" shrinkToFit="0" vertical="center" wrapText="1"/>
    </xf>
    <xf borderId="71" fillId="0" fontId="5" numFmtId="0" xfId="0" applyAlignment="1" applyBorder="1" applyFont="1">
      <alignment horizontal="center" readingOrder="0" vertical="center"/>
    </xf>
    <xf borderId="71" fillId="0" fontId="1" numFmtId="171" xfId="0" applyAlignment="1" applyBorder="1" applyFont="1" applyNumberFormat="1">
      <alignment horizontal="center" readingOrder="0" shrinkToFit="0" vertical="center" wrapText="1"/>
    </xf>
  </cellXfs>
  <cellStyles count="1">
    <cellStyle xfId="0" name="Normal" builtinId="0"/>
  </cellStyles>
  <dxfs count="2">
    <dxf>
      <font/>
      <fill>
        <patternFill patternType="none"/>
      </fill>
      <border/>
    </dxf>
    <dxf>
      <font/>
      <fill>
        <patternFill patternType="solid">
          <fgColor rgb="FFFFFFFF"/>
          <bgColor rgb="FFFFFFFF"/>
        </patternFill>
      </fill>
      <border/>
    </dxf>
  </dxfs>
  <tableStyles count="1">
    <tableStyle count="2" pivot="0" name="Tournament format-style">
      <tableStyleElement dxfId="1" type="firstRowStripe"/>
      <tableStyleElement dxfId="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L2:P22" displayName="Table_1" name="Table_1" id="1">
  <tableColumns count="5">
    <tableColumn name="Column1" id="1"/>
    <tableColumn name="Column2" id="2"/>
    <tableColumn name="Column3" id="3"/>
    <tableColumn name="Column4" id="4"/>
    <tableColumn name="Column5" id="5"/>
  </tableColumns>
  <tableStyleInfo name="Tournament forma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z1hCUSt_Bm2amYdz8PKAfyhy95NhzZ6S/view" TargetMode="External"/><Relationship Id="rId2" Type="http://schemas.openxmlformats.org/officeDocument/2006/relationships/hyperlink" Target="https://drive.google.com/file/d/1QHS0MfbCim8NrSSmCY6DJGoSHZuDkSws/view?usp=sharing" TargetMode="External"/><Relationship Id="rId3" Type="http://schemas.openxmlformats.org/officeDocument/2006/relationships/hyperlink" Target="https://drive.google.com/file/d/1dyFSrY4L4LQzoQ_3U8nUySgHA_qOefWN/view" TargetMode="External"/><Relationship Id="rId4" Type="http://schemas.openxmlformats.org/officeDocument/2006/relationships/hyperlink" Target="https://resf.ru/about/documentation/102/" TargetMode="External"/><Relationship Id="rId5" Type="http://schemas.openxmlformats.org/officeDocument/2006/relationships/hyperlink" Target="https://resf.ru/about/documentation/80/" TargetMode="External"/><Relationship Id="rId6" Type="http://schemas.openxmlformats.org/officeDocument/2006/relationships/hyperlink" Target="https://www.minsport.gov.ru/activity/government-regulation/vidy-sporta-razvivaemye-na-obshherossijskom-urovne/neolimpijskie-vidy-sporta-1/kompyuternyj-sport-1/"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3.33"/>
    <col customWidth="1" min="2" max="2" width="10.0"/>
    <col customWidth="1" min="3" max="3" width="37.78"/>
    <col customWidth="1" min="5" max="5" width="3.33"/>
    <col customWidth="1" min="6" max="6" width="10.22"/>
    <col customWidth="1" min="7" max="7" width="26.22"/>
    <col customWidth="1" min="9" max="9" width="3.33"/>
    <col customWidth="1" min="10" max="10" width="22.33"/>
    <col customWidth="1" min="11" max="11" width="3.33"/>
    <col customWidth="1" min="12" max="13" width="20.22"/>
  </cols>
  <sheetData>
    <row r="1" ht="30.0" customHeight="1">
      <c r="A1" s="1"/>
      <c r="B1" s="2"/>
      <c r="C1" s="2"/>
      <c r="D1" s="2"/>
      <c r="E1" s="3"/>
      <c r="F1" s="2"/>
      <c r="G1" s="2"/>
      <c r="H1" s="2"/>
      <c r="I1" s="3"/>
      <c r="J1" s="3"/>
      <c r="K1" s="3"/>
      <c r="L1" s="3"/>
      <c r="M1" s="3"/>
    </row>
    <row r="2" ht="30.75" customHeight="1">
      <c r="A2" s="1"/>
      <c r="B2" s="4" t="s">
        <v>0</v>
      </c>
      <c r="C2" s="5" t="s">
        <v>1</v>
      </c>
      <c r="D2" s="6" t="s">
        <v>2</v>
      </c>
      <c r="E2" s="3"/>
      <c r="F2" s="7" t="s">
        <v>3</v>
      </c>
      <c r="G2" s="8"/>
      <c r="H2" s="9" t="s">
        <v>4</v>
      </c>
      <c r="I2" s="3"/>
      <c r="J2" s="10" t="s">
        <v>5</v>
      </c>
      <c r="K2" s="3"/>
      <c r="L2" s="11" t="s">
        <v>6</v>
      </c>
      <c r="M2" s="12"/>
    </row>
    <row r="3" ht="30.75" customHeight="1">
      <c r="A3" s="1"/>
      <c r="B3" s="13">
        <v>1.0</v>
      </c>
      <c r="C3" s="14" t="s">
        <v>7</v>
      </c>
      <c r="D3" s="15" t="s">
        <v>4</v>
      </c>
      <c r="E3" s="3"/>
      <c r="F3" s="16" t="s">
        <v>8</v>
      </c>
      <c r="H3" s="17" t="s">
        <v>4</v>
      </c>
      <c r="I3" s="3"/>
      <c r="J3" s="18" t="s">
        <v>9</v>
      </c>
      <c r="K3" s="3"/>
      <c r="L3" s="19" t="s">
        <v>10</v>
      </c>
      <c r="M3" s="20" t="s">
        <v>11</v>
      </c>
    </row>
    <row r="4" ht="30.75" customHeight="1">
      <c r="A4" s="1"/>
      <c r="B4" s="13">
        <v>2.0</v>
      </c>
      <c r="C4" s="14" t="s">
        <v>12</v>
      </c>
      <c r="D4" s="15" t="s">
        <v>4</v>
      </c>
      <c r="E4" s="3"/>
      <c r="F4" s="21" t="s">
        <v>13</v>
      </c>
      <c r="G4" s="22"/>
      <c r="H4" s="23" t="s">
        <v>4</v>
      </c>
      <c r="I4" s="3"/>
      <c r="J4" s="18" t="s">
        <v>14</v>
      </c>
      <c r="K4" s="3"/>
      <c r="L4" s="24" t="s">
        <v>15</v>
      </c>
      <c r="M4" s="25" t="s">
        <v>16</v>
      </c>
    </row>
    <row r="5" ht="30.75" customHeight="1">
      <c r="A5" s="1"/>
      <c r="B5" s="26">
        <v>3.0</v>
      </c>
      <c r="C5" s="27" t="s">
        <v>17</v>
      </c>
      <c r="D5" s="17" t="s">
        <v>4</v>
      </c>
      <c r="E5" s="3"/>
      <c r="F5" s="1"/>
      <c r="H5" s="28"/>
      <c r="I5" s="3"/>
      <c r="J5" s="18" t="s">
        <v>18</v>
      </c>
      <c r="K5" s="3"/>
      <c r="L5" s="24" t="s">
        <v>19</v>
      </c>
      <c r="M5" s="25" t="s">
        <v>20</v>
      </c>
    </row>
    <row r="6" ht="30.75" customHeight="1">
      <c r="A6" s="1"/>
      <c r="B6" s="29">
        <v>4.0</v>
      </c>
      <c r="C6" s="30" t="s">
        <v>21</v>
      </c>
      <c r="D6" s="31" t="s">
        <v>4</v>
      </c>
      <c r="E6" s="3"/>
      <c r="F6" s="32" t="s">
        <v>22</v>
      </c>
      <c r="G6" s="8"/>
      <c r="H6" s="9" t="s">
        <v>4</v>
      </c>
      <c r="I6" s="3"/>
      <c r="J6" s="18" t="s">
        <v>23</v>
      </c>
      <c r="K6" s="3"/>
      <c r="L6" s="24" t="s">
        <v>24</v>
      </c>
      <c r="M6" s="25" t="s">
        <v>25</v>
      </c>
    </row>
    <row r="7" ht="30.75" customHeight="1">
      <c r="A7" s="1"/>
      <c r="B7" s="33">
        <v>5.0</v>
      </c>
      <c r="C7" s="30" t="s">
        <v>26</v>
      </c>
      <c r="D7" s="34" t="s">
        <v>4</v>
      </c>
      <c r="E7" s="3"/>
      <c r="F7" s="35" t="s">
        <v>27</v>
      </c>
      <c r="H7" s="17" t="s">
        <v>4</v>
      </c>
      <c r="I7" s="3"/>
      <c r="J7" s="36"/>
      <c r="K7" s="3"/>
      <c r="L7" s="24"/>
      <c r="M7" s="37"/>
    </row>
    <row r="8" ht="30.75" customHeight="1">
      <c r="A8" s="2"/>
      <c r="B8" s="33">
        <v>6.0</v>
      </c>
      <c r="C8" s="30" t="s">
        <v>28</v>
      </c>
      <c r="D8" s="34" t="s">
        <v>4</v>
      </c>
      <c r="E8" s="2"/>
      <c r="F8" s="38" t="s">
        <v>29</v>
      </c>
      <c r="G8" s="22"/>
      <c r="H8" s="23" t="s">
        <v>4</v>
      </c>
      <c r="I8" s="3"/>
      <c r="J8" s="3"/>
      <c r="K8" s="3"/>
      <c r="L8" s="39"/>
      <c r="M8" s="37"/>
    </row>
    <row r="9" ht="30.75" customHeight="1">
      <c r="A9" s="2"/>
      <c r="B9" s="40">
        <v>7.0</v>
      </c>
      <c r="C9" s="41" t="s">
        <v>30</v>
      </c>
      <c r="D9" s="42" t="s">
        <v>4</v>
      </c>
      <c r="E9" s="2"/>
      <c r="F9" s="1"/>
      <c r="H9" s="28"/>
      <c r="I9" s="3"/>
      <c r="J9" s="3"/>
      <c r="K9" s="3"/>
      <c r="L9" s="39"/>
      <c r="M9" s="37"/>
    </row>
    <row r="10" ht="30.75" customHeight="1">
      <c r="A10" s="2"/>
      <c r="B10" s="43"/>
      <c r="C10" s="44"/>
      <c r="D10" s="45"/>
      <c r="E10" s="2"/>
      <c r="F10" s="46" t="s">
        <v>31</v>
      </c>
      <c r="G10" s="8"/>
      <c r="H10" s="9" t="s">
        <v>4</v>
      </c>
      <c r="I10" s="3"/>
      <c r="J10" s="3"/>
      <c r="K10" s="3"/>
      <c r="L10" s="39"/>
      <c r="M10" s="37"/>
    </row>
    <row r="11" ht="30.75" customHeight="1">
      <c r="A11" s="2"/>
      <c r="B11" s="43"/>
      <c r="C11" s="44"/>
      <c r="D11" s="45"/>
      <c r="E11" s="2"/>
      <c r="F11" s="47" t="s">
        <v>32</v>
      </c>
      <c r="G11" s="22"/>
      <c r="H11" s="23" t="s">
        <v>4</v>
      </c>
      <c r="I11" s="3"/>
      <c r="J11" s="3"/>
      <c r="K11" s="3"/>
      <c r="L11" s="48"/>
      <c r="M11" s="49"/>
    </row>
    <row r="12" ht="30.75" customHeight="1">
      <c r="A12" s="2"/>
      <c r="B12" s="2"/>
      <c r="C12" s="2"/>
      <c r="D12" s="2"/>
      <c r="E12" s="2"/>
      <c r="F12" s="1"/>
      <c r="H12" s="28"/>
      <c r="I12" s="3"/>
      <c r="J12" s="3"/>
      <c r="K12" s="3"/>
      <c r="L12" s="3"/>
      <c r="M12" s="3"/>
    </row>
    <row r="13" ht="30.75" customHeight="1">
      <c r="A13" s="2"/>
      <c r="B13" s="2"/>
      <c r="C13" s="2"/>
      <c r="D13" s="2"/>
      <c r="E13" s="2"/>
      <c r="F13" s="2"/>
      <c r="G13" s="2"/>
      <c r="H13" s="2"/>
      <c r="I13" s="3"/>
      <c r="J13" s="3"/>
      <c r="K13" s="3"/>
      <c r="L13" s="3"/>
      <c r="M13" s="3"/>
    </row>
  </sheetData>
  <mergeCells count="12">
    <mergeCell ref="F8:G8"/>
    <mergeCell ref="F9:G9"/>
    <mergeCell ref="F10:G10"/>
    <mergeCell ref="F11:G11"/>
    <mergeCell ref="F12:G12"/>
    <mergeCell ref="F2:G2"/>
    <mergeCell ref="L2:M2"/>
    <mergeCell ref="F3:G3"/>
    <mergeCell ref="F4:G4"/>
    <mergeCell ref="F5:G5"/>
    <mergeCell ref="F6:G6"/>
    <mergeCell ref="F7:G7"/>
  </mergeCells>
  <hyperlinks>
    <hyperlink display="ссылка" location="'Schedule | 1 Division'!A1" ref="H2"/>
    <hyperlink display="ссылка" location="'Tournament format'!A1" ref="D3"/>
    <hyperlink display="ссылка" location="'Matches | 1 Division'!A1" ref="H3"/>
    <hyperlink r:id="rId1" ref="D4"/>
    <hyperlink display="ссылка" location="'Teams | 1 Division'!A1" ref="H4"/>
    <hyperlink r:id="rId2" ref="D5"/>
    <hyperlink r:id="rId3" ref="D6"/>
    <hyperlink display="ссылка" location="'Schedule | 2 Division'!A1" ref="H6"/>
    <hyperlink r:id="rId4" ref="D7"/>
    <hyperlink display="ссылка" location="'Matches | 2 Division'!A1" ref="H7"/>
    <hyperlink r:id="rId5" ref="D8"/>
    <hyperlink display="ссылка" location="'Teams | 2 Division'!A1" ref="H8"/>
    <hyperlink r:id="rId6" ref="D9"/>
    <hyperlink display="ссылка" location="'Schedule | CQ + Playoffs'!A1" ref="H10"/>
    <hyperlink display="ссылка" location="'Matches | CQ + Playoffs'!A1" ref="H11"/>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21.22"/>
    <col customWidth="1" min="3" max="4" width="17.89"/>
    <col customWidth="1" min="5" max="5" width="18.22"/>
    <col customWidth="1" min="6" max="7" width="17.89"/>
    <col customWidth="1" min="8" max="15" width="16.22"/>
  </cols>
  <sheetData>
    <row r="1" ht="14.25" customHeight="1">
      <c r="A1" s="50"/>
      <c r="B1" s="50"/>
      <c r="C1" s="50"/>
      <c r="D1" s="50"/>
      <c r="E1" s="50"/>
      <c r="F1" s="50"/>
      <c r="G1" s="50"/>
      <c r="H1" s="50"/>
      <c r="I1" s="50"/>
      <c r="J1" s="50"/>
      <c r="K1" s="50"/>
      <c r="L1" s="50"/>
      <c r="M1" s="50"/>
      <c r="N1" s="50"/>
      <c r="O1" s="50"/>
      <c r="P1" s="50"/>
    </row>
    <row r="2" ht="14.25" customHeight="1">
      <c r="A2" s="51" t="s">
        <v>33</v>
      </c>
      <c r="B2" s="51"/>
      <c r="C2" s="52"/>
      <c r="D2" s="52"/>
      <c r="E2" s="52"/>
      <c r="F2" s="52"/>
      <c r="G2" s="53"/>
      <c r="H2" s="50"/>
      <c r="I2" s="50"/>
      <c r="J2" s="50"/>
      <c r="K2" s="50"/>
      <c r="L2" s="50"/>
      <c r="M2" s="50"/>
      <c r="N2" s="50"/>
      <c r="O2" s="54"/>
      <c r="P2" s="50"/>
    </row>
    <row r="3" ht="14.25" customHeight="1">
      <c r="A3" s="55"/>
      <c r="B3" s="56"/>
      <c r="C3" s="57" t="s">
        <v>34</v>
      </c>
      <c r="D3" s="56"/>
      <c r="E3" s="58" t="s">
        <v>35</v>
      </c>
      <c r="F3" s="56"/>
      <c r="G3" s="53"/>
      <c r="H3" s="50"/>
      <c r="I3" s="50"/>
      <c r="J3" s="50"/>
      <c r="K3" s="50"/>
      <c r="L3" s="50"/>
      <c r="M3" s="50"/>
      <c r="N3" s="50"/>
      <c r="O3" s="59"/>
      <c r="P3" s="50"/>
    </row>
    <row r="4" ht="14.25" customHeight="1">
      <c r="A4" s="55"/>
      <c r="B4" s="56"/>
      <c r="C4" s="60"/>
      <c r="D4" s="60"/>
      <c r="E4" s="60"/>
      <c r="F4" s="60"/>
      <c r="G4" s="53"/>
      <c r="H4" s="50"/>
      <c r="I4" s="50"/>
      <c r="J4" s="50"/>
      <c r="K4" s="50"/>
      <c r="L4" s="50"/>
      <c r="M4" s="50"/>
      <c r="N4" s="50"/>
      <c r="O4" s="50"/>
      <c r="P4" s="50"/>
    </row>
    <row r="5" ht="14.25" customHeight="1">
      <c r="A5" s="55"/>
      <c r="B5" s="56"/>
      <c r="C5" s="57" t="s">
        <v>36</v>
      </c>
      <c r="D5" s="56"/>
      <c r="E5" s="58" t="s">
        <v>37</v>
      </c>
      <c r="F5" s="56"/>
      <c r="G5" s="53"/>
      <c r="H5" s="50"/>
      <c r="I5" s="50"/>
      <c r="J5" s="50"/>
      <c r="K5" s="50"/>
      <c r="L5" s="50"/>
      <c r="M5" s="50"/>
      <c r="N5" s="50"/>
      <c r="O5" s="50"/>
      <c r="P5" s="50"/>
    </row>
    <row r="6" ht="14.25" customHeight="1">
      <c r="A6" s="61"/>
      <c r="B6" s="62"/>
      <c r="C6" s="63"/>
      <c r="D6" s="63"/>
      <c r="E6" s="63"/>
      <c r="F6" s="63"/>
      <c r="G6" s="53"/>
      <c r="H6" s="50"/>
      <c r="I6" s="50"/>
      <c r="J6" s="50"/>
      <c r="K6" s="50"/>
      <c r="L6" s="50"/>
      <c r="M6" s="50"/>
      <c r="N6" s="50"/>
      <c r="O6" s="54"/>
      <c r="P6" s="50"/>
    </row>
    <row r="7" ht="14.25" customHeight="1">
      <c r="A7" s="50"/>
      <c r="B7" s="50"/>
      <c r="C7" s="50"/>
      <c r="D7" s="50"/>
      <c r="E7" s="50"/>
      <c r="F7" s="50"/>
      <c r="G7" s="50"/>
      <c r="H7" s="50"/>
      <c r="I7" s="50"/>
      <c r="J7" s="50"/>
      <c r="K7" s="50"/>
      <c r="L7" s="50"/>
      <c r="M7" s="50"/>
      <c r="N7" s="50"/>
      <c r="O7" s="59"/>
      <c r="P7" s="50"/>
    </row>
    <row r="8" ht="14.25" customHeight="1">
      <c r="A8" s="50"/>
      <c r="B8" s="50"/>
      <c r="C8" s="50"/>
      <c r="D8" s="50"/>
      <c r="E8" s="50"/>
      <c r="F8" s="50"/>
      <c r="G8" s="50"/>
      <c r="H8" s="50"/>
      <c r="I8" s="50"/>
      <c r="J8" s="50"/>
      <c r="K8" s="50"/>
      <c r="L8" s="50"/>
      <c r="M8" s="50"/>
      <c r="N8" s="50"/>
      <c r="O8" s="50"/>
      <c r="P8" s="50"/>
    </row>
    <row r="9" ht="14.25" customHeight="1">
      <c r="A9" s="64" t="s">
        <v>38</v>
      </c>
      <c r="B9" s="52"/>
      <c r="C9" s="52"/>
      <c r="D9" s="52"/>
      <c r="E9" s="52"/>
      <c r="F9" s="52"/>
      <c r="G9" s="52"/>
      <c r="H9" s="52"/>
      <c r="I9" s="52"/>
      <c r="J9" s="65"/>
      <c r="K9" s="50"/>
      <c r="L9" s="50"/>
      <c r="M9" s="50"/>
      <c r="N9" s="50"/>
      <c r="O9" s="50"/>
      <c r="P9" s="50"/>
    </row>
    <row r="10" ht="14.25" customHeight="1">
      <c r="A10" s="66"/>
      <c r="B10" s="60"/>
      <c r="C10" s="67" t="s">
        <v>39</v>
      </c>
      <c r="D10" s="8"/>
      <c r="E10" s="68"/>
      <c r="F10" s="60"/>
      <c r="G10" s="67" t="s">
        <v>40</v>
      </c>
      <c r="H10" s="8"/>
      <c r="I10" s="68"/>
      <c r="J10" s="69"/>
      <c r="K10" s="50"/>
      <c r="L10" s="50"/>
      <c r="M10" s="50"/>
      <c r="N10" s="50"/>
      <c r="O10" s="54"/>
      <c r="P10" s="50"/>
    </row>
    <row r="11" ht="14.25" customHeight="1">
      <c r="A11" s="66"/>
      <c r="B11" s="60"/>
      <c r="C11" s="70" t="s">
        <v>41</v>
      </c>
      <c r="D11" s="71" t="s">
        <v>42</v>
      </c>
      <c r="E11" s="72" t="s">
        <v>43</v>
      </c>
      <c r="F11" s="60"/>
      <c r="G11" s="73" t="s">
        <v>41</v>
      </c>
      <c r="H11" s="71" t="s">
        <v>42</v>
      </c>
      <c r="I11" s="72" t="s">
        <v>43</v>
      </c>
      <c r="J11" s="69"/>
      <c r="K11" s="50"/>
      <c r="L11" s="50"/>
      <c r="M11" s="50"/>
      <c r="N11" s="50"/>
      <c r="O11" s="59"/>
      <c r="P11" s="50"/>
    </row>
    <row r="12" ht="14.25" customHeight="1">
      <c r="A12" s="66"/>
      <c r="B12" s="60"/>
      <c r="C12" s="74"/>
      <c r="D12" s="75">
        <v>980000.0</v>
      </c>
      <c r="E12" s="76" t="s">
        <v>44</v>
      </c>
      <c r="F12" s="60"/>
      <c r="G12" s="77"/>
      <c r="H12" s="78">
        <v>210000.0</v>
      </c>
      <c r="I12" s="79"/>
      <c r="J12" s="69"/>
      <c r="K12" s="50"/>
      <c r="L12" s="50"/>
      <c r="M12" s="50"/>
      <c r="N12" s="50"/>
      <c r="O12" s="50"/>
      <c r="P12" s="50"/>
    </row>
    <row r="13" ht="14.25" customHeight="1">
      <c r="A13" s="66"/>
      <c r="B13" s="60"/>
      <c r="C13" s="80"/>
      <c r="D13" s="81">
        <v>720000.0</v>
      </c>
      <c r="E13" s="82" t="s">
        <v>44</v>
      </c>
      <c r="F13" s="60"/>
      <c r="G13" s="83"/>
      <c r="H13" s="84">
        <v>160000.0</v>
      </c>
      <c r="I13" s="85"/>
      <c r="J13" s="69"/>
      <c r="K13" s="50"/>
      <c r="L13" s="50"/>
      <c r="M13" s="50"/>
      <c r="N13" s="50"/>
      <c r="O13" s="50"/>
      <c r="P13" s="50"/>
    </row>
    <row r="14" ht="14.25" customHeight="1">
      <c r="A14" s="66"/>
      <c r="B14" s="60"/>
      <c r="C14" s="83"/>
      <c r="D14" s="86">
        <v>560000.0</v>
      </c>
      <c r="E14" s="85"/>
      <c r="F14" s="60"/>
      <c r="G14" s="83"/>
      <c r="H14" s="84">
        <v>140000.0</v>
      </c>
      <c r="I14" s="85"/>
      <c r="J14" s="69"/>
      <c r="K14" s="50"/>
      <c r="L14" s="50"/>
      <c r="M14" s="50"/>
      <c r="N14" s="50"/>
      <c r="O14" s="50"/>
      <c r="P14" s="50"/>
    </row>
    <row r="15" ht="14.25" customHeight="1">
      <c r="A15" s="66"/>
      <c r="B15" s="60"/>
      <c r="C15" s="83"/>
      <c r="D15" s="86">
        <v>460000.0</v>
      </c>
      <c r="E15" s="85"/>
      <c r="F15" s="60"/>
      <c r="G15" s="83"/>
      <c r="H15" s="84">
        <v>130000.0</v>
      </c>
      <c r="I15" s="85"/>
      <c r="J15" s="69"/>
      <c r="K15" s="50"/>
      <c r="L15" s="50"/>
      <c r="M15" s="50"/>
      <c r="N15" s="50"/>
      <c r="O15" s="50"/>
      <c r="P15" s="50"/>
    </row>
    <row r="16" ht="14.25" customHeight="1">
      <c r="A16" s="66"/>
      <c r="B16" s="60"/>
      <c r="C16" s="83"/>
      <c r="D16" s="86">
        <v>360000.0</v>
      </c>
      <c r="E16" s="85"/>
      <c r="F16" s="60"/>
      <c r="G16" s="83"/>
      <c r="H16" s="84">
        <v>110000.0</v>
      </c>
      <c r="I16" s="85"/>
      <c r="J16" s="69"/>
      <c r="K16" s="50"/>
      <c r="L16" s="50"/>
      <c r="M16" s="50"/>
      <c r="N16" s="50"/>
      <c r="O16" s="50"/>
      <c r="P16" s="50"/>
    </row>
    <row r="17" ht="14.25" customHeight="1">
      <c r="A17" s="66"/>
      <c r="B17" s="60"/>
      <c r="C17" s="83"/>
      <c r="D17" s="86">
        <v>350000.0</v>
      </c>
      <c r="E17" s="85"/>
      <c r="F17" s="60"/>
      <c r="G17" s="83"/>
      <c r="H17" s="84">
        <v>100000.0</v>
      </c>
      <c r="I17" s="85"/>
      <c r="J17" s="69"/>
      <c r="K17" s="50"/>
      <c r="L17" s="50"/>
      <c r="M17" s="50"/>
      <c r="N17" s="50"/>
      <c r="O17" s="50"/>
      <c r="P17" s="50"/>
    </row>
    <row r="18" ht="14.25" customHeight="1">
      <c r="A18" s="66"/>
      <c r="B18" s="60"/>
      <c r="C18" s="83"/>
      <c r="D18" s="86">
        <v>290000.0</v>
      </c>
      <c r="E18" s="85"/>
      <c r="F18" s="60"/>
      <c r="G18" s="83"/>
      <c r="H18" s="84">
        <v>80000.0</v>
      </c>
      <c r="I18" s="85"/>
      <c r="J18" s="69"/>
      <c r="K18" s="50"/>
      <c r="L18" s="50"/>
      <c r="M18" s="50"/>
      <c r="N18" s="50"/>
      <c r="O18" s="50"/>
      <c r="P18" s="50"/>
    </row>
    <row r="19" ht="14.25" customHeight="1">
      <c r="A19" s="66"/>
      <c r="B19" s="60"/>
      <c r="C19" s="87"/>
      <c r="D19" s="88">
        <v>280000.0</v>
      </c>
      <c r="E19" s="89"/>
      <c r="F19" s="60"/>
      <c r="G19" s="87"/>
      <c r="H19" s="90">
        <v>70000.0</v>
      </c>
      <c r="I19" s="89"/>
      <c r="J19" s="69"/>
      <c r="K19" s="50"/>
      <c r="L19" s="50"/>
      <c r="M19" s="50"/>
      <c r="N19" s="50"/>
      <c r="O19" s="50"/>
      <c r="P19" s="50"/>
    </row>
    <row r="20" ht="14.25" customHeight="1">
      <c r="A20" s="66"/>
      <c r="B20" s="60"/>
      <c r="C20" s="91" t="s">
        <v>45</v>
      </c>
      <c r="E20" s="92"/>
      <c r="F20" s="60"/>
      <c r="G20" s="91" t="s">
        <v>45</v>
      </c>
      <c r="I20" s="92"/>
      <c r="J20" s="69"/>
      <c r="K20" s="50"/>
      <c r="L20" s="50"/>
      <c r="M20" s="50"/>
      <c r="N20" s="50"/>
      <c r="O20" s="50"/>
      <c r="P20" s="50"/>
    </row>
    <row r="21" ht="14.25" customHeight="1">
      <c r="A21" s="66"/>
      <c r="B21" s="60"/>
      <c r="C21" s="55"/>
      <c r="E21" s="92"/>
      <c r="F21" s="60"/>
      <c r="G21" s="55"/>
      <c r="I21" s="92"/>
      <c r="J21" s="69"/>
      <c r="K21" s="50"/>
      <c r="L21" s="50"/>
      <c r="M21" s="50"/>
      <c r="N21" s="50"/>
      <c r="O21" s="50"/>
      <c r="P21" s="50"/>
    </row>
    <row r="22" ht="14.25" customHeight="1">
      <c r="A22" s="66"/>
      <c r="B22" s="60"/>
      <c r="C22" s="61"/>
      <c r="D22" s="22"/>
      <c r="E22" s="93"/>
      <c r="F22" s="60"/>
      <c r="G22" s="61"/>
      <c r="H22" s="22"/>
      <c r="I22" s="93"/>
      <c r="J22" s="69"/>
      <c r="K22" s="50"/>
      <c r="L22" s="50"/>
      <c r="M22" s="50"/>
      <c r="N22" s="50"/>
      <c r="O22" s="50"/>
      <c r="P22" s="50"/>
    </row>
    <row r="23" ht="14.25" customHeight="1">
      <c r="A23" s="94"/>
      <c r="B23" s="63"/>
      <c r="C23" s="63"/>
      <c r="D23" s="63"/>
      <c r="E23" s="63"/>
      <c r="F23" s="63"/>
      <c r="G23" s="63"/>
      <c r="H23" s="63"/>
      <c r="I23" s="63"/>
      <c r="J23" s="95"/>
      <c r="K23" s="50"/>
      <c r="L23" s="50"/>
      <c r="M23" s="50"/>
      <c r="N23" s="50"/>
      <c r="O23" s="50"/>
      <c r="P23" s="50"/>
    </row>
    <row r="24" ht="14.25" customHeight="1">
      <c r="A24" s="50"/>
      <c r="B24" s="50"/>
      <c r="C24" s="50"/>
      <c r="D24" s="50"/>
      <c r="E24" s="50"/>
      <c r="F24" s="50"/>
      <c r="G24" s="50"/>
      <c r="H24" s="50"/>
      <c r="I24" s="50"/>
      <c r="J24" s="50"/>
      <c r="K24" s="50"/>
      <c r="L24" s="50"/>
      <c r="M24" s="50"/>
      <c r="N24" s="50"/>
      <c r="O24" s="50"/>
      <c r="P24" s="50"/>
    </row>
    <row r="25" ht="14.25" customHeight="1">
      <c r="A25" s="50"/>
      <c r="B25" s="50"/>
      <c r="C25" s="50"/>
      <c r="D25" s="50"/>
      <c r="E25" s="50"/>
      <c r="F25" s="50"/>
      <c r="G25" s="50"/>
      <c r="H25" s="50"/>
      <c r="I25" s="50"/>
      <c r="J25" s="50"/>
      <c r="K25" s="50"/>
      <c r="L25" s="50"/>
      <c r="M25" s="50"/>
      <c r="N25" s="50"/>
      <c r="O25" s="50"/>
      <c r="P25" s="50"/>
    </row>
    <row r="26" ht="14.25" customHeight="1">
      <c r="A26" s="64" t="s">
        <v>46</v>
      </c>
      <c r="B26" s="52"/>
      <c r="C26" s="96"/>
      <c r="D26" s="97"/>
      <c r="E26" s="97"/>
      <c r="F26" s="97"/>
      <c r="G26" s="97"/>
      <c r="H26" s="97"/>
      <c r="I26" s="97"/>
      <c r="J26" s="97"/>
      <c r="K26" s="97"/>
      <c r="L26" s="97"/>
      <c r="M26" s="97"/>
      <c r="N26" s="97"/>
      <c r="O26" s="52"/>
      <c r="P26" s="68"/>
    </row>
    <row r="27" ht="14.25" customHeight="1">
      <c r="A27" s="66"/>
      <c r="C27" s="98" t="s">
        <v>47</v>
      </c>
      <c r="D27" s="99" t="s">
        <v>48</v>
      </c>
      <c r="E27" s="97"/>
      <c r="F27" s="100"/>
      <c r="G27" s="91" t="s">
        <v>49</v>
      </c>
      <c r="H27" s="101" t="s">
        <v>50</v>
      </c>
      <c r="I27" s="102" t="s">
        <v>50</v>
      </c>
      <c r="J27" s="102" t="s">
        <v>50</v>
      </c>
      <c r="K27" s="102" t="s">
        <v>50</v>
      </c>
      <c r="L27" s="102" t="s">
        <v>50</v>
      </c>
      <c r="M27" s="102" t="s">
        <v>50</v>
      </c>
      <c r="N27" s="103" t="s">
        <v>50</v>
      </c>
      <c r="P27" s="92"/>
    </row>
    <row r="28">
      <c r="A28" s="66"/>
      <c r="C28" s="66"/>
      <c r="D28" s="58" t="s">
        <v>51</v>
      </c>
      <c r="E28" s="104" t="s">
        <v>52</v>
      </c>
      <c r="F28" s="104" t="s">
        <v>53</v>
      </c>
      <c r="G28" s="55"/>
      <c r="H28" s="105" t="s">
        <v>54</v>
      </c>
      <c r="I28" s="106" t="s">
        <v>55</v>
      </c>
      <c r="J28" s="106" t="s">
        <v>56</v>
      </c>
      <c r="K28" s="106" t="s">
        <v>56</v>
      </c>
      <c r="L28" s="106" t="s">
        <v>57</v>
      </c>
      <c r="M28" s="106" t="s">
        <v>57</v>
      </c>
      <c r="N28" s="107" t="s">
        <v>58</v>
      </c>
      <c r="P28" s="92"/>
    </row>
    <row r="29">
      <c r="A29" s="66"/>
      <c r="C29" s="66"/>
      <c r="D29" s="108" t="str">
        <f>'Schedule | 1 Division'!B17</f>
        <v>Virtus.pro</v>
      </c>
      <c r="E29" s="109" t="s">
        <v>59</v>
      </c>
      <c r="F29" s="60" t="s">
        <v>60</v>
      </c>
      <c r="G29" s="61"/>
      <c r="H29" s="110" t="s">
        <v>61</v>
      </c>
      <c r="I29" s="111" t="s">
        <v>62</v>
      </c>
      <c r="J29" s="112" t="s">
        <v>63</v>
      </c>
      <c r="K29" s="112" t="s">
        <v>63</v>
      </c>
      <c r="L29" s="113" t="s">
        <v>64</v>
      </c>
      <c r="M29" s="111" t="s">
        <v>65</v>
      </c>
      <c r="N29" s="114" t="s">
        <v>66</v>
      </c>
      <c r="P29" s="92"/>
    </row>
    <row r="30" ht="14.25" customHeight="1">
      <c r="A30" s="66"/>
      <c r="C30" s="66"/>
      <c r="D30" s="56" t="str">
        <f>'Schedule | 1 Division'!B18</f>
        <v>Team Yandex</v>
      </c>
      <c r="E30" s="109" t="s">
        <v>67</v>
      </c>
      <c r="F30" s="60" t="s">
        <v>60</v>
      </c>
      <c r="G30" s="98" t="s">
        <v>68</v>
      </c>
      <c r="H30" s="52"/>
      <c r="I30" s="52"/>
      <c r="J30" s="52"/>
      <c r="K30" s="52"/>
      <c r="L30" s="52"/>
      <c r="M30" s="52"/>
      <c r="N30" s="65"/>
      <c r="P30" s="92"/>
    </row>
    <row r="31" ht="14.25" customHeight="1">
      <c r="A31" s="66"/>
      <c r="C31" s="66"/>
      <c r="D31" s="115" t="str">
        <f>'Schedule | 1 Division'!B19</f>
        <v>FORZE</v>
      </c>
      <c r="E31" s="116" t="s">
        <v>69</v>
      </c>
      <c r="F31" s="117" t="s">
        <v>70</v>
      </c>
      <c r="G31" s="66"/>
      <c r="H31" s="77" t="str">
        <f>D35</f>
        <v>The Soulless Team</v>
      </c>
      <c r="I31" s="79" t="str">
        <f>D31</f>
        <v>FORZE</v>
      </c>
      <c r="J31" s="60"/>
      <c r="K31" s="60"/>
      <c r="L31" s="60"/>
      <c r="M31" s="60"/>
      <c r="N31" s="69"/>
      <c r="P31" s="92"/>
    </row>
    <row r="32" ht="14.25" customHeight="1">
      <c r="A32" s="66"/>
      <c r="C32" s="66"/>
      <c r="D32" s="56" t="str">
        <f>'Schedule | 1 Division'!B20</f>
        <v>CYBERHERO</v>
      </c>
      <c r="E32" s="109" t="s">
        <v>71</v>
      </c>
      <c r="F32" s="60" t="s">
        <v>70</v>
      </c>
      <c r="G32" s="66"/>
      <c r="H32" s="118" t="s">
        <v>72</v>
      </c>
      <c r="I32" s="119" t="s">
        <v>73</v>
      </c>
      <c r="J32" s="60"/>
      <c r="K32" s="60"/>
      <c r="L32" s="60"/>
      <c r="M32" s="60"/>
      <c r="N32" s="69"/>
      <c r="P32" s="92"/>
    </row>
    <row r="33" ht="14.25" customHeight="1">
      <c r="A33" s="66"/>
      <c r="C33" s="66"/>
      <c r="D33" s="56" t="str">
        <f>'Schedule | 1 Division'!B21</f>
        <v>Magic</v>
      </c>
      <c r="E33" s="109" t="s">
        <v>74</v>
      </c>
      <c r="F33" s="60" t="s">
        <v>70</v>
      </c>
      <c r="G33" s="66"/>
      <c r="H33" s="87" t="str">
        <f>D42</f>
        <v>Suplex team</v>
      </c>
      <c r="I33" s="89" t="str">
        <f>'Schedule | CQ + Playoffs'!I10</f>
        <v>The Soulless Team</v>
      </c>
      <c r="J33" s="77" t="str">
        <f>'Schedule | CQ + Playoffs'!E16</f>
        <v>FORZE</v>
      </c>
      <c r="K33" s="120" t="str">
        <f>D29</f>
        <v>Virtus.pro</v>
      </c>
      <c r="L33" s="60"/>
      <c r="M33" s="60"/>
      <c r="N33" s="69"/>
      <c r="P33" s="92"/>
    </row>
    <row r="34" ht="14.25" customHeight="1">
      <c r="A34" s="66"/>
      <c r="C34" s="66"/>
      <c r="D34" s="56" t="str">
        <f>'Schedule | 1 Division'!B22</f>
        <v>Aura Farmers</v>
      </c>
      <c r="E34" s="109" t="s">
        <v>75</v>
      </c>
      <c r="F34" s="60" t="s">
        <v>70</v>
      </c>
      <c r="G34" s="66"/>
      <c r="H34" s="60"/>
      <c r="I34" s="60"/>
      <c r="J34" s="118" t="s">
        <v>76</v>
      </c>
      <c r="K34" s="119" t="s">
        <v>77</v>
      </c>
      <c r="L34" s="60"/>
      <c r="M34" s="60"/>
      <c r="N34" s="69"/>
      <c r="P34" s="92"/>
    </row>
    <row r="35" ht="14.25" customHeight="1">
      <c r="A35" s="66"/>
      <c r="C35" s="66"/>
      <c r="D35" s="121" t="str">
        <f>'Schedule | 2 Division'!B15</f>
        <v>The Soulless Team</v>
      </c>
      <c r="E35" s="116" t="s">
        <v>78</v>
      </c>
      <c r="F35" s="122" t="s">
        <v>79</v>
      </c>
      <c r="G35" s="66"/>
      <c r="H35" s="77" t="str">
        <f>D36</f>
        <v>HARD GRIND</v>
      </c>
      <c r="I35" s="79" t="str">
        <f>D32</f>
        <v>CYBERHERO</v>
      </c>
      <c r="J35" s="87" t="str">
        <f>'Schedule | CQ + Playoffs'!I16</f>
        <v>CYBERHERO</v>
      </c>
      <c r="K35" s="89" t="str">
        <f>'Schedule | CQ + Playoffs'!I18</f>
        <v>CYBERHERO</v>
      </c>
      <c r="L35" s="60"/>
      <c r="M35" s="60"/>
      <c r="N35" s="69"/>
      <c r="P35" s="92"/>
    </row>
    <row r="36" ht="14.25" customHeight="1">
      <c r="A36" s="66"/>
      <c r="C36" s="66"/>
      <c r="D36" s="123" t="str">
        <f>'Schedule | 2 Division'!B16</f>
        <v>HARD GRIND</v>
      </c>
      <c r="E36" s="109" t="s">
        <v>80</v>
      </c>
      <c r="F36" s="124" t="s">
        <v>79</v>
      </c>
      <c r="G36" s="66"/>
      <c r="H36" s="125" t="s">
        <v>81</v>
      </c>
      <c r="I36" s="119" t="s">
        <v>82</v>
      </c>
      <c r="J36" s="60"/>
      <c r="K36" s="60"/>
      <c r="L36" s="60"/>
      <c r="M36" s="60"/>
      <c r="N36" s="69"/>
      <c r="P36" s="92"/>
    </row>
    <row r="37" ht="14.25" customHeight="1">
      <c r="A37" s="66"/>
      <c r="C37" s="66"/>
      <c r="D37" s="123" t="str">
        <f>'Schedule | 2 Division'!B17</f>
        <v>TSA White</v>
      </c>
      <c r="E37" s="109" t="s">
        <v>83</v>
      </c>
      <c r="F37" s="124" t="s">
        <v>79</v>
      </c>
      <c r="G37" s="66"/>
      <c r="H37" s="87" t="str">
        <f>D41</f>
        <v>Dark Phoenix</v>
      </c>
      <c r="I37" s="89" t="str">
        <f>'Schedule | CQ + Playoffs'!I11</f>
        <v>HARD GRIND</v>
      </c>
      <c r="J37" s="60"/>
      <c r="K37" s="60"/>
      <c r="L37" s="126" t="str">
        <f>K33</f>
        <v>Virtus.pro</v>
      </c>
      <c r="M37" s="60"/>
      <c r="N37" s="69"/>
      <c r="P37" s="92"/>
    </row>
    <row r="38" ht="14.25" customHeight="1">
      <c r="A38" s="66"/>
      <c r="C38" s="66"/>
      <c r="D38" s="123" t="str">
        <f>'Schedule | 2 Division'!B18</f>
        <v>INVISION</v>
      </c>
      <c r="E38" s="109" t="s">
        <v>84</v>
      </c>
      <c r="F38" s="124" t="s">
        <v>79</v>
      </c>
      <c r="G38" s="66"/>
      <c r="H38" s="60"/>
      <c r="I38" s="60"/>
      <c r="J38" s="60"/>
      <c r="K38" s="60"/>
      <c r="L38" s="127" t="s">
        <v>85</v>
      </c>
      <c r="M38" s="60"/>
      <c r="N38" s="69"/>
      <c r="P38" s="92"/>
    </row>
    <row r="39" ht="14.25" customHeight="1">
      <c r="A39" s="66"/>
      <c r="C39" s="66"/>
      <c r="D39" s="123" t="str">
        <f>'Schedule | 2 Division'!B19</f>
        <v>Aterion Esports</v>
      </c>
      <c r="E39" s="109" t="s">
        <v>86</v>
      </c>
      <c r="F39" s="124" t="s">
        <v>79</v>
      </c>
      <c r="G39" s="66"/>
      <c r="H39" s="77" t="str">
        <f>D37</f>
        <v>TSA White</v>
      </c>
      <c r="I39" s="79" t="str">
        <f>D33</f>
        <v>Magic</v>
      </c>
      <c r="J39" s="60"/>
      <c r="K39" s="60"/>
      <c r="L39" s="128" t="str">
        <f>K41</f>
        <v>Team Yandex</v>
      </c>
      <c r="M39" s="60"/>
      <c r="N39" s="69"/>
      <c r="P39" s="92"/>
    </row>
    <row r="40" ht="14.25" customHeight="1">
      <c r="A40" s="66"/>
      <c r="C40" s="66"/>
      <c r="D40" s="123" t="str">
        <f>'Schedule | 2 Division'!B20</f>
        <v>Omnix</v>
      </c>
      <c r="E40" s="109" t="s">
        <v>87</v>
      </c>
      <c r="F40" s="124" t="s">
        <v>79</v>
      </c>
      <c r="G40" s="66"/>
      <c r="H40" s="118" t="s">
        <v>88</v>
      </c>
      <c r="I40" s="119" t="s">
        <v>89</v>
      </c>
      <c r="J40" s="60"/>
      <c r="K40" s="60"/>
      <c r="L40" s="60"/>
      <c r="M40" s="60"/>
      <c r="N40" s="69"/>
      <c r="P40" s="92"/>
    </row>
    <row r="41" ht="14.25" customHeight="1">
      <c r="A41" s="66"/>
      <c r="C41" s="66"/>
      <c r="D41" s="123" t="str">
        <f>'Schedule | 2 Division'!B21</f>
        <v>Dark Phoenix</v>
      </c>
      <c r="E41" s="109" t="s">
        <v>90</v>
      </c>
      <c r="F41" s="124" t="s">
        <v>79</v>
      </c>
      <c r="G41" s="66"/>
      <c r="H41" s="87" t="str">
        <f>D40</f>
        <v>Omnix</v>
      </c>
      <c r="I41" s="129" t="str">
        <f>'Schedule | CQ + Playoffs'!I12</f>
        <v>Omnix</v>
      </c>
      <c r="J41" s="130" t="str">
        <f>I41</f>
        <v>Omnix</v>
      </c>
      <c r="K41" s="79" t="str">
        <f>D30</f>
        <v>Team Yandex</v>
      </c>
      <c r="L41" s="60"/>
      <c r="M41" s="60"/>
      <c r="N41" s="69"/>
      <c r="P41" s="92"/>
    </row>
    <row r="42" ht="14.25" customHeight="1">
      <c r="A42" s="66"/>
      <c r="C42" s="66"/>
      <c r="D42" s="131" t="str">
        <f>'Schedule | 2 Division'!B22</f>
        <v>Suplex team</v>
      </c>
      <c r="E42" s="132" t="s">
        <v>91</v>
      </c>
      <c r="F42" s="133" t="s">
        <v>79</v>
      </c>
      <c r="G42" s="66"/>
      <c r="H42" s="60"/>
      <c r="I42" s="60"/>
      <c r="J42" s="118" t="s">
        <v>92</v>
      </c>
      <c r="K42" s="119" t="s">
        <v>93</v>
      </c>
      <c r="L42" s="60"/>
      <c r="M42" s="60"/>
      <c r="N42" s="69"/>
      <c r="P42" s="92"/>
    </row>
    <row r="43" ht="14.25" customHeight="1">
      <c r="A43" s="66"/>
      <c r="C43" s="66"/>
      <c r="D43" s="53"/>
      <c r="F43" s="92"/>
      <c r="G43" s="66"/>
      <c r="H43" s="77" t="str">
        <f>D38</f>
        <v>INVISION</v>
      </c>
      <c r="I43" s="79" t="str">
        <f>D34</f>
        <v>Aura Farmers</v>
      </c>
      <c r="J43" s="87" t="str">
        <f>'Schedule | CQ + Playoffs'!I17</f>
        <v>Aura Farmers</v>
      </c>
      <c r="K43" s="129" t="str">
        <f>J41</f>
        <v>Omnix</v>
      </c>
      <c r="L43" s="60"/>
      <c r="M43" s="60"/>
      <c r="N43" s="69"/>
      <c r="P43" s="92"/>
    </row>
    <row r="44" ht="14.25" customHeight="1">
      <c r="A44" s="66"/>
      <c r="C44" s="66"/>
      <c r="D44" s="55"/>
      <c r="F44" s="92"/>
      <c r="G44" s="66"/>
      <c r="H44" s="118" t="s">
        <v>94</v>
      </c>
      <c r="I44" s="119" t="s">
        <v>95</v>
      </c>
      <c r="J44" s="60"/>
      <c r="K44" s="60"/>
      <c r="L44" s="60"/>
      <c r="M44" s="60"/>
      <c r="N44" s="69"/>
      <c r="P44" s="92"/>
    </row>
    <row r="45" ht="14.25" customHeight="1">
      <c r="A45" s="66"/>
      <c r="C45" s="66"/>
      <c r="D45" s="55"/>
      <c r="F45" s="92"/>
      <c r="G45" s="66"/>
      <c r="H45" s="87" t="str">
        <f>D39</f>
        <v>Aterion Esports</v>
      </c>
      <c r="I45" s="129" t="str">
        <f>'Schedule | CQ + Playoffs'!I13</f>
        <v>Aterion Esports</v>
      </c>
      <c r="J45" s="60"/>
      <c r="K45" s="60"/>
      <c r="L45" s="60"/>
      <c r="M45" s="60"/>
      <c r="N45" s="69"/>
      <c r="P45" s="92"/>
    </row>
    <row r="46" ht="14.25" customHeight="1">
      <c r="A46" s="66"/>
      <c r="C46" s="66"/>
      <c r="D46" s="55"/>
      <c r="F46" s="92"/>
      <c r="G46" s="134"/>
      <c r="H46" s="135"/>
      <c r="I46" s="135"/>
      <c r="J46" s="135"/>
      <c r="K46" s="135"/>
      <c r="L46" s="60"/>
      <c r="M46" s="60"/>
      <c r="N46" s="69"/>
      <c r="P46" s="92"/>
    </row>
    <row r="47" ht="14.25" customHeight="1">
      <c r="A47" s="66"/>
      <c r="C47" s="66"/>
      <c r="D47" s="55"/>
      <c r="F47" s="92"/>
      <c r="G47" s="136" t="s">
        <v>96</v>
      </c>
      <c r="H47" s="137"/>
      <c r="I47" s="138"/>
      <c r="J47" s="138"/>
      <c r="K47" s="139"/>
      <c r="L47" s="60"/>
      <c r="M47" s="60"/>
      <c r="N47" s="69"/>
      <c r="P47" s="92"/>
    </row>
    <row r="48" ht="14.25" customHeight="1">
      <c r="A48" s="66"/>
      <c r="C48" s="66"/>
      <c r="D48" s="55"/>
      <c r="F48" s="92"/>
      <c r="G48" s="92"/>
      <c r="K48" s="140"/>
      <c r="L48" s="141" t="str">
        <f>K43</f>
        <v>Omnix</v>
      </c>
      <c r="M48" s="60"/>
      <c r="N48" s="69"/>
      <c r="P48" s="92"/>
    </row>
    <row r="49" ht="14.25" customHeight="1">
      <c r="A49" s="66"/>
      <c r="C49" s="66"/>
      <c r="D49" s="55"/>
      <c r="F49" s="92"/>
      <c r="G49" s="92"/>
      <c r="K49" s="140"/>
      <c r="L49" s="142" t="s">
        <v>97</v>
      </c>
      <c r="M49" s="60"/>
      <c r="N49" s="69"/>
      <c r="P49" s="92"/>
    </row>
    <row r="50" ht="14.25" customHeight="1">
      <c r="A50" s="66"/>
      <c r="C50" s="66"/>
      <c r="D50" s="55"/>
      <c r="F50" s="92"/>
      <c r="G50" s="92"/>
      <c r="K50" s="140"/>
      <c r="L50" s="128" t="str">
        <f>J33</f>
        <v>FORZE</v>
      </c>
      <c r="M50" s="77" t="str">
        <f>L50</f>
        <v>FORZE</v>
      </c>
      <c r="N50" s="79" t="str">
        <f>L39</f>
        <v>Team Yandex</v>
      </c>
      <c r="P50" s="92"/>
    </row>
    <row r="51" ht="14.25" customHeight="1">
      <c r="A51" s="66"/>
      <c r="C51" s="66"/>
      <c r="D51" s="55"/>
      <c r="F51" s="92"/>
      <c r="G51" s="92"/>
      <c r="K51" s="140"/>
      <c r="L51" s="60"/>
      <c r="M51" s="118" t="s">
        <v>98</v>
      </c>
      <c r="N51" s="143" t="s">
        <v>99</v>
      </c>
      <c r="P51" s="92"/>
    </row>
    <row r="52" ht="14.25" customHeight="1">
      <c r="A52" s="66"/>
      <c r="C52" s="66"/>
      <c r="D52" s="55"/>
      <c r="F52" s="92"/>
      <c r="G52" s="92"/>
      <c r="K52" s="140"/>
      <c r="L52" s="64" t="str">
        <f>K35</f>
        <v>CYBERHERO</v>
      </c>
      <c r="M52" s="87" t="str">
        <f>L52</f>
        <v>CYBERHERO</v>
      </c>
      <c r="N52" s="89" t="str">
        <f>L50</f>
        <v>FORZE</v>
      </c>
      <c r="P52" s="92"/>
    </row>
    <row r="53" ht="14.25" customHeight="1">
      <c r="A53" s="66"/>
      <c r="C53" s="66"/>
      <c r="D53" s="55"/>
      <c r="F53" s="92"/>
      <c r="G53" s="92"/>
      <c r="K53" s="140"/>
      <c r="L53" s="142" t="s">
        <v>100</v>
      </c>
      <c r="M53" s="60"/>
      <c r="N53" s="69"/>
      <c r="P53" s="92"/>
    </row>
    <row r="54" ht="14.25" customHeight="1">
      <c r="A54" s="66"/>
      <c r="C54" s="66"/>
      <c r="D54" s="55"/>
      <c r="F54" s="92"/>
      <c r="G54" s="92"/>
      <c r="K54" s="140"/>
      <c r="L54" s="128" t="str">
        <f>J43</f>
        <v>Aura Farmers</v>
      </c>
      <c r="M54" s="60"/>
      <c r="N54" s="69"/>
      <c r="P54" s="92"/>
    </row>
    <row r="55" ht="14.25" customHeight="1">
      <c r="A55" s="66"/>
      <c r="C55" s="94"/>
      <c r="D55" s="61"/>
      <c r="E55" s="22"/>
      <c r="F55" s="93"/>
      <c r="G55" s="93"/>
      <c r="H55" s="22"/>
      <c r="I55" s="22"/>
      <c r="J55" s="22"/>
      <c r="K55" s="144"/>
      <c r="L55" s="63"/>
      <c r="M55" s="63"/>
      <c r="N55" s="95"/>
      <c r="P55" s="92"/>
    </row>
    <row r="56" ht="14.25" customHeight="1">
      <c r="A56" s="66"/>
      <c r="C56" s="60"/>
      <c r="P56" s="92"/>
    </row>
    <row r="57" ht="14.25" customHeight="1">
      <c r="A57" s="66"/>
      <c r="P57" s="92"/>
    </row>
    <row r="58" ht="17.25" customHeight="1">
      <c r="A58" s="66"/>
      <c r="C58" s="145" t="s">
        <v>101</v>
      </c>
      <c r="D58" s="146" t="s">
        <v>48</v>
      </c>
      <c r="E58" s="64" t="s">
        <v>68</v>
      </c>
      <c r="F58" s="52"/>
      <c r="G58" s="52"/>
      <c r="H58" s="52"/>
      <c r="I58" s="52"/>
      <c r="J58" s="52"/>
      <c r="K58" s="52"/>
      <c r="L58" s="52"/>
      <c r="M58" s="98" t="s">
        <v>102</v>
      </c>
      <c r="N58" s="77" t="s">
        <v>103</v>
      </c>
      <c r="O58" s="79" t="s">
        <v>104</v>
      </c>
      <c r="P58" s="69"/>
    </row>
    <row r="59" ht="17.25" customHeight="1">
      <c r="A59" s="66"/>
      <c r="C59" s="66"/>
      <c r="D59" s="147" t="str">
        <f>'Schedule | 1 Division'!B15</f>
        <v>Team Spirit</v>
      </c>
      <c r="E59" s="66"/>
      <c r="F59" s="60"/>
      <c r="G59" s="148" t="s">
        <v>105</v>
      </c>
      <c r="H59" s="60"/>
      <c r="I59" s="60"/>
      <c r="J59" s="60"/>
      <c r="K59" s="60"/>
      <c r="L59" s="60"/>
      <c r="M59" s="66"/>
      <c r="N59" s="149"/>
      <c r="O59" s="150">
        <v>1750000.0</v>
      </c>
      <c r="P59" s="69"/>
    </row>
    <row r="60" ht="17.25" customHeight="1">
      <c r="A60" s="66"/>
      <c r="C60" s="66"/>
      <c r="D60" s="151" t="str">
        <f>'Schedule | 1 Division'!B16</f>
        <v>Verso Time</v>
      </c>
      <c r="E60" s="66"/>
      <c r="F60" s="60"/>
      <c r="G60" s="60"/>
      <c r="H60" s="60"/>
      <c r="I60" s="148" t="s">
        <v>106</v>
      </c>
      <c r="J60" s="60"/>
      <c r="K60" s="152" t="s">
        <v>107</v>
      </c>
      <c r="L60" s="60"/>
      <c r="M60" s="66"/>
      <c r="N60" s="153"/>
      <c r="O60" s="154">
        <v>1250000.0</v>
      </c>
      <c r="P60" s="69"/>
    </row>
    <row r="61" ht="17.25" customHeight="1">
      <c r="A61" s="66"/>
      <c r="C61" s="66"/>
      <c r="D61" s="155" t="str">
        <f>L37</f>
        <v>Virtus.pro</v>
      </c>
      <c r="E61" s="66"/>
      <c r="F61" s="60"/>
      <c r="G61" s="148" t="s">
        <v>105</v>
      </c>
      <c r="H61" s="60"/>
      <c r="I61" s="60"/>
      <c r="J61" s="60"/>
      <c r="K61" s="60"/>
      <c r="L61" s="60"/>
      <c r="M61" s="66"/>
      <c r="N61" s="156"/>
      <c r="O61" s="154">
        <v>750000.0</v>
      </c>
      <c r="P61" s="69"/>
    </row>
    <row r="62" ht="17.25" customHeight="1">
      <c r="A62" s="66"/>
      <c r="C62" s="66"/>
      <c r="D62" s="157" t="str">
        <f>L50</f>
        <v>FORZE</v>
      </c>
      <c r="E62" s="66"/>
      <c r="F62" s="135"/>
      <c r="G62" s="60"/>
      <c r="H62" s="60"/>
      <c r="I62" s="60"/>
      <c r="J62" s="60"/>
      <c r="K62" s="60"/>
      <c r="L62" s="60"/>
      <c r="M62" s="66"/>
      <c r="N62" s="158" t="str">
        <f>K33</f>
        <v>Virtus.pro</v>
      </c>
      <c r="O62" s="159">
        <v>250000.0</v>
      </c>
      <c r="P62" s="69"/>
    </row>
    <row r="63" ht="17.25" customHeight="1">
      <c r="A63" s="66"/>
      <c r="C63" s="66"/>
      <c r="D63" s="160"/>
      <c r="E63" s="161" t="s">
        <v>96</v>
      </c>
      <c r="F63" s="60"/>
      <c r="G63" s="162"/>
      <c r="H63" s="162"/>
      <c r="I63" s="162"/>
      <c r="J63" s="162"/>
      <c r="K63" s="162"/>
      <c r="L63" s="162"/>
      <c r="M63" s="66"/>
      <c r="N63" s="60"/>
      <c r="O63" s="60"/>
      <c r="P63" s="69"/>
    </row>
    <row r="64" ht="17.25" customHeight="1">
      <c r="A64" s="66"/>
      <c r="C64" s="66"/>
      <c r="D64" s="66"/>
      <c r="E64" s="66"/>
      <c r="F64" s="60"/>
      <c r="G64" s="60"/>
      <c r="H64" s="60"/>
      <c r="I64" s="60"/>
      <c r="J64" s="60"/>
      <c r="K64" s="60"/>
      <c r="L64" s="60"/>
      <c r="M64" s="66"/>
      <c r="N64" s="60"/>
      <c r="O64" s="60"/>
      <c r="P64" s="69"/>
    </row>
    <row r="65" ht="17.25" customHeight="1">
      <c r="A65" s="66"/>
      <c r="C65" s="66"/>
      <c r="D65" s="66"/>
      <c r="E65" s="66"/>
      <c r="F65" s="60"/>
      <c r="G65" s="60"/>
      <c r="H65" s="148" t="s">
        <v>108</v>
      </c>
      <c r="I65" s="163"/>
      <c r="J65" s="164" t="s">
        <v>109</v>
      </c>
      <c r="K65" s="60"/>
      <c r="L65" s="60"/>
      <c r="M65" s="66"/>
      <c r="N65" s="60"/>
      <c r="O65" s="60"/>
      <c r="P65" s="69"/>
    </row>
    <row r="66" ht="17.25" customHeight="1">
      <c r="A66" s="66"/>
      <c r="C66" s="94"/>
      <c r="D66" s="94"/>
      <c r="E66" s="94"/>
      <c r="F66" s="63"/>
      <c r="G66" s="63"/>
      <c r="H66" s="63"/>
      <c r="I66" s="63"/>
      <c r="J66" s="63"/>
      <c r="K66" s="63"/>
      <c r="L66" s="63"/>
      <c r="M66" s="94"/>
      <c r="N66" s="60"/>
      <c r="O66" s="60"/>
      <c r="P66" s="69"/>
    </row>
    <row r="67" ht="14.25" customHeight="1">
      <c r="A67" s="94"/>
      <c r="B67" s="22"/>
      <c r="C67" s="63"/>
      <c r="D67" s="63"/>
      <c r="E67" s="63"/>
      <c r="F67" s="63"/>
      <c r="G67" s="63"/>
      <c r="H67" s="63"/>
      <c r="I67" s="63"/>
      <c r="J67" s="63"/>
      <c r="K67" s="63"/>
      <c r="L67" s="63"/>
      <c r="M67" s="63"/>
      <c r="N67" s="63"/>
      <c r="O67" s="63"/>
      <c r="P67" s="95"/>
    </row>
    <row r="68" ht="14.25" customHeight="1">
      <c r="A68" s="50"/>
      <c r="B68" s="50"/>
      <c r="C68" s="50"/>
      <c r="D68" s="50"/>
      <c r="E68" s="50"/>
      <c r="F68" s="50"/>
      <c r="G68" s="50"/>
      <c r="H68" s="50"/>
      <c r="I68" s="50"/>
      <c r="J68" s="50"/>
      <c r="K68" s="50"/>
      <c r="L68" s="50"/>
      <c r="M68" s="50"/>
      <c r="N68" s="50"/>
      <c r="O68" s="50"/>
      <c r="P68" s="50"/>
    </row>
    <row r="69" ht="14.25" hidden="1" customHeight="1">
      <c r="A69" s="50"/>
      <c r="B69" s="50"/>
      <c r="C69" s="50"/>
      <c r="D69" s="50"/>
      <c r="E69" s="50"/>
      <c r="F69" s="50"/>
      <c r="G69" s="50"/>
      <c r="H69" s="50"/>
      <c r="I69" s="50"/>
      <c r="J69" s="50"/>
      <c r="K69" s="50"/>
      <c r="L69" s="50"/>
      <c r="M69" s="50"/>
      <c r="N69" s="50"/>
      <c r="O69" s="50"/>
      <c r="P69" s="50"/>
    </row>
    <row r="70" ht="14.25" hidden="1" customHeight="1">
      <c r="A70" s="165" t="s">
        <v>110</v>
      </c>
      <c r="B70" s="52"/>
      <c r="C70" s="52"/>
      <c r="D70" s="52"/>
      <c r="E70" s="52"/>
      <c r="F70" s="52"/>
      <c r="G70" s="52"/>
      <c r="H70" s="52"/>
      <c r="I70" s="52"/>
      <c r="J70" s="52"/>
      <c r="K70" s="52"/>
      <c r="L70" s="52"/>
      <c r="M70" s="52"/>
      <c r="N70" s="52"/>
      <c r="O70" s="52"/>
      <c r="P70" s="65"/>
    </row>
    <row r="71" ht="14.25" hidden="1" customHeight="1">
      <c r="A71" s="92"/>
      <c r="B71" s="60"/>
      <c r="C71" s="148" t="s">
        <v>34</v>
      </c>
      <c r="D71" s="60"/>
      <c r="E71" s="60"/>
      <c r="F71" s="60"/>
      <c r="G71" s="60"/>
      <c r="H71" s="60"/>
      <c r="I71" s="60"/>
      <c r="J71" s="60"/>
      <c r="K71" s="60"/>
      <c r="L71" s="60"/>
      <c r="M71" s="60"/>
      <c r="N71" s="60"/>
      <c r="O71" s="60"/>
      <c r="P71" s="69"/>
    </row>
    <row r="72" ht="14.25" hidden="1" customHeight="1">
      <c r="A72" s="92"/>
      <c r="B72" s="60"/>
      <c r="C72" s="60"/>
      <c r="D72" s="60"/>
      <c r="E72" s="60"/>
      <c r="F72" s="60"/>
      <c r="G72" s="60"/>
      <c r="H72" s="60"/>
      <c r="I72" s="60"/>
      <c r="J72" s="60"/>
      <c r="K72" s="60"/>
      <c r="L72" s="60"/>
      <c r="M72" s="60"/>
      <c r="N72" s="60"/>
      <c r="O72" s="60"/>
      <c r="P72" s="69"/>
    </row>
    <row r="73" ht="14.25" hidden="1" customHeight="1">
      <c r="A73" s="92"/>
      <c r="B73" s="60"/>
      <c r="C73" s="148" t="s">
        <v>36</v>
      </c>
      <c r="D73" s="60"/>
      <c r="E73" s="60"/>
      <c r="F73" s="60"/>
      <c r="G73" s="60"/>
      <c r="H73" s="60"/>
      <c r="I73" s="60"/>
      <c r="J73" s="60"/>
      <c r="K73" s="60"/>
      <c r="L73" s="60"/>
      <c r="M73" s="60"/>
      <c r="N73" s="60"/>
      <c r="O73" s="60"/>
      <c r="P73" s="69"/>
    </row>
    <row r="74" ht="14.25" hidden="1" customHeight="1">
      <c r="A74" s="92"/>
      <c r="B74" s="60"/>
      <c r="C74" s="60"/>
      <c r="D74" s="60"/>
      <c r="E74" s="60"/>
      <c r="F74" s="60"/>
      <c r="G74" s="60"/>
      <c r="H74" s="60"/>
      <c r="I74" s="60"/>
      <c r="J74" s="60"/>
      <c r="K74" s="60"/>
      <c r="L74" s="60"/>
      <c r="M74" s="60"/>
      <c r="N74" s="60"/>
      <c r="O74" s="60"/>
      <c r="P74" s="69"/>
    </row>
    <row r="75" ht="14.25" hidden="1" customHeight="1">
      <c r="A75" s="92"/>
      <c r="B75" s="60"/>
      <c r="C75" s="60"/>
      <c r="D75" s="60"/>
      <c r="E75" s="60"/>
      <c r="F75" s="60"/>
      <c r="G75" s="60"/>
      <c r="H75" s="60"/>
      <c r="I75" s="60"/>
      <c r="J75" s="60"/>
      <c r="K75" s="60"/>
      <c r="L75" s="60"/>
      <c r="M75" s="60"/>
      <c r="N75" s="60"/>
      <c r="O75" s="60"/>
      <c r="P75" s="69"/>
    </row>
    <row r="76" ht="14.25" hidden="1" customHeight="1">
      <c r="A76" s="92"/>
      <c r="B76" s="60"/>
      <c r="C76" s="145" t="s">
        <v>111</v>
      </c>
      <c r="D76" s="166" t="s">
        <v>112</v>
      </c>
      <c r="E76" s="97"/>
      <c r="F76" s="100"/>
      <c r="G76" s="67" t="s">
        <v>49</v>
      </c>
      <c r="H76" s="73" t="s">
        <v>113</v>
      </c>
      <c r="I76" s="167" t="s">
        <v>113</v>
      </c>
      <c r="J76" s="167" t="s">
        <v>113</v>
      </c>
      <c r="K76" s="167" t="s">
        <v>113</v>
      </c>
      <c r="L76" s="167" t="s">
        <v>113</v>
      </c>
      <c r="M76" s="167" t="s">
        <v>113</v>
      </c>
      <c r="N76" s="168" t="s">
        <v>113</v>
      </c>
      <c r="O76" s="98" t="s">
        <v>113</v>
      </c>
      <c r="P76" s="69"/>
    </row>
    <row r="77" ht="14.25" hidden="1" customHeight="1">
      <c r="A77" s="92"/>
      <c r="B77" s="60"/>
      <c r="C77" s="66"/>
      <c r="D77" s="169" t="s">
        <v>114</v>
      </c>
      <c r="E77" s="170" t="s">
        <v>115</v>
      </c>
      <c r="F77" s="171" t="s">
        <v>116</v>
      </c>
      <c r="G77" s="55"/>
      <c r="H77" s="101" t="s">
        <v>117</v>
      </c>
      <c r="I77" s="102" t="s">
        <v>118</v>
      </c>
      <c r="J77" s="102" t="s">
        <v>119</v>
      </c>
      <c r="K77" s="102" t="s">
        <v>120</v>
      </c>
      <c r="L77" s="102" t="s">
        <v>121</v>
      </c>
      <c r="M77" s="102" t="s">
        <v>122</v>
      </c>
      <c r="N77" s="172" t="s">
        <v>123</v>
      </c>
      <c r="O77" s="173" t="s">
        <v>124</v>
      </c>
      <c r="P77" s="69"/>
    </row>
    <row r="78" ht="14.25" hidden="1" customHeight="1">
      <c r="A78" s="92"/>
      <c r="B78" s="60"/>
      <c r="C78" s="66"/>
      <c r="D78" s="149">
        <v>1.0</v>
      </c>
      <c r="E78" s="174"/>
      <c r="F78" s="175"/>
      <c r="G78" s="61"/>
      <c r="H78" s="110" t="s">
        <v>61</v>
      </c>
      <c r="I78" s="111" t="s">
        <v>62</v>
      </c>
      <c r="J78" s="111" t="s">
        <v>63</v>
      </c>
      <c r="K78" s="111" t="s">
        <v>64</v>
      </c>
      <c r="L78" s="111" t="s">
        <v>65</v>
      </c>
      <c r="M78" s="111" t="s">
        <v>125</v>
      </c>
      <c r="N78" s="113" t="s">
        <v>126</v>
      </c>
      <c r="O78" s="176" t="s">
        <v>127</v>
      </c>
      <c r="P78" s="69"/>
    </row>
    <row r="79" ht="14.25" hidden="1" customHeight="1">
      <c r="A79" s="92"/>
      <c r="B79" s="60"/>
      <c r="C79" s="66"/>
      <c r="D79" s="153">
        <v>2.0</v>
      </c>
      <c r="E79" s="177"/>
      <c r="F79" s="178"/>
      <c r="G79" s="98" t="s">
        <v>113</v>
      </c>
      <c r="H79" s="57"/>
      <c r="I79" s="96"/>
      <c r="J79" s="96"/>
      <c r="K79" s="96"/>
      <c r="L79" s="96"/>
      <c r="M79" s="96"/>
      <c r="N79" s="96"/>
      <c r="O79" s="164"/>
      <c r="P79" s="163"/>
    </row>
    <row r="80" ht="14.25" hidden="1" customHeight="1">
      <c r="A80" s="92"/>
      <c r="B80" s="60"/>
      <c r="C80" s="66"/>
      <c r="D80" s="153">
        <v>3.0</v>
      </c>
      <c r="E80" s="177"/>
      <c r="F80" s="178"/>
      <c r="G80" s="66"/>
      <c r="H80" s="77">
        <v>1.0</v>
      </c>
      <c r="I80" s="179" t="s">
        <v>128</v>
      </c>
      <c r="J80" s="179" t="s">
        <v>129</v>
      </c>
      <c r="K80" s="179" t="s">
        <v>130</v>
      </c>
      <c r="L80" s="179" t="s">
        <v>131</v>
      </c>
      <c r="M80" s="179" t="s">
        <v>132</v>
      </c>
      <c r="N80" s="179" t="s">
        <v>133</v>
      </c>
      <c r="O80" s="79" t="s">
        <v>134</v>
      </c>
      <c r="P80" s="163"/>
    </row>
    <row r="81" ht="14.25" hidden="1" customHeight="1">
      <c r="A81" s="92"/>
      <c r="B81" s="60"/>
      <c r="C81" s="66"/>
      <c r="D81" s="153">
        <v>4.0</v>
      </c>
      <c r="E81" s="177"/>
      <c r="F81" s="178"/>
      <c r="G81" s="66"/>
      <c r="H81" s="180" t="s">
        <v>135</v>
      </c>
      <c r="I81" s="177" t="s">
        <v>136</v>
      </c>
      <c r="J81" s="177" t="s">
        <v>137</v>
      </c>
      <c r="K81" s="177" t="s">
        <v>138</v>
      </c>
      <c r="L81" s="181" t="s">
        <v>139</v>
      </c>
      <c r="M81" s="182" t="s">
        <v>140</v>
      </c>
      <c r="N81" s="181" t="s">
        <v>141</v>
      </c>
      <c r="O81" s="183" t="s">
        <v>142</v>
      </c>
      <c r="P81" s="163"/>
    </row>
    <row r="82" ht="14.25" hidden="1" customHeight="1">
      <c r="A82" s="92"/>
      <c r="B82" s="60"/>
      <c r="C82" s="66"/>
      <c r="D82" s="153">
        <v>5.0</v>
      </c>
      <c r="E82" s="177"/>
      <c r="F82" s="178"/>
      <c r="G82" s="66"/>
      <c r="H82" s="83">
        <v>16.0</v>
      </c>
      <c r="I82" s="184" t="s">
        <v>143</v>
      </c>
      <c r="J82" s="184" t="s">
        <v>144</v>
      </c>
      <c r="K82" s="184" t="s">
        <v>145</v>
      </c>
      <c r="L82" s="184" t="s">
        <v>146</v>
      </c>
      <c r="M82" s="184" t="s">
        <v>147</v>
      </c>
      <c r="N82" s="184" t="s">
        <v>148</v>
      </c>
      <c r="O82" s="85" t="s">
        <v>149</v>
      </c>
      <c r="P82" s="163"/>
    </row>
    <row r="83" ht="14.25" hidden="1" customHeight="1">
      <c r="A83" s="92"/>
      <c r="B83" s="60"/>
      <c r="C83" s="66"/>
      <c r="D83" s="153">
        <v>6.0</v>
      </c>
      <c r="E83" s="177"/>
      <c r="F83" s="178"/>
      <c r="G83" s="66"/>
      <c r="H83" s="57"/>
      <c r="I83" s="96"/>
      <c r="J83" s="96"/>
      <c r="K83" s="96"/>
      <c r="L83" s="96"/>
      <c r="M83" s="96"/>
      <c r="N83" s="96"/>
      <c r="O83" s="164"/>
      <c r="P83" s="69"/>
    </row>
    <row r="84" ht="14.25" hidden="1" customHeight="1">
      <c r="A84" s="92"/>
      <c r="B84" s="60"/>
      <c r="C84" s="66"/>
      <c r="D84" s="153">
        <v>7.0</v>
      </c>
      <c r="E84" s="177"/>
      <c r="F84" s="178"/>
      <c r="G84" s="66"/>
      <c r="H84" s="83">
        <v>2.0</v>
      </c>
      <c r="I84" s="184" t="s">
        <v>150</v>
      </c>
      <c r="J84" s="184" t="s">
        <v>151</v>
      </c>
      <c r="K84" s="184" t="s">
        <v>152</v>
      </c>
      <c r="L84" s="184" t="s">
        <v>153</v>
      </c>
      <c r="M84" s="184" t="s">
        <v>154</v>
      </c>
      <c r="N84" s="184" t="s">
        <v>155</v>
      </c>
      <c r="O84" s="85" t="s">
        <v>156</v>
      </c>
      <c r="P84" s="163"/>
    </row>
    <row r="85" ht="14.25" hidden="1" customHeight="1">
      <c r="A85" s="92"/>
      <c r="B85" s="60"/>
      <c r="C85" s="66"/>
      <c r="D85" s="153">
        <v>8.0</v>
      </c>
      <c r="E85" s="177"/>
      <c r="F85" s="178"/>
      <c r="G85" s="66"/>
      <c r="H85" s="180" t="s">
        <v>157</v>
      </c>
      <c r="I85" s="177" t="s">
        <v>158</v>
      </c>
      <c r="J85" s="177" t="s">
        <v>159</v>
      </c>
      <c r="K85" s="177" t="s">
        <v>160</v>
      </c>
      <c r="L85" s="181" t="s">
        <v>161</v>
      </c>
      <c r="M85" s="182" t="s">
        <v>162</v>
      </c>
      <c r="N85" s="181" t="s">
        <v>163</v>
      </c>
      <c r="O85" s="183" t="s">
        <v>164</v>
      </c>
      <c r="P85" s="163"/>
    </row>
    <row r="86" ht="14.25" hidden="1" customHeight="1">
      <c r="A86" s="92"/>
      <c r="B86" s="60"/>
      <c r="C86" s="66"/>
      <c r="D86" s="153">
        <v>9.0</v>
      </c>
      <c r="E86" s="177"/>
      <c r="F86" s="178"/>
      <c r="G86" s="66"/>
      <c r="H86" s="87">
        <v>15.0</v>
      </c>
      <c r="I86" s="185" t="s">
        <v>165</v>
      </c>
      <c r="J86" s="185" t="s">
        <v>166</v>
      </c>
      <c r="K86" s="185" t="s">
        <v>167</v>
      </c>
      <c r="L86" s="185" t="s">
        <v>168</v>
      </c>
      <c r="M86" s="185" t="s">
        <v>169</v>
      </c>
      <c r="N86" s="185" t="s">
        <v>170</v>
      </c>
      <c r="O86" s="89" t="s">
        <v>149</v>
      </c>
      <c r="P86" s="163"/>
    </row>
    <row r="87" ht="14.25" hidden="1" customHeight="1">
      <c r="A87" s="92"/>
      <c r="B87" s="60"/>
      <c r="C87" s="66"/>
      <c r="D87" s="153">
        <v>10.0</v>
      </c>
      <c r="E87" s="177"/>
      <c r="F87" s="178"/>
      <c r="G87" s="66"/>
      <c r="H87" s="57"/>
      <c r="I87" s="96"/>
      <c r="J87" s="96"/>
      <c r="K87" s="96"/>
      <c r="L87" s="96"/>
      <c r="M87" s="96"/>
      <c r="N87" s="96"/>
      <c r="O87" s="164"/>
      <c r="P87" s="163"/>
    </row>
    <row r="88" ht="14.25" hidden="1" customHeight="1">
      <c r="A88" s="92"/>
      <c r="B88" s="60"/>
      <c r="C88" s="66"/>
      <c r="D88" s="153">
        <v>11.0</v>
      </c>
      <c r="E88" s="177"/>
      <c r="F88" s="178"/>
      <c r="G88" s="66"/>
      <c r="H88" s="77">
        <v>3.0</v>
      </c>
      <c r="I88" s="179" t="s">
        <v>171</v>
      </c>
      <c r="J88" s="179" t="s">
        <v>172</v>
      </c>
      <c r="K88" s="179" t="s">
        <v>173</v>
      </c>
      <c r="L88" s="179" t="s">
        <v>174</v>
      </c>
      <c r="M88" s="179" t="s">
        <v>175</v>
      </c>
      <c r="N88" s="179" t="s">
        <v>176</v>
      </c>
      <c r="O88" s="79" t="s">
        <v>156</v>
      </c>
      <c r="P88" s="163"/>
    </row>
    <row r="89" ht="14.25" hidden="1" customHeight="1">
      <c r="A89" s="92"/>
      <c r="B89" s="60"/>
      <c r="C89" s="66"/>
      <c r="D89" s="153">
        <v>12.0</v>
      </c>
      <c r="E89" s="177"/>
      <c r="F89" s="178"/>
      <c r="G89" s="66"/>
      <c r="H89" s="180" t="s">
        <v>177</v>
      </c>
      <c r="I89" s="177" t="s">
        <v>178</v>
      </c>
      <c r="J89" s="177" t="s">
        <v>179</v>
      </c>
      <c r="K89" s="177" t="s">
        <v>180</v>
      </c>
      <c r="L89" s="181" t="s">
        <v>181</v>
      </c>
      <c r="M89" s="182" t="s">
        <v>182</v>
      </c>
      <c r="N89" s="181" t="s">
        <v>183</v>
      </c>
      <c r="O89" s="183" t="s">
        <v>184</v>
      </c>
      <c r="P89" s="163"/>
    </row>
    <row r="90" ht="14.25" hidden="1" customHeight="1">
      <c r="A90" s="92"/>
      <c r="B90" s="60"/>
      <c r="C90" s="66"/>
      <c r="D90" s="153">
        <v>13.0</v>
      </c>
      <c r="E90" s="177"/>
      <c r="F90" s="178"/>
      <c r="G90" s="66"/>
      <c r="H90" s="87">
        <v>14.0</v>
      </c>
      <c r="I90" s="185" t="s">
        <v>185</v>
      </c>
      <c r="J90" s="185" t="s">
        <v>186</v>
      </c>
      <c r="K90" s="185" t="s">
        <v>187</v>
      </c>
      <c r="L90" s="185" t="s">
        <v>188</v>
      </c>
      <c r="M90" s="185" t="s">
        <v>189</v>
      </c>
      <c r="N90" s="184" t="s">
        <v>190</v>
      </c>
      <c r="O90" s="85" t="s">
        <v>134</v>
      </c>
      <c r="P90" s="163"/>
    </row>
    <row r="91" ht="14.25" hidden="1" customHeight="1">
      <c r="A91" s="92"/>
      <c r="B91" s="60"/>
      <c r="C91" s="66"/>
      <c r="D91" s="153">
        <v>14.0</v>
      </c>
      <c r="E91" s="177"/>
      <c r="F91" s="178"/>
      <c r="G91" s="66"/>
      <c r="H91" s="57"/>
      <c r="I91" s="96"/>
      <c r="J91" s="96"/>
      <c r="K91" s="96"/>
      <c r="L91" s="52"/>
      <c r="M91" s="52"/>
      <c r="N91" s="52"/>
      <c r="O91" s="65"/>
      <c r="P91" s="69"/>
    </row>
    <row r="92" ht="14.25" hidden="1" customHeight="1">
      <c r="A92" s="92"/>
      <c r="B92" s="60"/>
      <c r="C92" s="66"/>
      <c r="D92" s="153">
        <v>15.0</v>
      </c>
      <c r="E92" s="177"/>
      <c r="F92" s="178"/>
      <c r="G92" s="66"/>
      <c r="H92" s="77">
        <v>4.0</v>
      </c>
      <c r="I92" s="179" t="s">
        <v>191</v>
      </c>
      <c r="J92" s="179" t="s">
        <v>192</v>
      </c>
      <c r="K92" s="79" t="s">
        <v>193</v>
      </c>
      <c r="L92" s="56"/>
      <c r="M92" s="60"/>
      <c r="N92" s="60"/>
      <c r="O92" s="69"/>
      <c r="P92" s="69"/>
    </row>
    <row r="93" ht="14.25" hidden="1" customHeight="1">
      <c r="A93" s="92"/>
      <c r="B93" s="60"/>
      <c r="C93" s="66"/>
      <c r="D93" s="186">
        <v>16.0</v>
      </c>
      <c r="E93" s="187"/>
      <c r="F93" s="188"/>
      <c r="G93" s="66"/>
      <c r="H93" s="180" t="s">
        <v>194</v>
      </c>
      <c r="I93" s="177" t="s">
        <v>195</v>
      </c>
      <c r="J93" s="177" t="s">
        <v>196</v>
      </c>
      <c r="K93" s="189" t="s">
        <v>197</v>
      </c>
      <c r="L93" s="56"/>
      <c r="M93" s="60"/>
      <c r="N93" s="60"/>
      <c r="O93" s="69"/>
      <c r="P93" s="69"/>
    </row>
    <row r="94" ht="14.25" hidden="1" customHeight="1">
      <c r="A94" s="92"/>
      <c r="B94" s="60"/>
      <c r="C94" s="66"/>
      <c r="D94" s="53"/>
      <c r="F94" s="92"/>
      <c r="G94" s="66"/>
      <c r="H94" s="87">
        <v>13.0</v>
      </c>
      <c r="I94" s="185" t="s">
        <v>198</v>
      </c>
      <c r="J94" s="185" t="s">
        <v>199</v>
      </c>
      <c r="K94" s="89" t="s">
        <v>200</v>
      </c>
      <c r="L94" s="56"/>
      <c r="M94" s="60"/>
      <c r="N94" s="60"/>
      <c r="O94" s="69"/>
      <c r="P94" s="69"/>
    </row>
    <row r="95" ht="14.25" hidden="1" customHeight="1">
      <c r="A95" s="92"/>
      <c r="B95" s="60"/>
      <c r="C95" s="66"/>
      <c r="D95" s="55"/>
      <c r="F95" s="92"/>
      <c r="G95" s="66"/>
      <c r="H95" s="57"/>
      <c r="I95" s="96"/>
      <c r="J95" s="60"/>
      <c r="K95" s="60"/>
      <c r="L95" s="60"/>
      <c r="M95" s="60"/>
      <c r="N95" s="60"/>
      <c r="O95" s="69"/>
      <c r="P95" s="69"/>
    </row>
    <row r="96" ht="14.25" hidden="1" customHeight="1">
      <c r="A96" s="92"/>
      <c r="B96" s="60"/>
      <c r="C96" s="66"/>
      <c r="D96" s="55"/>
      <c r="F96" s="92"/>
      <c r="G96" s="66"/>
      <c r="H96" s="77">
        <v>5.0</v>
      </c>
      <c r="I96" s="79" t="s">
        <v>201</v>
      </c>
      <c r="J96" s="60"/>
      <c r="K96" s="60"/>
      <c r="L96" s="60"/>
      <c r="M96" s="60"/>
      <c r="N96" s="60"/>
      <c r="O96" s="69"/>
      <c r="P96" s="69"/>
    </row>
    <row r="97" ht="14.25" hidden="1" customHeight="1">
      <c r="A97" s="92"/>
      <c r="B97" s="60"/>
      <c r="C97" s="66"/>
      <c r="D97" s="55"/>
      <c r="F97" s="92"/>
      <c r="G97" s="66"/>
      <c r="H97" s="180" t="s">
        <v>202</v>
      </c>
      <c r="I97" s="189" t="s">
        <v>203</v>
      </c>
      <c r="J97" s="60"/>
      <c r="K97" s="60"/>
      <c r="L97" s="60"/>
      <c r="M97" s="60"/>
      <c r="N97" s="60"/>
      <c r="O97" s="69"/>
      <c r="P97" s="69"/>
    </row>
    <row r="98" ht="14.25" hidden="1" customHeight="1">
      <c r="A98" s="92"/>
      <c r="B98" s="60"/>
      <c r="C98" s="66"/>
      <c r="D98" s="55"/>
      <c r="F98" s="92"/>
      <c r="G98" s="66"/>
      <c r="H98" s="83">
        <v>12.0</v>
      </c>
      <c r="I98" s="89" t="s">
        <v>204</v>
      </c>
      <c r="J98" s="60"/>
      <c r="K98" s="60"/>
      <c r="L98" s="60"/>
      <c r="M98" s="60"/>
      <c r="N98" s="60"/>
      <c r="O98" s="69"/>
      <c r="P98" s="69"/>
    </row>
    <row r="99" ht="14.25" hidden="1" customHeight="1">
      <c r="A99" s="92"/>
      <c r="B99" s="60"/>
      <c r="C99" s="66"/>
      <c r="D99" s="55"/>
      <c r="F99" s="92"/>
      <c r="G99" s="66"/>
      <c r="H99" s="57"/>
      <c r="I99" s="96"/>
      <c r="J99" s="60"/>
      <c r="K99" s="60"/>
      <c r="L99" s="60"/>
      <c r="M99" s="60"/>
      <c r="N99" s="60"/>
      <c r="O99" s="69"/>
      <c r="P99" s="69"/>
    </row>
    <row r="100" ht="14.25" hidden="1" customHeight="1">
      <c r="A100" s="92"/>
      <c r="B100" s="60"/>
      <c r="C100" s="66"/>
      <c r="D100" s="55"/>
      <c r="F100" s="92"/>
      <c r="G100" s="66"/>
      <c r="H100" s="77">
        <v>6.0</v>
      </c>
      <c r="I100" s="79" t="s">
        <v>205</v>
      </c>
      <c r="J100" s="60"/>
      <c r="K100" s="60"/>
      <c r="L100" s="60"/>
      <c r="M100" s="60"/>
      <c r="N100" s="60"/>
      <c r="O100" s="69"/>
      <c r="P100" s="69"/>
    </row>
    <row r="101" ht="14.25" hidden="1" customHeight="1">
      <c r="A101" s="92"/>
      <c r="B101" s="60"/>
      <c r="C101" s="66"/>
      <c r="D101" s="55"/>
      <c r="F101" s="92"/>
      <c r="G101" s="66"/>
      <c r="H101" s="180" t="s">
        <v>206</v>
      </c>
      <c r="I101" s="189" t="s">
        <v>207</v>
      </c>
      <c r="J101" s="60"/>
      <c r="K101" s="60"/>
      <c r="L101" s="60"/>
      <c r="M101" s="60"/>
      <c r="N101" s="60"/>
      <c r="O101" s="69"/>
      <c r="P101" s="69"/>
    </row>
    <row r="102" ht="14.25" hidden="1" customHeight="1">
      <c r="A102" s="92"/>
      <c r="B102" s="60"/>
      <c r="C102" s="66"/>
      <c r="D102" s="55"/>
      <c r="F102" s="92"/>
      <c r="G102" s="66"/>
      <c r="H102" s="87">
        <v>11.0</v>
      </c>
      <c r="I102" s="89" t="s">
        <v>208</v>
      </c>
      <c r="J102" s="60"/>
      <c r="K102" s="60"/>
      <c r="L102" s="60"/>
      <c r="M102" s="60"/>
      <c r="N102" s="60"/>
      <c r="O102" s="69"/>
      <c r="P102" s="69"/>
    </row>
    <row r="103" ht="14.25" hidden="1" customHeight="1">
      <c r="A103" s="92"/>
      <c r="B103" s="60"/>
      <c r="C103" s="66"/>
      <c r="D103" s="55"/>
      <c r="F103" s="92"/>
      <c r="G103" s="66"/>
      <c r="H103" s="57"/>
      <c r="I103" s="96"/>
      <c r="J103" s="60"/>
      <c r="K103" s="60"/>
      <c r="L103" s="60"/>
      <c r="M103" s="60"/>
      <c r="N103" s="60"/>
      <c r="O103" s="69"/>
      <c r="P103" s="69"/>
    </row>
    <row r="104" ht="14.25" hidden="1" customHeight="1">
      <c r="A104" s="92"/>
      <c r="B104" s="60"/>
      <c r="C104" s="66"/>
      <c r="D104" s="55"/>
      <c r="F104" s="92"/>
      <c r="G104" s="66"/>
      <c r="H104" s="77">
        <v>7.0</v>
      </c>
      <c r="I104" s="79" t="s">
        <v>209</v>
      </c>
      <c r="J104" s="60"/>
      <c r="K104" s="60"/>
      <c r="L104" s="60"/>
      <c r="M104" s="60"/>
      <c r="N104" s="60"/>
      <c r="O104" s="69"/>
      <c r="P104" s="69"/>
    </row>
    <row r="105" ht="14.25" hidden="1" customHeight="1">
      <c r="A105" s="92"/>
      <c r="B105" s="60"/>
      <c r="C105" s="66"/>
      <c r="D105" s="55"/>
      <c r="F105" s="92"/>
      <c r="G105" s="66"/>
      <c r="H105" s="180" t="s">
        <v>210</v>
      </c>
      <c r="I105" s="189" t="s">
        <v>211</v>
      </c>
      <c r="J105" s="60"/>
      <c r="K105" s="60"/>
      <c r="L105" s="60"/>
      <c r="M105" s="60"/>
      <c r="N105" s="60"/>
      <c r="O105" s="69"/>
      <c r="P105" s="69"/>
    </row>
    <row r="106" ht="14.25" hidden="1" customHeight="1">
      <c r="A106" s="92"/>
      <c r="B106" s="60"/>
      <c r="C106" s="66"/>
      <c r="D106" s="55"/>
      <c r="F106" s="92"/>
      <c r="G106" s="66"/>
      <c r="H106" s="87">
        <v>10.0</v>
      </c>
      <c r="I106" s="89" t="s">
        <v>212</v>
      </c>
      <c r="J106" s="60"/>
      <c r="K106" s="60"/>
      <c r="L106" s="60"/>
      <c r="M106" s="60"/>
      <c r="N106" s="60"/>
      <c r="O106" s="69"/>
      <c r="P106" s="69"/>
    </row>
    <row r="107" ht="14.25" hidden="1" customHeight="1">
      <c r="A107" s="92"/>
      <c r="B107" s="60"/>
      <c r="C107" s="66"/>
      <c r="D107" s="55"/>
      <c r="F107" s="92"/>
      <c r="G107" s="66"/>
      <c r="H107" s="57"/>
      <c r="I107" s="96"/>
      <c r="J107" s="60"/>
      <c r="K107" s="60"/>
      <c r="L107" s="60"/>
      <c r="M107" s="60"/>
      <c r="N107" s="60"/>
      <c r="O107" s="69"/>
      <c r="P107" s="69"/>
    </row>
    <row r="108" ht="14.25" hidden="1" customHeight="1">
      <c r="A108" s="92"/>
      <c r="B108" s="60"/>
      <c r="C108" s="66"/>
      <c r="D108" s="55"/>
      <c r="F108" s="92"/>
      <c r="G108" s="66"/>
      <c r="H108" s="77">
        <v>8.0</v>
      </c>
      <c r="I108" s="79" t="s">
        <v>213</v>
      </c>
      <c r="J108" s="60"/>
      <c r="K108" s="60"/>
      <c r="L108" s="60"/>
      <c r="M108" s="60"/>
      <c r="N108" s="60"/>
      <c r="O108" s="69"/>
      <c r="P108" s="69"/>
    </row>
    <row r="109" ht="14.25" hidden="1" customHeight="1">
      <c r="A109" s="92"/>
      <c r="B109" s="60"/>
      <c r="C109" s="66"/>
      <c r="D109" s="55"/>
      <c r="F109" s="92"/>
      <c r="G109" s="66"/>
      <c r="H109" s="180" t="s">
        <v>214</v>
      </c>
      <c r="I109" s="189" t="s">
        <v>215</v>
      </c>
      <c r="J109" s="60"/>
      <c r="K109" s="60"/>
      <c r="L109" s="60"/>
      <c r="M109" s="60"/>
      <c r="N109" s="60"/>
      <c r="O109" s="69"/>
      <c r="P109" s="69"/>
    </row>
    <row r="110" ht="14.25" hidden="1" customHeight="1">
      <c r="A110" s="92"/>
      <c r="B110" s="60"/>
      <c r="C110" s="66"/>
      <c r="D110" s="55"/>
      <c r="F110" s="92"/>
      <c r="G110" s="66"/>
      <c r="H110" s="87">
        <v>9.0</v>
      </c>
      <c r="I110" s="89" t="s">
        <v>216</v>
      </c>
      <c r="J110" s="60"/>
      <c r="K110" s="60"/>
      <c r="L110" s="60"/>
      <c r="M110" s="60"/>
      <c r="N110" s="60"/>
      <c r="O110" s="69"/>
      <c r="P110" s="69"/>
    </row>
    <row r="111" ht="14.25" hidden="1" customHeight="1">
      <c r="A111" s="92"/>
      <c r="B111" s="60"/>
      <c r="C111" s="66"/>
      <c r="D111" s="190"/>
      <c r="E111" s="97"/>
      <c r="F111" s="97"/>
      <c r="G111" s="97"/>
      <c r="H111" s="97"/>
      <c r="I111" s="97"/>
      <c r="J111" s="97"/>
      <c r="K111" s="97"/>
      <c r="L111" s="97"/>
      <c r="M111" s="97"/>
      <c r="N111" s="97"/>
      <c r="O111" s="100"/>
      <c r="P111" s="69"/>
    </row>
    <row r="112" ht="14.25" hidden="1" customHeight="1">
      <c r="A112" s="92"/>
      <c r="B112" s="60"/>
      <c r="C112" s="66"/>
      <c r="D112" s="166" t="s">
        <v>217</v>
      </c>
      <c r="E112" s="97"/>
      <c r="F112" s="100"/>
      <c r="G112" s="98" t="s">
        <v>218</v>
      </c>
      <c r="H112" s="98" t="s">
        <v>49</v>
      </c>
      <c r="I112" s="148" t="s">
        <v>219</v>
      </c>
      <c r="J112" s="148" t="s">
        <v>220</v>
      </c>
      <c r="K112" s="148" t="s">
        <v>221</v>
      </c>
      <c r="L112" s="148" t="s">
        <v>222</v>
      </c>
      <c r="M112" s="52"/>
      <c r="N112" s="8"/>
      <c r="O112" s="68"/>
      <c r="P112" s="163"/>
    </row>
    <row r="113" ht="14.25" hidden="1" customHeight="1">
      <c r="A113" s="92"/>
      <c r="B113" s="60"/>
      <c r="C113" s="66"/>
      <c r="D113" s="169" t="s">
        <v>114</v>
      </c>
      <c r="E113" s="170" t="s">
        <v>115</v>
      </c>
      <c r="F113" s="171" t="s">
        <v>116</v>
      </c>
      <c r="G113" s="66"/>
      <c r="H113" s="66"/>
      <c r="I113" s="163" t="s">
        <v>223</v>
      </c>
      <c r="J113" s="163" t="s">
        <v>224</v>
      </c>
      <c r="K113" s="163" t="s">
        <v>225</v>
      </c>
      <c r="L113" s="163" t="s">
        <v>226</v>
      </c>
      <c r="O113" s="92"/>
      <c r="P113" s="163"/>
    </row>
    <row r="114" ht="14.25" hidden="1" customHeight="1">
      <c r="A114" s="92"/>
      <c r="B114" s="60"/>
      <c r="C114" s="66"/>
      <c r="D114" s="51">
        <v>1.0</v>
      </c>
      <c r="E114" s="179"/>
      <c r="F114" s="65">
        <v>1.0</v>
      </c>
      <c r="G114" s="66"/>
      <c r="H114" s="66"/>
      <c r="I114" s="163" t="s">
        <v>227</v>
      </c>
      <c r="J114" s="163" t="s">
        <v>228</v>
      </c>
      <c r="K114" s="163" t="s">
        <v>229</v>
      </c>
      <c r="L114" s="163" t="s">
        <v>230</v>
      </c>
      <c r="O114" s="92"/>
      <c r="P114" s="163"/>
    </row>
    <row r="115" ht="14.25" hidden="1" customHeight="1">
      <c r="A115" s="92"/>
      <c r="B115" s="60"/>
      <c r="C115" s="66"/>
      <c r="D115" s="56">
        <v>2.0</v>
      </c>
      <c r="E115" s="184"/>
      <c r="F115" s="69">
        <v>1.0</v>
      </c>
      <c r="G115" s="66"/>
      <c r="H115" s="66"/>
      <c r="I115" s="163" t="s">
        <v>231</v>
      </c>
      <c r="J115" s="163" t="s">
        <v>232</v>
      </c>
      <c r="K115" s="163" t="s">
        <v>233</v>
      </c>
      <c r="L115" s="163" t="s">
        <v>234</v>
      </c>
      <c r="O115" s="92"/>
      <c r="P115" s="163"/>
    </row>
    <row r="116" ht="14.25" hidden="1" customHeight="1">
      <c r="A116" s="92"/>
      <c r="B116" s="60"/>
      <c r="C116" s="66"/>
      <c r="D116" s="56">
        <v>3.0</v>
      </c>
      <c r="E116" s="184"/>
      <c r="F116" s="69">
        <v>1.0</v>
      </c>
      <c r="G116" s="66"/>
      <c r="H116" s="66"/>
      <c r="I116" s="163" t="s">
        <v>235</v>
      </c>
      <c r="J116" s="163" t="s">
        <v>236</v>
      </c>
      <c r="K116" s="163"/>
      <c r="L116" s="163"/>
      <c r="O116" s="92"/>
      <c r="P116" s="163"/>
    </row>
    <row r="117" ht="14.25" hidden="1" customHeight="1">
      <c r="A117" s="92"/>
      <c r="B117" s="60"/>
      <c r="C117" s="66"/>
      <c r="D117" s="62">
        <v>4.0</v>
      </c>
      <c r="E117" s="185"/>
      <c r="F117" s="95">
        <v>1.0</v>
      </c>
      <c r="G117" s="66"/>
      <c r="H117" s="94"/>
      <c r="I117" s="128"/>
      <c r="J117" s="128"/>
      <c r="K117" s="128"/>
      <c r="L117" s="128"/>
      <c r="M117" s="22"/>
      <c r="N117" s="22"/>
      <c r="O117" s="93"/>
      <c r="P117" s="163"/>
    </row>
    <row r="118" ht="14.25" hidden="1" customHeight="1">
      <c r="A118" s="92"/>
      <c r="B118" s="60"/>
      <c r="C118" s="66"/>
      <c r="D118" s="56">
        <v>5.0</v>
      </c>
      <c r="E118" s="184"/>
      <c r="F118" s="69">
        <v>2.0</v>
      </c>
      <c r="G118" s="66"/>
      <c r="H118" s="191"/>
      <c r="I118" s="97"/>
      <c r="J118" s="97"/>
      <c r="K118" s="97"/>
      <c r="L118" s="97"/>
      <c r="M118" s="97"/>
      <c r="N118" s="97"/>
      <c r="O118" s="100"/>
      <c r="P118" s="163"/>
    </row>
    <row r="119" ht="14.25" hidden="1" customHeight="1">
      <c r="A119" s="92"/>
      <c r="B119" s="60"/>
      <c r="C119" s="66"/>
      <c r="D119" s="56">
        <v>6.0</v>
      </c>
      <c r="E119" s="184"/>
      <c r="F119" s="69">
        <v>2.0</v>
      </c>
      <c r="G119" s="66"/>
      <c r="H119" s="99" t="s">
        <v>237</v>
      </c>
      <c r="I119" s="97"/>
      <c r="J119" s="97"/>
      <c r="K119" s="97"/>
      <c r="L119" s="97"/>
      <c r="M119" s="97"/>
      <c r="N119" s="97"/>
      <c r="O119" s="100"/>
      <c r="P119" s="163"/>
    </row>
    <row r="120" ht="14.25" hidden="1" customHeight="1">
      <c r="A120" s="92"/>
      <c r="B120" s="60"/>
      <c r="C120" s="66"/>
      <c r="D120" s="56">
        <v>7.0</v>
      </c>
      <c r="E120" s="184"/>
      <c r="F120" s="69">
        <v>2.0</v>
      </c>
      <c r="G120" s="66"/>
      <c r="H120" s="60"/>
      <c r="I120" s="60"/>
      <c r="J120" s="60"/>
      <c r="K120" s="60"/>
      <c r="L120" s="60"/>
      <c r="M120" s="60"/>
      <c r="N120" s="60"/>
      <c r="O120" s="69"/>
      <c r="P120" s="163"/>
    </row>
    <row r="121" ht="14.25" hidden="1" customHeight="1">
      <c r="A121" s="92"/>
      <c r="B121" s="60"/>
      <c r="C121" s="66"/>
      <c r="D121" s="62">
        <v>8.0</v>
      </c>
      <c r="E121" s="185"/>
      <c r="F121" s="95">
        <v>2.0</v>
      </c>
      <c r="G121" s="66"/>
      <c r="H121" s="60"/>
      <c r="I121" s="60"/>
      <c r="J121" s="64">
        <v>1.0</v>
      </c>
      <c r="K121" s="60"/>
      <c r="L121" s="60"/>
      <c r="M121" s="60"/>
      <c r="N121" s="60"/>
      <c r="O121" s="69"/>
      <c r="P121" s="163"/>
    </row>
    <row r="122" ht="14.25" hidden="1" customHeight="1">
      <c r="A122" s="92"/>
      <c r="B122" s="60"/>
      <c r="C122" s="66"/>
      <c r="D122" s="192"/>
      <c r="E122" s="8"/>
      <c r="F122" s="68"/>
      <c r="G122" s="66"/>
      <c r="H122" s="60"/>
      <c r="I122" s="60"/>
      <c r="J122" s="163" t="s">
        <v>231</v>
      </c>
      <c r="K122" s="60"/>
      <c r="L122" s="60"/>
      <c r="M122" s="60"/>
      <c r="N122" s="60"/>
      <c r="O122" s="69"/>
      <c r="P122" s="163"/>
    </row>
    <row r="123" ht="14.25" hidden="1" customHeight="1">
      <c r="A123" s="92"/>
      <c r="B123" s="60"/>
      <c r="C123" s="66"/>
      <c r="D123" s="55"/>
      <c r="F123" s="92"/>
      <c r="G123" s="66"/>
      <c r="H123" s="60"/>
      <c r="I123" s="60"/>
      <c r="J123" s="128">
        <v>4.0</v>
      </c>
      <c r="K123" s="60"/>
      <c r="L123" s="64" t="s">
        <v>171</v>
      </c>
      <c r="M123" s="60"/>
      <c r="N123" s="60"/>
      <c r="O123" s="69"/>
      <c r="P123" s="163"/>
    </row>
    <row r="124" ht="14.25" hidden="1" customHeight="1">
      <c r="A124" s="92"/>
      <c r="B124" s="60"/>
      <c r="C124" s="66"/>
      <c r="D124" s="55"/>
      <c r="F124" s="92"/>
      <c r="G124" s="66"/>
      <c r="H124" s="60"/>
      <c r="I124" s="60"/>
      <c r="J124" s="60"/>
      <c r="K124" s="60"/>
      <c r="L124" s="152" t="s">
        <v>228</v>
      </c>
      <c r="M124" s="193" t="s">
        <v>185</v>
      </c>
      <c r="N124" s="60"/>
      <c r="O124" s="69"/>
      <c r="P124" s="163"/>
    </row>
    <row r="125" ht="14.25" hidden="1" customHeight="1">
      <c r="A125" s="92"/>
      <c r="B125" s="60"/>
      <c r="C125" s="66"/>
      <c r="D125" s="55"/>
      <c r="F125" s="92"/>
      <c r="G125" s="66"/>
      <c r="H125" s="60"/>
      <c r="I125" s="60"/>
      <c r="J125" s="64">
        <v>2.0</v>
      </c>
      <c r="K125" s="60"/>
      <c r="L125" s="128" t="s">
        <v>191</v>
      </c>
      <c r="M125" s="60"/>
      <c r="N125" s="60"/>
      <c r="O125" s="69"/>
      <c r="P125" s="69"/>
    </row>
    <row r="126" ht="14.25" hidden="1" customHeight="1">
      <c r="A126" s="92"/>
      <c r="B126" s="60"/>
      <c r="C126" s="66"/>
      <c r="D126" s="55"/>
      <c r="F126" s="92"/>
      <c r="G126" s="66"/>
      <c r="H126" s="60"/>
      <c r="I126" s="60"/>
      <c r="J126" s="163" t="s">
        <v>235</v>
      </c>
      <c r="K126" s="60"/>
      <c r="L126" s="60"/>
      <c r="M126" s="60"/>
      <c r="N126" s="60"/>
      <c r="O126" s="69"/>
      <c r="P126" s="163"/>
    </row>
    <row r="127" ht="14.25" hidden="1" customHeight="1">
      <c r="A127" s="92"/>
      <c r="B127" s="60"/>
      <c r="C127" s="66"/>
      <c r="D127" s="55"/>
      <c r="F127" s="92"/>
      <c r="G127" s="66"/>
      <c r="H127" s="60"/>
      <c r="I127" s="60"/>
      <c r="J127" s="128">
        <v>3.0</v>
      </c>
      <c r="K127" s="60"/>
      <c r="L127" s="60"/>
      <c r="M127" s="60"/>
      <c r="N127" s="60"/>
      <c r="O127" s="69"/>
      <c r="P127" s="163"/>
    </row>
    <row r="128" ht="14.25" hidden="1" customHeight="1">
      <c r="A128" s="92"/>
      <c r="B128" s="60"/>
      <c r="C128" s="66"/>
      <c r="D128" s="55"/>
      <c r="F128" s="92"/>
      <c r="G128" s="66"/>
      <c r="H128" s="60"/>
      <c r="I128" s="60"/>
      <c r="J128" s="60"/>
      <c r="K128" s="60"/>
      <c r="L128" s="60"/>
      <c r="M128" s="60"/>
      <c r="N128" s="60"/>
      <c r="O128" s="69"/>
      <c r="P128" s="163"/>
    </row>
    <row r="129" ht="14.25" hidden="1" customHeight="1">
      <c r="A129" s="92"/>
      <c r="B129" s="60"/>
      <c r="C129" s="66"/>
      <c r="D129" s="55"/>
      <c r="F129" s="92"/>
      <c r="G129" s="66"/>
      <c r="H129" s="166" t="s">
        <v>238</v>
      </c>
      <c r="I129" s="97"/>
      <c r="J129" s="97"/>
      <c r="K129" s="97"/>
      <c r="L129" s="97"/>
      <c r="M129" s="97"/>
      <c r="N129" s="97"/>
      <c r="O129" s="100"/>
      <c r="P129" s="163"/>
    </row>
    <row r="130" ht="14.25" hidden="1" customHeight="1">
      <c r="A130" s="92"/>
      <c r="B130" s="60"/>
      <c r="C130" s="66"/>
      <c r="D130" s="55"/>
      <c r="F130" s="92"/>
      <c r="G130" s="66"/>
      <c r="H130" s="64">
        <v>5.0</v>
      </c>
      <c r="I130" s="60"/>
      <c r="J130" s="64" t="s">
        <v>209</v>
      </c>
      <c r="K130" s="60"/>
      <c r="L130" s="60"/>
      <c r="M130" s="60"/>
      <c r="N130" s="60"/>
      <c r="O130" s="69"/>
      <c r="P130" s="163"/>
    </row>
    <row r="131" ht="14.25" hidden="1" customHeight="1">
      <c r="A131" s="92"/>
      <c r="B131" s="60"/>
      <c r="C131" s="66"/>
      <c r="D131" s="55"/>
      <c r="F131" s="92"/>
      <c r="G131" s="66"/>
      <c r="H131" s="163" t="s">
        <v>223</v>
      </c>
      <c r="I131" s="60"/>
      <c r="J131" s="163" t="s">
        <v>232</v>
      </c>
      <c r="K131" s="60"/>
      <c r="L131" s="60"/>
      <c r="M131" s="60"/>
      <c r="N131" s="60"/>
      <c r="O131" s="69"/>
      <c r="P131" s="163"/>
    </row>
    <row r="132" ht="14.25" hidden="1" customHeight="1">
      <c r="A132" s="92"/>
      <c r="B132" s="60"/>
      <c r="C132" s="66"/>
      <c r="D132" s="55"/>
      <c r="F132" s="92"/>
      <c r="G132" s="66"/>
      <c r="H132" s="128">
        <v>8.0</v>
      </c>
      <c r="I132" s="60"/>
      <c r="J132" s="128" t="s">
        <v>128</v>
      </c>
      <c r="K132" s="60"/>
      <c r="L132" s="64" t="s">
        <v>165</v>
      </c>
      <c r="M132" s="60"/>
      <c r="N132" s="64" t="s">
        <v>212</v>
      </c>
      <c r="O132" s="69"/>
      <c r="P132" s="163"/>
    </row>
    <row r="133" ht="14.25" hidden="1" customHeight="1">
      <c r="A133" s="92"/>
      <c r="B133" s="60"/>
      <c r="C133" s="66"/>
      <c r="D133" s="55"/>
      <c r="F133" s="92"/>
      <c r="G133" s="66"/>
      <c r="H133" s="60"/>
      <c r="I133" s="60"/>
      <c r="J133" s="60"/>
      <c r="K133" s="60"/>
      <c r="L133" s="163" t="s">
        <v>225</v>
      </c>
      <c r="M133" s="60"/>
      <c r="N133" s="152" t="s">
        <v>226</v>
      </c>
      <c r="O133" s="193" t="s">
        <v>145</v>
      </c>
      <c r="P133" s="163"/>
    </row>
    <row r="134" ht="14.25" hidden="1" customHeight="1">
      <c r="A134" s="92"/>
      <c r="B134" s="60"/>
      <c r="C134" s="66"/>
      <c r="D134" s="55"/>
      <c r="F134" s="92"/>
      <c r="G134" s="66"/>
      <c r="H134" s="64">
        <v>6.0</v>
      </c>
      <c r="I134" s="60"/>
      <c r="J134" s="64" t="s">
        <v>213</v>
      </c>
      <c r="K134" s="60"/>
      <c r="L134" s="128" t="s">
        <v>143</v>
      </c>
      <c r="M134" s="60"/>
      <c r="N134" s="128" t="s">
        <v>130</v>
      </c>
      <c r="O134" s="69"/>
      <c r="P134" s="163"/>
    </row>
    <row r="135" ht="14.25" hidden="1" customHeight="1">
      <c r="A135" s="92"/>
      <c r="B135" s="60"/>
      <c r="C135" s="66"/>
      <c r="D135" s="55"/>
      <c r="F135" s="92"/>
      <c r="G135" s="66"/>
      <c r="H135" s="163" t="s">
        <v>227</v>
      </c>
      <c r="I135" s="60"/>
      <c r="J135" s="163" t="s">
        <v>236</v>
      </c>
      <c r="K135" s="60"/>
      <c r="L135" s="60"/>
      <c r="M135" s="60"/>
      <c r="N135" s="60"/>
      <c r="O135" s="69"/>
      <c r="P135" s="163"/>
    </row>
    <row r="136" ht="14.25" hidden="1" customHeight="1">
      <c r="A136" s="92"/>
      <c r="B136" s="60"/>
      <c r="C136" s="66"/>
      <c r="D136" s="55"/>
      <c r="F136" s="92"/>
      <c r="G136" s="66"/>
      <c r="H136" s="128">
        <v>7.0</v>
      </c>
      <c r="I136" s="60"/>
      <c r="J136" s="128" t="s">
        <v>150</v>
      </c>
      <c r="K136" s="60"/>
      <c r="L136" s="60"/>
      <c r="M136" s="60"/>
      <c r="N136" s="60"/>
      <c r="O136" s="69"/>
      <c r="P136" s="163"/>
    </row>
    <row r="137" ht="14.25" hidden="1" customHeight="1">
      <c r="A137" s="92"/>
      <c r="B137" s="60"/>
      <c r="C137" s="66"/>
      <c r="D137" s="55"/>
      <c r="F137" s="92"/>
      <c r="G137" s="66"/>
      <c r="H137" s="60"/>
      <c r="I137" s="60"/>
      <c r="J137" s="60"/>
      <c r="K137" s="60"/>
      <c r="L137" s="60"/>
      <c r="M137" s="60"/>
      <c r="N137" s="60"/>
      <c r="O137" s="69"/>
      <c r="P137" s="163"/>
    </row>
    <row r="138" ht="14.25" hidden="1" customHeight="1">
      <c r="A138" s="92"/>
      <c r="B138" s="60"/>
      <c r="C138" s="66"/>
      <c r="D138" s="55"/>
      <c r="F138" s="92"/>
      <c r="G138" s="66"/>
      <c r="H138" s="194"/>
      <c r="I138" s="194"/>
      <c r="J138" s="194"/>
      <c r="K138" s="194"/>
      <c r="L138" s="194"/>
      <c r="M138" s="194"/>
      <c r="N138" s="194"/>
      <c r="O138" s="195"/>
      <c r="P138" s="163"/>
    </row>
    <row r="139" ht="14.25" hidden="1" customHeight="1">
      <c r="A139" s="92"/>
      <c r="B139" s="60"/>
      <c r="C139" s="66"/>
      <c r="D139" s="55"/>
      <c r="F139" s="92"/>
      <c r="G139" s="66"/>
      <c r="H139" s="99" t="s">
        <v>239</v>
      </c>
      <c r="I139" s="97"/>
      <c r="J139" s="97"/>
      <c r="K139" s="97"/>
      <c r="L139" s="97"/>
      <c r="M139" s="97"/>
      <c r="N139" s="97"/>
      <c r="O139" s="100"/>
      <c r="P139" s="163"/>
    </row>
    <row r="140" ht="14.25" hidden="1" customHeight="1">
      <c r="A140" s="92"/>
      <c r="B140" s="60"/>
      <c r="C140" s="66"/>
      <c r="D140" s="55"/>
      <c r="F140" s="92"/>
      <c r="G140" s="66"/>
      <c r="H140" s="60"/>
      <c r="I140" s="60"/>
      <c r="J140" s="64" t="s">
        <v>208</v>
      </c>
      <c r="K140" s="60"/>
      <c r="L140" s="60"/>
      <c r="M140" s="60"/>
      <c r="N140" s="60"/>
      <c r="O140" s="69"/>
      <c r="P140" s="163"/>
    </row>
    <row r="141" ht="14.25" hidden="1" customHeight="1">
      <c r="A141" s="92"/>
      <c r="B141" s="60"/>
      <c r="C141" s="66"/>
      <c r="D141" s="55"/>
      <c r="F141" s="92"/>
      <c r="G141" s="66"/>
      <c r="H141" s="60"/>
      <c r="I141" s="60"/>
      <c r="J141" s="163" t="s">
        <v>229</v>
      </c>
      <c r="K141" s="60"/>
      <c r="L141" s="60"/>
      <c r="M141" s="60"/>
      <c r="N141" s="60"/>
      <c r="O141" s="69"/>
      <c r="P141" s="163"/>
    </row>
    <row r="142" ht="14.25" hidden="1" customHeight="1">
      <c r="A142" s="92"/>
      <c r="B142" s="60"/>
      <c r="C142" s="66"/>
      <c r="D142" s="55"/>
      <c r="F142" s="92"/>
      <c r="G142" s="66"/>
      <c r="H142" s="60"/>
      <c r="I142" s="60"/>
      <c r="J142" s="128" t="s">
        <v>204</v>
      </c>
      <c r="K142" s="60"/>
      <c r="L142" s="64" t="s">
        <v>152</v>
      </c>
      <c r="M142" s="60"/>
      <c r="N142" s="64" t="s">
        <v>192</v>
      </c>
      <c r="O142" s="69"/>
      <c r="P142" s="163"/>
    </row>
    <row r="143" ht="14.25" hidden="1" customHeight="1">
      <c r="A143" s="92"/>
      <c r="B143" s="60"/>
      <c r="C143" s="66"/>
      <c r="D143" s="55"/>
      <c r="F143" s="92"/>
      <c r="G143" s="66"/>
      <c r="H143" s="60"/>
      <c r="I143" s="60"/>
      <c r="J143" s="60"/>
      <c r="K143" s="60"/>
      <c r="L143" s="163" t="s">
        <v>230</v>
      </c>
      <c r="M143" s="60"/>
      <c r="N143" s="152" t="s">
        <v>234</v>
      </c>
      <c r="O143" s="193" t="s">
        <v>240</v>
      </c>
      <c r="P143" s="163"/>
    </row>
    <row r="144" ht="14.25" hidden="1" customHeight="1">
      <c r="A144" s="92"/>
      <c r="B144" s="60"/>
      <c r="C144" s="66"/>
      <c r="D144" s="55"/>
      <c r="F144" s="92"/>
      <c r="G144" s="66"/>
      <c r="H144" s="64" t="s">
        <v>201</v>
      </c>
      <c r="I144" s="60"/>
      <c r="J144" s="64" t="s">
        <v>129</v>
      </c>
      <c r="K144" s="60"/>
      <c r="L144" s="128" t="s">
        <v>167</v>
      </c>
      <c r="M144" s="60"/>
      <c r="N144" s="128" t="s">
        <v>241</v>
      </c>
      <c r="O144" s="69"/>
      <c r="P144" s="163"/>
    </row>
    <row r="145" ht="14.25" hidden="1" customHeight="1">
      <c r="A145" s="92"/>
      <c r="B145" s="60"/>
      <c r="C145" s="66"/>
      <c r="D145" s="55"/>
      <c r="F145" s="92"/>
      <c r="G145" s="66"/>
      <c r="H145" s="163" t="s">
        <v>224</v>
      </c>
      <c r="I145" s="60"/>
      <c r="J145" s="163" t="s">
        <v>233</v>
      </c>
      <c r="K145" s="60"/>
      <c r="L145" s="60"/>
      <c r="M145" s="60"/>
      <c r="N145" s="60"/>
      <c r="O145" s="69"/>
      <c r="P145" s="163"/>
    </row>
    <row r="146" ht="14.25" hidden="1" customHeight="1">
      <c r="A146" s="92"/>
      <c r="B146" s="60"/>
      <c r="C146" s="66"/>
      <c r="D146" s="55"/>
      <c r="F146" s="92"/>
      <c r="G146" s="66"/>
      <c r="H146" s="128" t="s">
        <v>205</v>
      </c>
      <c r="I146" s="60"/>
      <c r="J146" s="128" t="s">
        <v>198</v>
      </c>
      <c r="K146" s="60"/>
      <c r="L146" s="60"/>
      <c r="M146" s="60"/>
      <c r="N146" s="60"/>
      <c r="O146" s="69"/>
      <c r="P146" s="163"/>
    </row>
    <row r="147" ht="14.25" hidden="1" customHeight="1">
      <c r="A147" s="92"/>
      <c r="B147" s="60"/>
      <c r="C147" s="94"/>
      <c r="D147" s="61"/>
      <c r="E147" s="22"/>
      <c r="F147" s="93"/>
      <c r="G147" s="94"/>
      <c r="H147" s="63"/>
      <c r="I147" s="63"/>
      <c r="J147" s="63"/>
      <c r="K147" s="63"/>
      <c r="L147" s="63"/>
      <c r="M147" s="63"/>
      <c r="N147" s="63"/>
      <c r="O147" s="95"/>
      <c r="P147" s="163"/>
    </row>
    <row r="148" ht="14.25" hidden="1" customHeight="1">
      <c r="A148" s="92"/>
      <c r="B148" s="60"/>
      <c r="C148" s="60"/>
      <c r="D148" s="60"/>
      <c r="E148" s="60"/>
      <c r="F148" s="60"/>
      <c r="G148" s="60"/>
      <c r="H148" s="60"/>
      <c r="I148" s="60"/>
      <c r="J148" s="60"/>
      <c r="K148" s="60"/>
      <c r="L148" s="60"/>
      <c r="M148" s="60"/>
      <c r="N148" s="60"/>
      <c r="O148" s="60"/>
      <c r="P148" s="69"/>
    </row>
    <row r="149" ht="14.25" hidden="1" customHeight="1">
      <c r="A149" s="92"/>
      <c r="B149" s="60"/>
      <c r="C149" s="60"/>
      <c r="D149" s="60"/>
      <c r="E149" s="60"/>
      <c r="F149" s="60"/>
      <c r="G149" s="60"/>
      <c r="H149" s="60"/>
      <c r="I149" s="60"/>
      <c r="J149" s="60"/>
      <c r="K149" s="60"/>
      <c r="L149" s="60"/>
      <c r="M149" s="60"/>
      <c r="N149" s="60"/>
      <c r="O149" s="60"/>
      <c r="P149" s="69"/>
    </row>
    <row r="150" ht="18.0" hidden="1" customHeight="1">
      <c r="A150" s="92"/>
      <c r="B150" s="60"/>
      <c r="C150" s="196" t="s">
        <v>242</v>
      </c>
      <c r="D150" s="197" t="s">
        <v>243</v>
      </c>
      <c r="E150" s="64" t="s">
        <v>68</v>
      </c>
      <c r="F150" s="52"/>
      <c r="G150" s="52"/>
      <c r="H150" s="52"/>
      <c r="I150" s="52"/>
      <c r="J150" s="52"/>
      <c r="K150" s="52"/>
      <c r="L150" s="52"/>
      <c r="M150" s="98" t="s">
        <v>244</v>
      </c>
      <c r="N150" s="77" t="s">
        <v>103</v>
      </c>
      <c r="O150" s="79" t="s">
        <v>104</v>
      </c>
      <c r="P150" s="69"/>
    </row>
    <row r="151" ht="39.0" hidden="1" customHeight="1">
      <c r="A151" s="92"/>
      <c r="B151" s="60"/>
      <c r="C151" s="66"/>
      <c r="D151" s="198" t="s">
        <v>245</v>
      </c>
      <c r="E151" s="66"/>
      <c r="F151" s="60"/>
      <c r="G151" s="148" t="s">
        <v>246</v>
      </c>
      <c r="H151" s="60"/>
      <c r="I151" s="60"/>
      <c r="J151" s="60"/>
      <c r="K151" s="60"/>
      <c r="L151" s="60"/>
      <c r="M151" s="66"/>
      <c r="N151" s="199">
        <v>1.0</v>
      </c>
      <c r="O151" s="200"/>
      <c r="P151" s="201"/>
    </row>
    <row r="152" ht="39.0" hidden="1" customHeight="1">
      <c r="A152" s="92"/>
      <c r="B152" s="60"/>
      <c r="C152" s="66"/>
      <c r="D152" s="202" t="s">
        <v>247</v>
      </c>
      <c r="E152" s="66"/>
      <c r="F152" s="60"/>
      <c r="G152" s="60"/>
      <c r="H152" s="60"/>
      <c r="I152" s="148" t="s">
        <v>248</v>
      </c>
      <c r="J152" s="60"/>
      <c r="K152" s="148" t="s">
        <v>249</v>
      </c>
      <c r="L152" s="60"/>
      <c r="M152" s="66"/>
      <c r="N152" s="203">
        <v>2.0</v>
      </c>
      <c r="O152" s="204"/>
      <c r="P152" s="201"/>
    </row>
    <row r="153" ht="39.0" hidden="1" customHeight="1">
      <c r="A153" s="92"/>
      <c r="B153" s="60"/>
      <c r="C153" s="66"/>
      <c r="D153" s="205" t="s">
        <v>250</v>
      </c>
      <c r="E153" s="66"/>
      <c r="F153" s="60"/>
      <c r="G153" s="148" t="s">
        <v>246</v>
      </c>
      <c r="H153" s="60"/>
      <c r="I153" s="60"/>
      <c r="J153" s="60"/>
      <c r="K153" s="60"/>
      <c r="L153" s="60"/>
      <c r="M153" s="66"/>
      <c r="N153" s="203">
        <v>3.0</v>
      </c>
      <c r="O153" s="204"/>
      <c r="P153" s="201"/>
    </row>
    <row r="154" ht="39.0" hidden="1" customHeight="1">
      <c r="A154" s="92"/>
      <c r="B154" s="60"/>
      <c r="C154" s="66"/>
      <c r="D154" s="206" t="s">
        <v>251</v>
      </c>
      <c r="E154" s="66"/>
      <c r="F154" s="135"/>
      <c r="G154" s="60"/>
      <c r="H154" s="60"/>
      <c r="I154" s="60"/>
      <c r="J154" s="60"/>
      <c r="K154" s="60"/>
      <c r="L154" s="60"/>
      <c r="M154" s="66"/>
      <c r="N154" s="207">
        <v>4.0</v>
      </c>
      <c r="O154" s="208"/>
      <c r="P154" s="201"/>
    </row>
    <row r="155" ht="39.0" hidden="1" customHeight="1">
      <c r="A155" s="92"/>
      <c r="B155" s="60"/>
      <c r="C155" s="66"/>
      <c r="D155" s="64"/>
      <c r="E155" s="161" t="s">
        <v>96</v>
      </c>
      <c r="F155" s="60"/>
      <c r="G155" s="162"/>
      <c r="H155" s="162"/>
      <c r="I155" s="162"/>
      <c r="J155" s="162"/>
      <c r="K155" s="162"/>
      <c r="L155" s="162"/>
      <c r="M155" s="66"/>
      <c r="N155" s="60"/>
      <c r="O155" s="209"/>
      <c r="P155" s="69"/>
    </row>
    <row r="156" ht="39.0" hidden="1" customHeight="1">
      <c r="A156" s="92"/>
      <c r="B156" s="60"/>
      <c r="C156" s="66"/>
      <c r="D156" s="66"/>
      <c r="E156" s="66"/>
      <c r="F156" s="60"/>
      <c r="G156" s="60"/>
      <c r="H156" s="148" t="s">
        <v>252</v>
      </c>
      <c r="I156" s="163"/>
      <c r="J156" s="164" t="s">
        <v>252</v>
      </c>
      <c r="K156" s="60"/>
      <c r="L156" s="60"/>
      <c r="M156" s="66"/>
      <c r="N156" s="60"/>
      <c r="O156" s="60"/>
      <c r="P156" s="69"/>
    </row>
    <row r="157" ht="39.0" hidden="1" customHeight="1">
      <c r="A157" s="92"/>
      <c r="B157" s="60"/>
      <c r="C157" s="94"/>
      <c r="D157" s="94"/>
      <c r="E157" s="94"/>
      <c r="F157" s="63"/>
      <c r="G157" s="63"/>
      <c r="H157" s="63"/>
      <c r="I157" s="63"/>
      <c r="J157" s="63"/>
      <c r="K157" s="63"/>
      <c r="L157" s="63"/>
      <c r="M157" s="94"/>
      <c r="N157" s="60"/>
      <c r="O157" s="60"/>
      <c r="P157" s="69"/>
    </row>
    <row r="158" ht="39.0" hidden="1" customHeight="1">
      <c r="A158" s="93"/>
      <c r="B158" s="63"/>
      <c r="C158" s="63"/>
      <c r="D158" s="63"/>
      <c r="E158" s="63"/>
      <c r="F158" s="63"/>
      <c r="G158" s="63"/>
      <c r="H158" s="63"/>
      <c r="I158" s="63"/>
      <c r="J158" s="63"/>
      <c r="K158" s="63"/>
      <c r="L158" s="63"/>
      <c r="M158" s="63"/>
      <c r="N158" s="63"/>
      <c r="O158" s="63"/>
      <c r="P158" s="95"/>
    </row>
  </sheetData>
  <mergeCells count="44">
    <mergeCell ref="G30:G46"/>
    <mergeCell ref="G47:G55"/>
    <mergeCell ref="G79:G110"/>
    <mergeCell ref="G112:G147"/>
    <mergeCell ref="H47:K55"/>
    <mergeCell ref="C56:N57"/>
    <mergeCell ref="G20:I22"/>
    <mergeCell ref="C26:N26"/>
    <mergeCell ref="O26:P57"/>
    <mergeCell ref="C27:C55"/>
    <mergeCell ref="D27:F27"/>
    <mergeCell ref="G27:G29"/>
    <mergeCell ref="D43:F55"/>
    <mergeCell ref="C58:C66"/>
    <mergeCell ref="E58:E62"/>
    <mergeCell ref="M58:M66"/>
    <mergeCell ref="D63:D66"/>
    <mergeCell ref="E63:E66"/>
    <mergeCell ref="A70:A158"/>
    <mergeCell ref="C76:C147"/>
    <mergeCell ref="D122:F147"/>
    <mergeCell ref="C150:C157"/>
    <mergeCell ref="E150:E154"/>
    <mergeCell ref="D155:D157"/>
    <mergeCell ref="E155:E157"/>
    <mergeCell ref="A2:A6"/>
    <mergeCell ref="A9:A23"/>
    <mergeCell ref="C10:E10"/>
    <mergeCell ref="G10:I10"/>
    <mergeCell ref="C20:E22"/>
    <mergeCell ref="A26:A67"/>
    <mergeCell ref="B26:B67"/>
    <mergeCell ref="H118:O118"/>
    <mergeCell ref="H119:O119"/>
    <mergeCell ref="H129:O129"/>
    <mergeCell ref="H139:O139"/>
    <mergeCell ref="M150:M157"/>
    <mergeCell ref="D76:F76"/>
    <mergeCell ref="G76:G78"/>
    <mergeCell ref="D94:F110"/>
    <mergeCell ref="D111:O111"/>
    <mergeCell ref="D112:F112"/>
    <mergeCell ref="H112:H117"/>
    <mergeCell ref="M112:O117"/>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14.22"/>
    <col customWidth="1" min="2" max="2" width="13.44"/>
    <col customWidth="1" min="3" max="3" width="14.33"/>
    <col customWidth="1" min="4" max="4" width="4.56"/>
    <col customWidth="1" min="5" max="5" width="13.89"/>
    <col customWidth="1" min="6" max="8" width="9.0"/>
    <col customWidth="1" min="9" max="9" width="13.89"/>
    <col customWidth="1" min="12" max="12" width="4.56"/>
    <col customWidth="1" min="13" max="13" width="12.56"/>
    <col customWidth="1" min="14" max="16" width="9.0"/>
    <col customWidth="1" min="17" max="17" width="12.56"/>
    <col customWidth="1" min="18" max="18" width="12.44"/>
  </cols>
  <sheetData>
    <row r="1" ht="24.75" customHeight="1">
      <c r="A1" s="210" t="s">
        <v>253</v>
      </c>
      <c r="B1" s="8"/>
      <c r="C1" s="68"/>
      <c r="D1" s="211"/>
      <c r="E1" s="212" t="s">
        <v>254</v>
      </c>
      <c r="F1" s="8"/>
      <c r="G1" s="8"/>
      <c r="H1" s="8"/>
      <c r="I1" s="8"/>
      <c r="J1" s="8"/>
      <c r="K1" s="68"/>
      <c r="L1" s="213"/>
      <c r="M1" s="214" t="s">
        <v>255</v>
      </c>
      <c r="N1" s="8"/>
      <c r="O1" s="8"/>
      <c r="P1" s="8"/>
      <c r="Q1" s="8"/>
      <c r="R1" s="8"/>
      <c r="S1" s="8"/>
      <c r="T1" s="68"/>
    </row>
    <row r="2">
      <c r="A2" s="215" t="s">
        <v>256</v>
      </c>
      <c r="B2" s="97"/>
      <c r="C2" s="100"/>
      <c r="D2" s="216"/>
      <c r="E2" s="217">
        <v>46188.0</v>
      </c>
      <c r="F2" s="22"/>
      <c r="G2" s="22"/>
      <c r="H2" s="22"/>
      <c r="I2" s="22"/>
      <c r="J2" s="22"/>
      <c r="K2" s="93"/>
      <c r="L2" s="218"/>
      <c r="M2" s="219">
        <v>46194.0</v>
      </c>
      <c r="N2" s="22"/>
      <c r="O2" s="22"/>
      <c r="P2" s="22"/>
      <c r="Q2" s="22"/>
      <c r="R2" s="22"/>
      <c r="S2" s="22"/>
      <c r="T2" s="93"/>
    </row>
    <row r="3">
      <c r="A3" s="220" t="s">
        <v>257</v>
      </c>
      <c r="B3" s="221" t="s">
        <v>103</v>
      </c>
      <c r="C3" s="222" t="s">
        <v>42</v>
      </c>
      <c r="D3" s="223"/>
      <c r="E3" s="224" t="s">
        <v>258</v>
      </c>
      <c r="F3" s="225" t="s">
        <v>259</v>
      </c>
      <c r="G3" s="226" t="s">
        <v>260</v>
      </c>
      <c r="H3" s="225" t="s">
        <v>259</v>
      </c>
      <c r="I3" s="226" t="s">
        <v>261</v>
      </c>
      <c r="J3" s="227" t="s">
        <v>262</v>
      </c>
      <c r="K3" s="228" t="s">
        <v>263</v>
      </c>
      <c r="L3" s="211"/>
      <c r="M3" s="224" t="s">
        <v>258</v>
      </c>
      <c r="N3" s="225" t="s">
        <v>259</v>
      </c>
      <c r="O3" s="226" t="s">
        <v>260</v>
      </c>
      <c r="P3" s="225" t="s">
        <v>259</v>
      </c>
      <c r="Q3" s="226" t="s">
        <v>261</v>
      </c>
      <c r="R3" s="227" t="s">
        <v>264</v>
      </c>
      <c r="S3" s="227" t="s">
        <v>262</v>
      </c>
      <c r="T3" s="228" t="s">
        <v>263</v>
      </c>
    </row>
    <row r="4">
      <c r="A4" s="229"/>
      <c r="B4" s="230">
        <v>1.0</v>
      </c>
      <c r="C4" s="231">
        <v>1750000.0</v>
      </c>
      <c r="D4" s="211"/>
      <c r="E4" s="224" t="str">
        <f>'Tournament format'!H31</f>
        <v>The Soulless Team</v>
      </c>
      <c r="F4" s="232">
        <f>'Matches | CQ + Playoffs'!G73</f>
        <v>2</v>
      </c>
      <c r="G4" s="233">
        <v>0.75</v>
      </c>
      <c r="H4" s="234">
        <f>'Matches | CQ + Playoffs'!H73</f>
        <v>1</v>
      </c>
      <c r="I4" s="226" t="str">
        <f>'Tournament format'!H33</f>
        <v>Suplex team</v>
      </c>
      <c r="J4" s="227" t="s">
        <v>265</v>
      </c>
      <c r="K4" s="235" t="s">
        <v>72</v>
      </c>
      <c r="L4" s="236"/>
      <c r="M4" s="224" t="str">
        <f t="shared" ref="M4:M5" si="1">A23</f>
        <v>Team Spirit</v>
      </c>
      <c r="N4" s="232">
        <f>'Matches | CQ + Playoffs'!BO83</f>
        <v>3</v>
      </c>
      <c r="O4" s="233">
        <v>0.625</v>
      </c>
      <c r="P4" s="234">
        <f>'Matches | CQ + Playoffs'!BP83</f>
        <v>2</v>
      </c>
      <c r="Q4" s="226" t="str">
        <f>A26</f>
        <v>FORZE</v>
      </c>
      <c r="R4" s="227" t="s">
        <v>266</v>
      </c>
      <c r="S4" s="227" t="s">
        <v>267</v>
      </c>
      <c r="T4" s="235" t="s">
        <v>72</v>
      </c>
    </row>
    <row r="5">
      <c r="A5" s="229"/>
      <c r="B5" s="230">
        <v>2.0</v>
      </c>
      <c r="C5" s="237">
        <v>1250000.0</v>
      </c>
      <c r="D5" s="238"/>
      <c r="E5" s="239" t="str">
        <f>'Tournament format'!H35</f>
        <v>HARD GRIND</v>
      </c>
      <c r="F5" s="240">
        <f>'Matches | CQ + Playoffs'!G93</f>
        <v>2</v>
      </c>
      <c r="G5" s="241">
        <v>0.8125</v>
      </c>
      <c r="H5" s="242">
        <f>'Matches | CQ + Playoffs'!H93</f>
        <v>0</v>
      </c>
      <c r="I5" s="243" t="str">
        <f>'Tournament format'!H37</f>
        <v>Dark Phoenix</v>
      </c>
      <c r="J5" s="236" t="s">
        <v>265</v>
      </c>
      <c r="K5" s="244" t="s">
        <v>81</v>
      </c>
      <c r="L5" s="236"/>
      <c r="M5" s="239" t="str">
        <f t="shared" si="1"/>
        <v>Verso Time</v>
      </c>
      <c r="N5" s="240">
        <f>'Matches | CQ + Playoffs'!BO113</f>
        <v>3</v>
      </c>
      <c r="O5" s="241">
        <v>0.6875</v>
      </c>
      <c r="P5" s="242">
        <f>'Matches | CQ + Playoffs'!BP113</f>
        <v>0</v>
      </c>
      <c r="Q5" s="245" t="str">
        <f>A25</f>
        <v>Virtus.pro</v>
      </c>
      <c r="R5" s="236" t="s">
        <v>266</v>
      </c>
      <c r="S5" s="236" t="s">
        <v>267</v>
      </c>
      <c r="T5" s="244" t="s">
        <v>81</v>
      </c>
    </row>
    <row r="6">
      <c r="A6" s="229"/>
      <c r="B6" s="246">
        <v>3.0</v>
      </c>
      <c r="C6" s="237">
        <v>750000.0</v>
      </c>
      <c r="D6" s="211"/>
      <c r="E6" s="247" t="str">
        <f>'Tournament format'!H39</f>
        <v>TSA White</v>
      </c>
      <c r="F6" s="240">
        <f>'Matches | CQ + Playoffs'!G113</f>
        <v>0</v>
      </c>
      <c r="G6" s="241">
        <v>0.875</v>
      </c>
      <c r="H6" s="242">
        <f>'Matches | CQ + Playoffs'!H113</f>
        <v>2</v>
      </c>
      <c r="I6" s="243" t="str">
        <f>'Tournament format'!H41</f>
        <v>Omnix</v>
      </c>
      <c r="J6" s="236" t="s">
        <v>265</v>
      </c>
      <c r="K6" s="244" t="s">
        <v>88</v>
      </c>
      <c r="L6" s="236"/>
      <c r="M6" s="247" t="str">
        <f>A23</f>
        <v>Team Spirit</v>
      </c>
      <c r="N6" s="240">
        <f>'Matches | CQ + Playoffs'!BO143</f>
        <v>1</v>
      </c>
      <c r="O6" s="241">
        <v>0.75</v>
      </c>
      <c r="P6" s="242">
        <f>'Matches | CQ + Playoffs'!BP143</f>
        <v>3</v>
      </c>
      <c r="Q6" s="243" t="str">
        <f t="shared" ref="Q6:Q7" si="2">A24</f>
        <v>Verso Time</v>
      </c>
      <c r="R6" s="236" t="s">
        <v>268</v>
      </c>
      <c r="S6" s="236" t="s">
        <v>267</v>
      </c>
      <c r="T6" s="244" t="s">
        <v>88</v>
      </c>
    </row>
    <row r="7">
      <c r="A7" s="248" t="str">
        <f>A25</f>
        <v>Virtus.pro</v>
      </c>
      <c r="B7" s="249">
        <v>4.0</v>
      </c>
      <c r="C7" s="250">
        <v>250000.0</v>
      </c>
      <c r="D7" s="211"/>
      <c r="E7" s="251" t="str">
        <f>'Tournament format'!H43</f>
        <v>INVISION</v>
      </c>
      <c r="F7" s="252">
        <f>'Matches | CQ + Playoffs'!G133</f>
        <v>1</v>
      </c>
      <c r="G7" s="253">
        <v>0.9375</v>
      </c>
      <c r="H7" s="254">
        <f>'Matches | CQ + Playoffs'!H133</f>
        <v>2</v>
      </c>
      <c r="I7" s="255" t="str">
        <f>'Tournament format'!H45</f>
        <v>Aterion Esports</v>
      </c>
      <c r="J7" s="256" t="s">
        <v>265</v>
      </c>
      <c r="K7" s="257" t="s">
        <v>94</v>
      </c>
      <c r="L7" s="236"/>
      <c r="M7" s="251" t="str">
        <f>A26</f>
        <v>FORZE</v>
      </c>
      <c r="N7" s="252">
        <f>'Matches | CQ + Playoffs'!BO173</f>
        <v>3</v>
      </c>
      <c r="O7" s="253">
        <v>0.8125</v>
      </c>
      <c r="P7" s="254">
        <f>'Matches | CQ + Playoffs'!BP173</f>
        <v>2</v>
      </c>
      <c r="Q7" s="258" t="str">
        <f t="shared" si="2"/>
        <v>Virtus.pro</v>
      </c>
      <c r="R7" s="256" t="s">
        <v>269</v>
      </c>
      <c r="S7" s="256" t="s">
        <v>267</v>
      </c>
      <c r="T7" s="257" t="s">
        <v>94</v>
      </c>
    </row>
    <row r="8">
      <c r="A8" s="259" t="str">
        <f>I22</f>
        <v>Team Yandex</v>
      </c>
      <c r="B8" s="260">
        <v>46148.0</v>
      </c>
      <c r="C8" s="237"/>
      <c r="D8" s="216"/>
      <c r="E8" s="217">
        <v>46189.0</v>
      </c>
      <c r="F8" s="22"/>
      <c r="G8" s="22"/>
      <c r="H8" s="22"/>
      <c r="I8" s="22"/>
      <c r="J8" s="22"/>
      <c r="K8" s="93"/>
      <c r="L8" s="218"/>
      <c r="M8" s="219">
        <v>46256.0</v>
      </c>
      <c r="N8" s="22"/>
      <c r="O8" s="22"/>
      <c r="P8" s="22"/>
      <c r="Q8" s="22"/>
      <c r="R8" s="22"/>
      <c r="S8" s="22"/>
      <c r="T8" s="93"/>
    </row>
    <row r="9">
      <c r="A9" s="83" t="str">
        <f>I27</f>
        <v>CYBERHERO</v>
      </c>
      <c r="B9" s="260">
        <v>46148.0</v>
      </c>
      <c r="C9" s="85"/>
      <c r="D9" s="223"/>
      <c r="E9" s="224" t="s">
        <v>258</v>
      </c>
      <c r="F9" s="225" t="s">
        <v>259</v>
      </c>
      <c r="G9" s="226" t="s">
        <v>260</v>
      </c>
      <c r="H9" s="225" t="s">
        <v>259</v>
      </c>
      <c r="I9" s="226" t="s">
        <v>261</v>
      </c>
      <c r="J9" s="227" t="s">
        <v>262</v>
      </c>
      <c r="K9" s="228" t="s">
        <v>263</v>
      </c>
      <c r="L9" s="211"/>
      <c r="M9" s="224" t="s">
        <v>258</v>
      </c>
      <c r="N9" s="225" t="s">
        <v>259</v>
      </c>
      <c r="O9" s="226" t="s">
        <v>260</v>
      </c>
      <c r="P9" s="225" t="s">
        <v>259</v>
      </c>
      <c r="Q9" s="226" t="s">
        <v>261</v>
      </c>
      <c r="R9" s="227" t="s">
        <v>264</v>
      </c>
      <c r="S9" s="227" t="s">
        <v>262</v>
      </c>
      <c r="T9" s="228" t="s">
        <v>263</v>
      </c>
    </row>
    <row r="10">
      <c r="A10" s="83" t="str">
        <f>E24</f>
        <v>Aura Farmers</v>
      </c>
      <c r="B10" s="260">
        <v>46211.0</v>
      </c>
      <c r="C10" s="85"/>
      <c r="D10" s="211"/>
      <c r="E10" s="224" t="str">
        <f>'Tournament format'!I31</f>
        <v>FORZE</v>
      </c>
      <c r="F10" s="232">
        <f>'Matches | CQ + Playoffs'!S73</f>
        <v>2</v>
      </c>
      <c r="G10" s="233">
        <v>0.75</v>
      </c>
      <c r="H10" s="234">
        <f>'Matches | CQ + Playoffs'!T73</f>
        <v>0</v>
      </c>
      <c r="I10" s="226" t="str">
        <f t="shared" ref="I10:I11" si="3">E4</f>
        <v>The Soulless Team</v>
      </c>
      <c r="J10" s="227" t="s">
        <v>265</v>
      </c>
      <c r="K10" s="235" t="s">
        <v>73</v>
      </c>
      <c r="L10" s="236"/>
      <c r="M10" s="224" t="str">
        <f t="shared" ref="M10:M11" si="4">A23</f>
        <v>Team Spirit</v>
      </c>
      <c r="N10" s="232" t="s">
        <v>270</v>
      </c>
      <c r="O10" s="233"/>
      <c r="P10" s="261">
        <v>0.0</v>
      </c>
      <c r="Q10" s="226" t="str">
        <f>M7</f>
        <v>FORZE</v>
      </c>
      <c r="R10" s="227" t="s">
        <v>271</v>
      </c>
      <c r="S10" s="227" t="s">
        <v>267</v>
      </c>
      <c r="T10" s="235" t="s">
        <v>73</v>
      </c>
    </row>
    <row r="11">
      <c r="A11" s="262" t="str">
        <f>I23</f>
        <v>Omnix</v>
      </c>
      <c r="B11" s="260">
        <v>46211.0</v>
      </c>
      <c r="C11" s="85"/>
      <c r="D11" s="263"/>
      <c r="E11" s="264" t="str">
        <f>'Tournament format'!I35</f>
        <v>CYBERHERO</v>
      </c>
      <c r="F11" s="240">
        <f>'Matches | CQ + Playoffs'!S93</f>
        <v>2</v>
      </c>
      <c r="G11" s="241">
        <v>0.8125</v>
      </c>
      <c r="H11" s="242">
        <f>'Matches | CQ + Playoffs'!T93</f>
        <v>0</v>
      </c>
      <c r="I11" s="263" t="str">
        <f t="shared" si="3"/>
        <v>HARD GRIND</v>
      </c>
      <c r="J11" s="236" t="s">
        <v>265</v>
      </c>
      <c r="K11" s="244" t="s">
        <v>82</v>
      </c>
      <c r="L11" s="236"/>
      <c r="M11" s="264" t="str">
        <f t="shared" si="4"/>
        <v>Verso Time</v>
      </c>
      <c r="N11" s="240" t="s">
        <v>270</v>
      </c>
      <c r="O11" s="241"/>
      <c r="P11" s="265">
        <v>0.0</v>
      </c>
      <c r="Q11" s="263"/>
      <c r="R11" s="236" t="s">
        <v>272</v>
      </c>
      <c r="S11" s="236" t="s">
        <v>273</v>
      </c>
      <c r="T11" s="244" t="s">
        <v>82</v>
      </c>
    </row>
    <row r="12">
      <c r="A12" s="262" t="str">
        <f>I13</f>
        <v>Aterion Esports</v>
      </c>
      <c r="B12" s="260">
        <v>46277.0</v>
      </c>
      <c r="C12" s="85"/>
      <c r="D12" s="266"/>
      <c r="E12" s="267" t="str">
        <f>'Tournament format'!I39</f>
        <v>Magic</v>
      </c>
      <c r="F12" s="240">
        <f>'Matches | CQ + Playoffs'!S113</f>
        <v>0</v>
      </c>
      <c r="G12" s="241">
        <v>0.875</v>
      </c>
      <c r="H12" s="242">
        <f>'Matches | CQ + Playoffs'!T113</f>
        <v>2</v>
      </c>
      <c r="I12" s="243" t="str">
        <f t="shared" ref="I12:I13" si="5">I6</f>
        <v>Omnix</v>
      </c>
      <c r="J12" s="236" t="s">
        <v>265</v>
      </c>
      <c r="K12" s="244" t="s">
        <v>89</v>
      </c>
      <c r="L12" s="236"/>
      <c r="M12" s="268"/>
      <c r="N12" s="225"/>
      <c r="O12" s="233"/>
      <c r="P12" s="225"/>
      <c r="Q12" s="269"/>
      <c r="R12" s="227"/>
      <c r="S12" s="227"/>
      <c r="T12" s="227"/>
    </row>
    <row r="13">
      <c r="A13" s="83" t="str">
        <f>E12</f>
        <v>Magic</v>
      </c>
      <c r="B13" s="260">
        <v>46277.0</v>
      </c>
      <c r="C13" s="85"/>
      <c r="D13" s="263"/>
      <c r="E13" s="270" t="str">
        <f>'Tournament format'!I43</f>
        <v>Aura Farmers</v>
      </c>
      <c r="F13" s="252">
        <f>'Matches | CQ + Playoffs'!S133</f>
        <v>2</v>
      </c>
      <c r="G13" s="253">
        <v>0.9375</v>
      </c>
      <c r="H13" s="254">
        <f>'Matches | CQ + Playoffs'!T133</f>
        <v>1</v>
      </c>
      <c r="I13" s="255" t="str">
        <f t="shared" si="5"/>
        <v>Aterion Esports</v>
      </c>
      <c r="J13" s="256" t="s">
        <v>265</v>
      </c>
      <c r="K13" s="257" t="s">
        <v>95</v>
      </c>
      <c r="L13" s="236"/>
    </row>
    <row r="14">
      <c r="A14" s="83" t="str">
        <f>I11</f>
        <v>HARD GRIND</v>
      </c>
      <c r="B14" s="260">
        <v>46277.0</v>
      </c>
      <c r="C14" s="85"/>
      <c r="D14" s="216"/>
      <c r="E14" s="217">
        <v>46190.0</v>
      </c>
      <c r="F14" s="22"/>
      <c r="G14" s="22"/>
      <c r="H14" s="22"/>
      <c r="I14" s="22"/>
      <c r="J14" s="22"/>
      <c r="K14" s="93"/>
      <c r="L14" s="218"/>
      <c r="M14" s="218"/>
      <c r="N14" s="218"/>
      <c r="O14" s="218"/>
      <c r="P14" s="218"/>
      <c r="Q14" s="218"/>
      <c r="R14" s="218"/>
      <c r="S14" s="218"/>
      <c r="T14" s="218"/>
    </row>
    <row r="15">
      <c r="A15" s="83" t="str">
        <f>I10</f>
        <v>The Soulless Team</v>
      </c>
      <c r="B15" s="260">
        <v>46277.0</v>
      </c>
      <c r="C15" s="85"/>
      <c r="D15" s="223"/>
      <c r="E15" s="224" t="s">
        <v>258</v>
      </c>
      <c r="F15" s="225" t="s">
        <v>259</v>
      </c>
      <c r="G15" s="226" t="s">
        <v>260</v>
      </c>
      <c r="H15" s="225" t="s">
        <v>259</v>
      </c>
      <c r="I15" s="226" t="s">
        <v>261</v>
      </c>
      <c r="J15" s="227" t="s">
        <v>262</v>
      </c>
      <c r="K15" s="228" t="s">
        <v>263</v>
      </c>
      <c r="L15" s="211"/>
      <c r="M15" s="218"/>
      <c r="N15" s="218"/>
      <c r="O15" s="218"/>
      <c r="P15" s="218"/>
      <c r="Q15" s="218"/>
      <c r="R15" s="218"/>
      <c r="S15" s="218"/>
      <c r="T15" s="218"/>
    </row>
    <row r="16">
      <c r="A16" s="83" t="str">
        <f>E7</f>
        <v>INVISION</v>
      </c>
      <c r="B16" s="246" t="s">
        <v>274</v>
      </c>
      <c r="C16" s="85"/>
      <c r="D16" s="211"/>
      <c r="E16" s="224" t="str">
        <f>E10</f>
        <v>FORZE</v>
      </c>
      <c r="F16" s="232">
        <f>'Matches | CQ + Playoffs'!AE73</f>
        <v>0</v>
      </c>
      <c r="G16" s="233">
        <v>0.75</v>
      </c>
      <c r="H16" s="234">
        <f>'Matches | CQ + Playoffs'!AF73</f>
        <v>2</v>
      </c>
      <c r="I16" s="226" t="str">
        <f>E11</f>
        <v>CYBERHERO</v>
      </c>
      <c r="J16" s="227" t="s">
        <v>265</v>
      </c>
      <c r="K16" s="235" t="s">
        <v>76</v>
      </c>
      <c r="L16" s="236"/>
      <c r="M16" s="218"/>
      <c r="N16" s="218"/>
      <c r="O16" s="218"/>
      <c r="P16" s="218"/>
      <c r="Q16" s="218"/>
      <c r="R16" s="218"/>
      <c r="S16" s="218"/>
      <c r="T16" s="218"/>
    </row>
    <row r="17">
      <c r="A17" s="83" t="str">
        <f>E6</f>
        <v>TSA White</v>
      </c>
      <c r="B17" s="246" t="s">
        <v>274</v>
      </c>
      <c r="C17" s="85"/>
      <c r="D17" s="263"/>
      <c r="E17" s="271" t="str">
        <f>I12</f>
        <v>Omnix</v>
      </c>
      <c r="F17" s="240">
        <f>'Matches | CQ + Playoffs'!AE93</f>
        <v>2</v>
      </c>
      <c r="G17" s="241">
        <v>0.8125</v>
      </c>
      <c r="H17" s="242">
        <f>'Matches | CQ + Playoffs'!AF93</f>
        <v>0</v>
      </c>
      <c r="I17" s="263" t="str">
        <f>E13</f>
        <v>Aura Farmers</v>
      </c>
      <c r="J17" s="236" t="s">
        <v>265</v>
      </c>
      <c r="K17" s="244" t="s">
        <v>92</v>
      </c>
      <c r="L17" s="236"/>
      <c r="M17" s="218"/>
      <c r="N17" s="218"/>
      <c r="O17" s="218"/>
      <c r="P17" s="218"/>
      <c r="Q17" s="218"/>
      <c r="R17" s="218"/>
      <c r="S17" s="218"/>
      <c r="T17" s="218"/>
    </row>
    <row r="18">
      <c r="A18" s="262" t="str">
        <f>I5</f>
        <v>Dark Phoenix</v>
      </c>
      <c r="B18" s="246" t="s">
        <v>274</v>
      </c>
      <c r="C18" s="85"/>
      <c r="D18" s="263"/>
      <c r="E18" s="267" t="str">
        <f>'Tournament format'!K33</f>
        <v>Virtus.pro</v>
      </c>
      <c r="F18" s="240">
        <f>'Matches | CQ + Playoffs'!AE113</f>
        <v>2</v>
      </c>
      <c r="G18" s="241">
        <v>0.875</v>
      </c>
      <c r="H18" s="242">
        <f>'Matches | CQ + Playoffs'!AF113</f>
        <v>0</v>
      </c>
      <c r="I18" s="263" t="str">
        <f>I16</f>
        <v>CYBERHERO</v>
      </c>
      <c r="J18" s="236" t="s">
        <v>265</v>
      </c>
      <c r="K18" s="244" t="s">
        <v>77</v>
      </c>
      <c r="L18" s="236"/>
      <c r="M18" s="218"/>
      <c r="N18" s="218"/>
      <c r="O18" s="218"/>
      <c r="P18" s="218"/>
      <c r="Q18" s="218"/>
      <c r="R18" s="218"/>
      <c r="S18" s="218"/>
      <c r="T18" s="218"/>
    </row>
    <row r="19">
      <c r="A19" s="87" t="str">
        <f>I4</f>
        <v>Suplex team</v>
      </c>
      <c r="B19" s="272" t="s">
        <v>274</v>
      </c>
      <c r="C19" s="89"/>
      <c r="D19" s="263"/>
      <c r="E19" s="270" t="str">
        <f>'Tournament format'!K41</f>
        <v>Team Yandex</v>
      </c>
      <c r="F19" s="252">
        <f>'Matches | CQ + Playoffs'!AE133</f>
        <v>2</v>
      </c>
      <c r="G19" s="253">
        <v>0.9375</v>
      </c>
      <c r="H19" s="254">
        <f>'Matches | CQ + Playoffs'!AF133</f>
        <v>1</v>
      </c>
      <c r="I19" s="258" t="str">
        <f>I12</f>
        <v>Omnix</v>
      </c>
      <c r="J19" s="256" t="s">
        <v>265</v>
      </c>
      <c r="K19" s="257" t="s">
        <v>93</v>
      </c>
      <c r="L19" s="236"/>
      <c r="M19" s="218"/>
      <c r="N19" s="218"/>
      <c r="O19" s="218"/>
      <c r="P19" s="218"/>
      <c r="Q19" s="218"/>
      <c r="R19" s="218"/>
      <c r="S19" s="218"/>
      <c r="T19" s="218"/>
    </row>
    <row r="20">
      <c r="A20" s="273"/>
      <c r="B20" s="273"/>
      <c r="C20" s="273"/>
      <c r="D20" s="216"/>
      <c r="E20" s="217">
        <v>46191.0</v>
      </c>
      <c r="F20" s="22"/>
      <c r="G20" s="22"/>
      <c r="H20" s="22"/>
      <c r="I20" s="22"/>
      <c r="J20" s="22"/>
      <c r="K20" s="93"/>
      <c r="L20" s="218"/>
      <c r="M20" s="218"/>
      <c r="N20" s="218"/>
      <c r="O20" s="218"/>
      <c r="P20" s="218"/>
      <c r="Q20" s="218"/>
      <c r="R20" s="218"/>
      <c r="S20" s="218"/>
      <c r="T20" s="218"/>
    </row>
    <row r="21">
      <c r="A21" s="274" t="s">
        <v>275</v>
      </c>
      <c r="B21" s="100"/>
      <c r="D21" s="223"/>
      <c r="E21" s="224" t="s">
        <v>258</v>
      </c>
      <c r="F21" s="225" t="s">
        <v>259</v>
      </c>
      <c r="G21" s="226" t="s">
        <v>260</v>
      </c>
      <c r="H21" s="225" t="s">
        <v>259</v>
      </c>
      <c r="I21" s="226" t="s">
        <v>261</v>
      </c>
      <c r="J21" s="227" t="s">
        <v>262</v>
      </c>
      <c r="K21" s="228" t="s">
        <v>263</v>
      </c>
      <c r="L21" s="211"/>
      <c r="M21" s="218"/>
      <c r="N21" s="218"/>
      <c r="O21" s="218"/>
      <c r="P21" s="218"/>
      <c r="Q21" s="218"/>
      <c r="R21" s="218"/>
      <c r="S21" s="218"/>
      <c r="T21" s="218"/>
    </row>
    <row r="22">
      <c r="A22" s="275" t="s">
        <v>51</v>
      </c>
      <c r="B22" s="276" t="s">
        <v>53</v>
      </c>
      <c r="C22" s="273"/>
      <c r="D22" s="211"/>
      <c r="E22" s="277" t="str">
        <f>E18</f>
        <v>Virtus.pro</v>
      </c>
      <c r="F22" s="232">
        <f>'Matches | CQ + Playoffs'!AQ83</f>
        <v>3</v>
      </c>
      <c r="G22" s="233">
        <v>0.6666666666666666</v>
      </c>
      <c r="H22" s="234">
        <f>'Matches | CQ + Playoffs'!AR83</f>
        <v>2</v>
      </c>
      <c r="I22" s="226" t="str">
        <f>E19</f>
        <v>Team Yandex</v>
      </c>
      <c r="J22" s="227" t="s">
        <v>267</v>
      </c>
      <c r="K22" s="235" t="s">
        <v>85</v>
      </c>
      <c r="L22" s="236"/>
      <c r="M22" s="263"/>
      <c r="N22" s="243"/>
      <c r="O22" s="241"/>
      <c r="P22" s="243"/>
      <c r="Q22" s="263"/>
      <c r="R22" s="236"/>
      <c r="S22" s="236"/>
      <c r="T22" s="236"/>
    </row>
    <row r="23">
      <c r="A23" s="278" t="str">
        <f>'Tournament format'!D59</f>
        <v>Team Spirit</v>
      </c>
      <c r="B23" s="279">
        <v>1.0</v>
      </c>
      <c r="C23" s="273"/>
      <c r="D23" s="263"/>
      <c r="E23" s="264" t="str">
        <f>E16</f>
        <v>FORZE</v>
      </c>
      <c r="F23" s="240">
        <f>'Matches | CQ + Playoffs'!AQ113</f>
        <v>3</v>
      </c>
      <c r="G23" s="241">
        <v>0.7291666666666666</v>
      </c>
      <c r="H23" s="242">
        <f>'Matches | CQ + Playoffs'!AR113</f>
        <v>2</v>
      </c>
      <c r="I23" s="243" t="str">
        <f>I19</f>
        <v>Omnix</v>
      </c>
      <c r="J23" s="236" t="s">
        <v>267</v>
      </c>
      <c r="K23" s="244" t="s">
        <v>97</v>
      </c>
      <c r="L23" s="236"/>
      <c r="M23" s="218"/>
      <c r="N23" s="218"/>
      <c r="O23" s="218"/>
      <c r="P23" s="218"/>
      <c r="Q23" s="218"/>
      <c r="R23" s="218"/>
      <c r="S23" s="218"/>
      <c r="T23" s="218"/>
    </row>
    <row r="24">
      <c r="A24" s="280" t="str">
        <f>'Tournament format'!D60</f>
        <v>Verso Time</v>
      </c>
      <c r="B24" s="281">
        <v>2.0</v>
      </c>
      <c r="C24" s="273"/>
      <c r="D24" s="263"/>
      <c r="E24" s="264" t="str">
        <f>I17</f>
        <v>Aura Farmers</v>
      </c>
      <c r="F24" s="240">
        <f>'Matches | CQ + Playoffs'!AQ143</f>
        <v>1</v>
      </c>
      <c r="G24" s="241">
        <v>0.7916666666666666</v>
      </c>
      <c r="H24" s="242">
        <f>'Matches | CQ + Playoffs'!AR143</f>
        <v>3</v>
      </c>
      <c r="I24" s="266" t="str">
        <f>I18</f>
        <v>CYBERHERO</v>
      </c>
      <c r="J24" s="236" t="s">
        <v>267</v>
      </c>
      <c r="K24" s="244" t="s">
        <v>100</v>
      </c>
      <c r="L24" s="236"/>
      <c r="M24" s="218"/>
      <c r="N24" s="218"/>
      <c r="O24" s="218"/>
      <c r="P24" s="218"/>
      <c r="Q24" s="218"/>
      <c r="R24" s="218"/>
      <c r="S24" s="218"/>
      <c r="T24" s="218"/>
    </row>
    <row r="25">
      <c r="A25" s="282" t="str">
        <f>'Tournament format'!D61</f>
        <v>Virtus.pro</v>
      </c>
      <c r="B25" s="281">
        <v>3.0</v>
      </c>
      <c r="C25" s="273"/>
      <c r="D25" s="263"/>
      <c r="E25" s="283">
        <v>46192.0</v>
      </c>
      <c r="F25" s="97"/>
      <c r="G25" s="97"/>
      <c r="H25" s="97"/>
      <c r="I25" s="97"/>
      <c r="J25" s="97"/>
      <c r="K25" s="100"/>
      <c r="L25" s="236"/>
      <c r="M25" s="218"/>
      <c r="N25" s="218"/>
      <c r="O25" s="218"/>
      <c r="P25" s="218"/>
      <c r="Q25" s="218"/>
      <c r="R25" s="218"/>
      <c r="S25" s="218"/>
      <c r="T25" s="218"/>
    </row>
    <row r="26">
      <c r="A26" s="284" t="str">
        <f>'Tournament format'!D62</f>
        <v>FORZE</v>
      </c>
      <c r="B26" s="285">
        <v>4.0</v>
      </c>
      <c r="C26" s="273"/>
      <c r="D26" s="216"/>
      <c r="E26" s="286" t="s">
        <v>258</v>
      </c>
      <c r="F26" s="287" t="s">
        <v>259</v>
      </c>
      <c r="G26" s="288" t="s">
        <v>260</v>
      </c>
      <c r="H26" s="287" t="s">
        <v>259</v>
      </c>
      <c r="I26" s="288" t="s">
        <v>261</v>
      </c>
      <c r="J26" s="289" t="s">
        <v>262</v>
      </c>
      <c r="K26" s="290" t="s">
        <v>263</v>
      </c>
      <c r="L26" s="218"/>
      <c r="M26" s="218"/>
      <c r="N26" s="218"/>
      <c r="O26" s="218"/>
      <c r="P26" s="218"/>
      <c r="Q26" s="218"/>
      <c r="R26" s="218"/>
      <c r="S26" s="218"/>
      <c r="T26" s="218"/>
    </row>
    <row r="27">
      <c r="A27" s="273"/>
      <c r="B27" s="273"/>
      <c r="C27" s="273"/>
      <c r="D27" s="223"/>
      <c r="E27" s="291" t="str">
        <f>E23</f>
        <v>FORZE</v>
      </c>
      <c r="F27" s="240">
        <f>'Matches | CQ + Playoffs'!BC83</f>
        <v>3</v>
      </c>
      <c r="G27" s="241">
        <v>0.6666666666666666</v>
      </c>
      <c r="H27" s="242">
        <f>'Matches | CQ + Playoffs'!BD83</f>
        <v>2</v>
      </c>
      <c r="I27" s="292" t="str">
        <f>I24</f>
        <v>CYBERHERO</v>
      </c>
      <c r="J27" s="293" t="s">
        <v>267</v>
      </c>
      <c r="K27" s="294" t="s">
        <v>98</v>
      </c>
      <c r="L27" s="211"/>
      <c r="M27" s="218"/>
      <c r="N27" s="218"/>
      <c r="O27" s="218"/>
      <c r="P27" s="218"/>
      <c r="Q27" s="218"/>
      <c r="R27" s="218"/>
      <c r="S27" s="218"/>
      <c r="T27" s="218"/>
    </row>
    <row r="28">
      <c r="A28" s="295" t="s">
        <v>276</v>
      </c>
      <c r="B28" s="97"/>
      <c r="C28" s="100"/>
      <c r="D28" s="292"/>
      <c r="E28" s="296" t="str">
        <f>I22</f>
        <v>Team Yandex</v>
      </c>
      <c r="F28" s="252">
        <f>'Matches | CQ + Playoffs'!BC123</f>
        <v>2</v>
      </c>
      <c r="G28" s="253">
        <v>0.7291666666666666</v>
      </c>
      <c r="H28" s="254">
        <f>'Matches | CQ + Playoffs'!BD123</f>
        <v>4</v>
      </c>
      <c r="I28" s="297" t="str">
        <f>E27</f>
        <v>FORZE</v>
      </c>
      <c r="J28" s="298" t="s">
        <v>273</v>
      </c>
      <c r="K28" s="299" t="s">
        <v>99</v>
      </c>
      <c r="L28" s="236"/>
      <c r="M28" s="218"/>
      <c r="N28" s="218"/>
      <c r="O28" s="218"/>
      <c r="P28" s="218"/>
      <c r="Q28" s="218"/>
      <c r="R28" s="218"/>
      <c r="S28" s="218"/>
      <c r="T28" s="218"/>
    </row>
    <row r="29">
      <c r="A29" s="300" t="str">
        <f>'Tournament format'!D28</f>
        <v>Team name</v>
      </c>
      <c r="B29" s="301" t="str">
        <f>'Tournament format'!E28</f>
        <v>Team standings</v>
      </c>
      <c r="C29" s="302" t="str">
        <f>'Tournament format'!F28</f>
        <v>Position</v>
      </c>
      <c r="D29" s="292"/>
      <c r="E29" s="292"/>
      <c r="F29" s="240"/>
      <c r="G29" s="241"/>
      <c r="H29" s="265"/>
      <c r="I29" s="292"/>
      <c r="J29" s="293"/>
      <c r="K29" s="293"/>
      <c r="L29" s="236"/>
      <c r="M29" s="218"/>
      <c r="N29" s="218"/>
      <c r="O29" s="218"/>
      <c r="P29" s="218"/>
      <c r="Q29" s="218"/>
      <c r="R29" s="218"/>
      <c r="S29" s="218"/>
      <c r="T29" s="218"/>
    </row>
    <row r="30">
      <c r="A30" s="282" t="str">
        <f>'Tournament format'!D29</f>
        <v>Virtus.pro</v>
      </c>
      <c r="B30" s="303" t="str">
        <f>'Tournament format'!E29</f>
        <v>3rd  of Division 1</v>
      </c>
      <c r="C30" s="281" t="str">
        <f>'Tournament format'!F29</f>
        <v>Tier 1</v>
      </c>
      <c r="D30" s="292"/>
      <c r="E30" s="292"/>
      <c r="F30" s="240"/>
      <c r="G30" s="241"/>
      <c r="H30" s="265"/>
      <c r="I30" s="292"/>
      <c r="J30" s="293"/>
      <c r="K30" s="293"/>
      <c r="L30" s="236"/>
      <c r="M30" s="218"/>
      <c r="N30" s="218"/>
      <c r="O30" s="218"/>
      <c r="P30" s="218"/>
      <c r="Q30" s="218"/>
      <c r="R30" s="218"/>
      <c r="S30" s="218"/>
      <c r="T30" s="218"/>
    </row>
    <row r="31">
      <c r="A31" s="304" t="str">
        <f>'Tournament format'!D30</f>
        <v>Team Yandex</v>
      </c>
      <c r="B31" s="303" t="str">
        <f>'Tournament format'!E30</f>
        <v>4th of Division 1</v>
      </c>
      <c r="C31" s="281" t="str">
        <f>'Tournament format'!F30</f>
        <v>Tier 1</v>
      </c>
      <c r="D31" s="292"/>
      <c r="E31" s="292"/>
      <c r="F31" s="240"/>
      <c r="G31" s="241"/>
      <c r="H31" s="265"/>
      <c r="I31" s="292"/>
      <c r="J31" s="293"/>
      <c r="K31" s="293"/>
      <c r="L31" s="236"/>
      <c r="M31" s="218"/>
      <c r="N31" s="218"/>
      <c r="O31" s="218"/>
      <c r="P31" s="218"/>
      <c r="Q31" s="218"/>
      <c r="R31" s="218"/>
      <c r="S31" s="218"/>
      <c r="T31" s="218"/>
    </row>
    <row r="32">
      <c r="A32" s="304" t="str">
        <f>'Tournament format'!D31</f>
        <v>FORZE</v>
      </c>
      <c r="B32" s="303" t="str">
        <f>'Tournament format'!E31</f>
        <v>5th  of Division 1</v>
      </c>
      <c r="C32" s="281" t="str">
        <f>'Tournament format'!F31</f>
        <v>Tier 2</v>
      </c>
      <c r="D32" s="292"/>
      <c r="E32" s="292"/>
      <c r="F32" s="240"/>
      <c r="G32" s="241"/>
      <c r="H32" s="265"/>
      <c r="I32" s="292"/>
      <c r="J32" s="293"/>
      <c r="K32" s="293"/>
      <c r="L32" s="236"/>
      <c r="M32" s="218"/>
      <c r="N32" s="218"/>
      <c r="O32" s="218"/>
      <c r="P32" s="218"/>
      <c r="Q32" s="218"/>
      <c r="R32" s="218"/>
      <c r="S32" s="218"/>
      <c r="T32" s="218"/>
    </row>
    <row r="33">
      <c r="A33" s="304" t="str">
        <f>'Tournament format'!D32</f>
        <v>CYBERHERO</v>
      </c>
      <c r="B33" s="303" t="str">
        <f>'Tournament format'!E32</f>
        <v>6th of Division 1</v>
      </c>
      <c r="C33" s="281" t="str">
        <f>'Tournament format'!F32</f>
        <v>Tier 2</v>
      </c>
      <c r="D33" s="292"/>
      <c r="E33" s="292"/>
      <c r="F33" s="240"/>
      <c r="G33" s="241"/>
      <c r="H33" s="265"/>
      <c r="I33" s="292"/>
      <c r="J33" s="293"/>
      <c r="K33" s="293"/>
      <c r="L33" s="236"/>
      <c r="M33" s="218"/>
      <c r="N33" s="218"/>
      <c r="O33" s="218"/>
      <c r="P33" s="218"/>
      <c r="Q33" s="218"/>
      <c r="R33" s="218"/>
      <c r="S33" s="218"/>
      <c r="T33" s="218"/>
    </row>
    <row r="34">
      <c r="A34" s="304" t="str">
        <f>'Tournament format'!D33</f>
        <v>Magic</v>
      </c>
      <c r="B34" s="303" t="str">
        <f>'Tournament format'!E33</f>
        <v>7th of Division 1</v>
      </c>
      <c r="C34" s="281" t="str">
        <f>'Tournament format'!F33</f>
        <v>Tier 2</v>
      </c>
      <c r="D34" s="292"/>
      <c r="E34" s="292"/>
      <c r="F34" s="240"/>
      <c r="G34" s="241"/>
      <c r="H34" s="265"/>
      <c r="I34" s="292"/>
      <c r="J34" s="293"/>
      <c r="K34" s="293"/>
      <c r="L34" s="236"/>
      <c r="M34" s="218"/>
      <c r="N34" s="218"/>
      <c r="O34" s="218"/>
      <c r="P34" s="218"/>
      <c r="Q34" s="218"/>
      <c r="R34" s="218"/>
      <c r="S34" s="218"/>
      <c r="T34" s="218"/>
    </row>
    <row r="35">
      <c r="A35" s="304" t="str">
        <f>'Tournament format'!D34</f>
        <v>Aura Farmers</v>
      </c>
      <c r="B35" s="303" t="str">
        <f>'Tournament format'!E34</f>
        <v>8th of Division 1</v>
      </c>
      <c r="C35" s="281" t="str">
        <f>'Tournament format'!F34</f>
        <v>Tier 2</v>
      </c>
      <c r="D35" s="292"/>
      <c r="E35" s="292"/>
      <c r="F35" s="240"/>
      <c r="G35" s="241"/>
      <c r="H35" s="265"/>
      <c r="I35" s="292"/>
      <c r="J35" s="293"/>
      <c r="K35" s="293"/>
      <c r="L35" s="236"/>
      <c r="M35" s="218"/>
      <c r="N35" s="218"/>
      <c r="O35" s="218"/>
      <c r="P35" s="218"/>
      <c r="Q35" s="218"/>
      <c r="R35" s="218"/>
      <c r="S35" s="218"/>
      <c r="T35" s="218"/>
    </row>
    <row r="36">
      <c r="A36" s="304" t="str">
        <f>'Tournament format'!D35</f>
        <v>The Soulless Team</v>
      </c>
      <c r="B36" s="303" t="str">
        <f>'Tournament format'!E35</f>
        <v>1st  of Division 2</v>
      </c>
      <c r="C36" s="281" t="str">
        <f>'Tournament format'!F35</f>
        <v>Tier 3</v>
      </c>
      <c r="D36" s="292"/>
      <c r="E36" s="292"/>
      <c r="F36" s="240"/>
      <c r="G36" s="241"/>
      <c r="H36" s="265"/>
      <c r="I36" s="292"/>
      <c r="J36" s="293"/>
      <c r="K36" s="293"/>
      <c r="L36" s="236"/>
      <c r="M36" s="218"/>
      <c r="N36" s="218"/>
      <c r="O36" s="218"/>
      <c r="P36" s="218"/>
      <c r="Q36" s="218"/>
      <c r="R36" s="218"/>
      <c r="S36" s="218"/>
      <c r="T36" s="218"/>
    </row>
    <row r="37">
      <c r="A37" s="304" t="str">
        <f>'Tournament format'!D36</f>
        <v>HARD GRIND</v>
      </c>
      <c r="B37" s="303" t="str">
        <f>'Tournament format'!E36</f>
        <v>2nd of Division 2</v>
      </c>
      <c r="C37" s="281" t="str">
        <f>'Tournament format'!F36</f>
        <v>Tier 3</v>
      </c>
      <c r="D37" s="292"/>
      <c r="E37" s="292"/>
      <c r="F37" s="240"/>
      <c r="G37" s="241"/>
      <c r="H37" s="265"/>
      <c r="I37" s="292"/>
      <c r="J37" s="293"/>
      <c r="K37" s="293"/>
      <c r="L37" s="236"/>
      <c r="M37" s="218"/>
      <c r="N37" s="218"/>
      <c r="O37" s="218"/>
      <c r="P37" s="218"/>
      <c r="Q37" s="218"/>
      <c r="R37" s="218"/>
      <c r="S37" s="218"/>
      <c r="T37" s="218"/>
    </row>
    <row r="38">
      <c r="A38" s="304" t="str">
        <f>'Tournament format'!D37</f>
        <v>TSA White</v>
      </c>
      <c r="B38" s="303" t="str">
        <f>'Tournament format'!E37</f>
        <v>3rd of Division 2</v>
      </c>
      <c r="C38" s="281" t="str">
        <f>'Tournament format'!F37</f>
        <v>Tier 3</v>
      </c>
      <c r="D38" s="292"/>
      <c r="E38" s="292"/>
      <c r="F38" s="240"/>
      <c r="G38" s="241"/>
      <c r="H38" s="265"/>
      <c r="I38" s="292"/>
      <c r="J38" s="293"/>
      <c r="K38" s="293"/>
      <c r="L38" s="236"/>
      <c r="M38" s="218"/>
      <c r="N38" s="218"/>
      <c r="O38" s="218"/>
      <c r="P38" s="218"/>
      <c r="Q38" s="218"/>
      <c r="R38" s="218"/>
      <c r="S38" s="218"/>
      <c r="T38" s="218"/>
    </row>
    <row r="39">
      <c r="A39" s="304" t="str">
        <f>'Tournament format'!D38</f>
        <v>INVISION</v>
      </c>
      <c r="B39" s="303" t="str">
        <f>'Tournament format'!E38</f>
        <v>4th of Division 2</v>
      </c>
      <c r="C39" s="281" t="str">
        <f>'Tournament format'!F38</f>
        <v>Tier 3</v>
      </c>
      <c r="D39" s="292"/>
      <c r="E39" s="292"/>
      <c r="F39" s="240"/>
      <c r="G39" s="241"/>
      <c r="H39" s="265"/>
      <c r="I39" s="292"/>
      <c r="J39" s="293"/>
      <c r="K39" s="293"/>
      <c r="L39" s="236"/>
      <c r="M39" s="218"/>
      <c r="N39" s="218"/>
      <c r="O39" s="218"/>
      <c r="P39" s="218"/>
      <c r="Q39" s="218"/>
      <c r="R39" s="218"/>
      <c r="S39" s="218"/>
      <c r="T39" s="218"/>
    </row>
    <row r="40">
      <c r="A40" s="304" t="str">
        <f>'Tournament format'!D39</f>
        <v>Aterion Esports</v>
      </c>
      <c r="B40" s="303" t="str">
        <f>'Tournament format'!E39</f>
        <v>5th of Division 2</v>
      </c>
      <c r="C40" s="281" t="str">
        <f>'Tournament format'!F39</f>
        <v>Tier 3</v>
      </c>
      <c r="D40" s="292"/>
      <c r="E40" s="292"/>
      <c r="F40" s="240"/>
      <c r="G40" s="241"/>
      <c r="H40" s="265"/>
      <c r="I40" s="292"/>
      <c r="J40" s="293"/>
      <c r="K40" s="293"/>
      <c r="L40" s="236"/>
      <c r="M40" s="218"/>
      <c r="N40" s="218"/>
      <c r="O40" s="218"/>
      <c r="P40" s="218"/>
      <c r="Q40" s="218"/>
      <c r="R40" s="218"/>
      <c r="S40" s="218"/>
      <c r="T40" s="218"/>
    </row>
    <row r="41">
      <c r="A41" s="304" t="str">
        <f>'Tournament format'!D40</f>
        <v>Omnix</v>
      </c>
      <c r="B41" s="303" t="str">
        <f>'Tournament format'!E40</f>
        <v>6th of Division 2</v>
      </c>
      <c r="C41" s="281" t="str">
        <f>'Tournament format'!F40</f>
        <v>Tier 3</v>
      </c>
      <c r="D41" s="292"/>
      <c r="E41" s="292"/>
      <c r="F41" s="240"/>
      <c r="G41" s="241"/>
      <c r="H41" s="265"/>
      <c r="I41" s="292"/>
      <c r="J41" s="293"/>
      <c r="K41" s="293"/>
      <c r="L41" s="236"/>
      <c r="M41" s="218"/>
      <c r="N41" s="218"/>
      <c r="O41" s="218"/>
      <c r="P41" s="218"/>
      <c r="Q41" s="218"/>
      <c r="R41" s="218"/>
      <c r="S41" s="218"/>
      <c r="T41" s="218"/>
    </row>
    <row r="42">
      <c r="A42" s="304" t="str">
        <f>'Tournament format'!D41</f>
        <v>Dark Phoenix</v>
      </c>
      <c r="B42" s="303" t="str">
        <f>'Tournament format'!E41</f>
        <v>7th of Division 2</v>
      </c>
      <c r="C42" s="281" t="str">
        <f>'Tournament format'!F41</f>
        <v>Tier 3</v>
      </c>
      <c r="D42" s="292"/>
      <c r="E42" s="292"/>
      <c r="F42" s="240"/>
      <c r="G42" s="241"/>
      <c r="H42" s="265"/>
      <c r="I42" s="292"/>
      <c r="J42" s="293"/>
      <c r="K42" s="293"/>
      <c r="L42" s="236"/>
      <c r="M42" s="218"/>
      <c r="N42" s="218"/>
      <c r="O42" s="218"/>
      <c r="P42" s="218"/>
      <c r="Q42" s="218"/>
      <c r="R42" s="218"/>
      <c r="S42" s="218"/>
      <c r="T42" s="218"/>
    </row>
    <row r="43">
      <c r="A43" s="305" t="str">
        <f>'Tournament format'!D42</f>
        <v>Suplex team</v>
      </c>
      <c r="B43" s="306" t="str">
        <f>'Tournament format'!E42</f>
        <v>8th of Division 2</v>
      </c>
      <c r="C43" s="285" t="str">
        <f>'Tournament format'!F42</f>
        <v>Tier 3</v>
      </c>
      <c r="D43" s="292"/>
      <c r="E43" s="292"/>
      <c r="F43" s="240"/>
      <c r="G43" s="241"/>
      <c r="H43" s="265"/>
      <c r="I43" s="292"/>
      <c r="J43" s="293"/>
      <c r="K43" s="293"/>
      <c r="L43" s="236"/>
      <c r="M43" s="218"/>
      <c r="N43" s="218"/>
      <c r="O43" s="218"/>
      <c r="P43" s="218"/>
      <c r="Q43" s="218"/>
      <c r="R43" s="218"/>
      <c r="S43" s="218"/>
      <c r="T43" s="218"/>
    </row>
  </sheetData>
  <mergeCells count="13">
    <mergeCell ref="E8:K8"/>
    <mergeCell ref="E14:K14"/>
    <mergeCell ref="E20:K20"/>
    <mergeCell ref="A21:B21"/>
    <mergeCell ref="E25:K25"/>
    <mergeCell ref="A28:C28"/>
    <mergeCell ref="A1:C1"/>
    <mergeCell ref="E1:K1"/>
    <mergeCell ref="M1:T1"/>
    <mergeCell ref="A2:C2"/>
    <mergeCell ref="E2:K2"/>
    <mergeCell ref="M2:T2"/>
    <mergeCell ref="M8:T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53.0" topLeftCell="A54" activePane="bottomLeft" state="frozen"/>
      <selection activeCell="B55" sqref="B55" pane="bottomLeft"/>
    </sheetView>
  </sheetViews>
  <sheetFormatPr customHeight="1" defaultColWidth="11.22" defaultRowHeight="15.75"/>
  <cols>
    <col customWidth="1" min="1" max="1" width="6.67"/>
    <col customWidth="1" min="2" max="2" width="14.33"/>
    <col customWidth="1" min="3" max="3" width="12.11"/>
    <col customWidth="1" min="4" max="4" width="18.78"/>
    <col customWidth="1" min="5" max="10" width="13.56"/>
    <col customWidth="1" min="11" max="11" width="17.78"/>
    <col customWidth="1" min="12" max="15" width="13.56"/>
    <col customWidth="1" min="16" max="16" width="17.78"/>
    <col customWidth="1" min="17" max="22" width="13.56"/>
    <col customWidth="1" min="23" max="23" width="17.78"/>
    <col customWidth="1" min="24" max="73" width="13.56"/>
    <col customWidth="1" hidden="1" min="74" max="84" width="13.56"/>
  </cols>
  <sheetData>
    <row r="1" ht="26.25" hidden="1" customHeight="1">
      <c r="A1" s="307"/>
      <c r="B1" s="308" t="s">
        <v>277</v>
      </c>
      <c r="C1" s="97"/>
      <c r="D1" s="97"/>
      <c r="E1" s="97"/>
      <c r="F1" s="97"/>
      <c r="G1" s="97"/>
      <c r="H1" s="97"/>
      <c r="I1" s="97"/>
      <c r="J1" s="97"/>
      <c r="K1" s="97"/>
      <c r="L1" s="97"/>
      <c r="M1" s="97"/>
      <c r="N1" s="97"/>
      <c r="O1" s="97"/>
      <c r="P1" s="97"/>
      <c r="Q1" s="97"/>
      <c r="R1" s="97"/>
      <c r="S1" s="97"/>
      <c r="T1" s="97"/>
      <c r="U1" s="97"/>
      <c r="V1" s="97"/>
      <c r="W1" s="97"/>
      <c r="X1" s="97"/>
      <c r="Y1" s="97"/>
      <c r="Z1" s="97"/>
      <c r="AA1" s="97"/>
      <c r="AB1" s="97"/>
      <c r="AC1" s="97"/>
      <c r="AD1" s="100"/>
      <c r="AE1" s="309"/>
      <c r="AF1" s="307"/>
      <c r="AG1" s="307"/>
      <c r="AH1" s="307"/>
      <c r="AI1" s="307"/>
      <c r="AJ1" s="307"/>
      <c r="AK1" s="307"/>
      <c r="AL1" s="307"/>
      <c r="AM1" s="307"/>
      <c r="AN1" s="307"/>
      <c r="AO1" s="307"/>
      <c r="AP1" s="307"/>
      <c r="AQ1" s="307"/>
      <c r="AR1" s="307"/>
      <c r="AS1" s="307"/>
      <c r="AT1" s="307"/>
      <c r="AU1" s="307"/>
      <c r="AV1" s="307"/>
      <c r="AW1" s="307"/>
      <c r="AX1" s="307"/>
      <c r="AY1" s="307"/>
      <c r="AZ1" s="307"/>
      <c r="BA1" s="307"/>
      <c r="BB1" s="307"/>
      <c r="BC1" s="307"/>
      <c r="BD1" s="307"/>
      <c r="BE1" s="307"/>
      <c r="BF1" s="307"/>
      <c r="BG1" s="307"/>
      <c r="BH1" s="307"/>
      <c r="BI1" s="307"/>
      <c r="BJ1" s="307"/>
      <c r="BK1" s="307"/>
      <c r="BL1" s="307"/>
      <c r="BM1" s="307"/>
      <c r="BN1" s="307"/>
      <c r="BO1" s="307"/>
      <c r="BP1" s="307"/>
      <c r="BQ1" s="307"/>
      <c r="BR1" s="307"/>
      <c r="BS1" s="307"/>
      <c r="BT1" s="307"/>
      <c r="BU1" s="307"/>
      <c r="BV1" s="307"/>
      <c r="BW1" s="307"/>
      <c r="BX1" s="307"/>
      <c r="BY1" s="307"/>
      <c r="BZ1" s="307"/>
      <c r="CA1" s="307"/>
      <c r="CB1" s="307"/>
      <c r="CC1" s="307"/>
      <c r="CD1" s="307"/>
      <c r="CE1" s="307"/>
      <c r="CF1" s="307"/>
    </row>
    <row r="2" hidden="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10"/>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row>
    <row r="3" hidden="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10"/>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row>
    <row r="4" hidden="1">
      <c r="A4" s="3"/>
      <c r="B4" s="311" t="s">
        <v>72</v>
      </c>
      <c r="C4" s="312" t="str">
        <f>'Schedule | CQ + Playoffs'!J4</f>
        <v>Best of 3</v>
      </c>
      <c r="D4" s="313"/>
      <c r="E4" s="314"/>
      <c r="F4" s="315"/>
      <c r="G4" s="311" t="s">
        <v>73</v>
      </c>
      <c r="H4" s="312" t="str">
        <f>'Schedule | CQ + Playoffs'!J10</f>
        <v>Best of 3</v>
      </c>
      <c r="I4" s="313"/>
      <c r="J4" s="314"/>
      <c r="K4" s="3"/>
      <c r="L4" s="3"/>
      <c r="M4" s="3"/>
      <c r="N4" s="3"/>
      <c r="O4" s="3"/>
      <c r="P4" s="3"/>
      <c r="Q4" s="3"/>
      <c r="R4" s="3"/>
      <c r="S4" s="3"/>
      <c r="T4" s="3"/>
      <c r="U4" s="3"/>
      <c r="V4" s="3"/>
      <c r="W4" s="3"/>
      <c r="X4" s="3"/>
      <c r="Y4" s="3"/>
      <c r="Z4" s="3"/>
      <c r="AA4" s="3"/>
      <c r="AB4" s="3"/>
      <c r="AC4" s="3"/>
      <c r="AD4" s="3"/>
      <c r="AE4" s="310"/>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row>
    <row r="5" hidden="1">
      <c r="A5" s="3"/>
      <c r="B5" s="316">
        <f>'Schedule | CQ + Playoffs'!E2</f>
        <v>46188</v>
      </c>
      <c r="C5" s="317" t="str">
        <f>'Schedule | CQ + Playoffs'!E4</f>
        <v>The Soulless Team</v>
      </c>
      <c r="D5" s="318" t="s">
        <v>278</v>
      </c>
      <c r="E5" s="319" t="s">
        <v>279</v>
      </c>
      <c r="F5" s="320"/>
      <c r="G5" s="316">
        <f>'Schedule | CQ + Playoffs'!E8</f>
        <v>46189</v>
      </c>
      <c r="H5" s="317" t="str">
        <f>'Schedule | CQ + Playoffs'!E10</f>
        <v>FORZE</v>
      </c>
      <c r="I5" s="318" t="s">
        <v>278</v>
      </c>
      <c r="J5" s="319" t="s">
        <v>279</v>
      </c>
      <c r="K5" s="321"/>
      <c r="L5" s="3"/>
      <c r="M5" s="3"/>
      <c r="N5" s="3"/>
      <c r="O5" s="3"/>
      <c r="P5" s="3"/>
      <c r="Q5" s="3"/>
      <c r="R5" s="3"/>
      <c r="S5" s="3"/>
      <c r="T5" s="3"/>
      <c r="U5" s="3"/>
      <c r="V5" s="3"/>
      <c r="W5" s="3"/>
      <c r="X5" s="3"/>
      <c r="Y5" s="3"/>
      <c r="Z5" s="3"/>
      <c r="AA5" s="3"/>
      <c r="AB5" s="3"/>
      <c r="AC5" s="3"/>
      <c r="AD5" s="3"/>
      <c r="AE5" s="310"/>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row>
    <row r="6" hidden="1">
      <c r="A6" s="3"/>
      <c r="B6" s="322">
        <f>'Schedule | CQ + Playoffs'!G4</f>
        <v>0.75</v>
      </c>
      <c r="C6" s="323" t="str">
        <f>'Schedule | CQ + Playoffs'!I4</f>
        <v>Suplex team</v>
      </c>
      <c r="D6" s="62"/>
      <c r="E6" s="95" t="str">
        <f>A27</f>
        <v/>
      </c>
      <c r="F6" s="43"/>
      <c r="G6" s="322">
        <f>'Schedule | CQ + Playoffs'!G10</f>
        <v>0.75</v>
      </c>
      <c r="H6" s="324" t="s">
        <v>280</v>
      </c>
      <c r="I6" s="62"/>
      <c r="J6" s="95" t="str">
        <f>F27</f>
        <v/>
      </c>
      <c r="K6" s="3"/>
      <c r="L6" s="311" t="s">
        <v>76</v>
      </c>
      <c r="M6" s="312" t="str">
        <f>'Schedule | CQ + Playoffs'!J16</f>
        <v>Best of 3</v>
      </c>
      <c r="N6" s="313"/>
      <c r="O6" s="314"/>
      <c r="P6" s="3"/>
      <c r="Q6" s="311" t="s">
        <v>77</v>
      </c>
      <c r="R6" s="312" t="str">
        <f>'Schedule | CQ + Playoffs'!J18</f>
        <v>Best of 3</v>
      </c>
      <c r="S6" s="313"/>
      <c r="T6" s="314"/>
      <c r="U6" s="3"/>
      <c r="V6" s="3"/>
      <c r="W6" s="3"/>
      <c r="X6" s="3"/>
      <c r="Y6" s="3"/>
      <c r="Z6" s="3"/>
      <c r="AA6" s="3"/>
      <c r="AB6" s="3"/>
      <c r="AC6" s="3"/>
      <c r="AD6" s="3"/>
      <c r="AE6" s="310"/>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row>
    <row r="7" hidden="1">
      <c r="A7" s="3"/>
      <c r="B7" s="3"/>
      <c r="C7" s="3"/>
      <c r="D7" s="3"/>
      <c r="E7" s="3"/>
      <c r="F7" s="3"/>
      <c r="G7" s="3"/>
      <c r="H7" s="3"/>
      <c r="I7" s="3"/>
      <c r="J7" s="3"/>
      <c r="K7" s="3"/>
      <c r="L7" s="316">
        <f>'Schedule | CQ + Playoffs'!E14</f>
        <v>46190</v>
      </c>
      <c r="M7" s="317" t="s">
        <v>281</v>
      </c>
      <c r="N7" s="318" t="s">
        <v>278</v>
      </c>
      <c r="O7" s="319" t="s">
        <v>279</v>
      </c>
      <c r="P7" s="325"/>
      <c r="Q7" s="316">
        <f>'Schedule | CQ + Playoffs'!E14</f>
        <v>46190</v>
      </c>
      <c r="R7" s="317" t="s">
        <v>282</v>
      </c>
      <c r="S7" s="318" t="s">
        <v>278</v>
      </c>
      <c r="T7" s="319" t="s">
        <v>279</v>
      </c>
      <c r="U7" s="321"/>
      <c r="V7" s="3"/>
      <c r="W7" s="3"/>
      <c r="X7" s="3"/>
      <c r="Y7" s="3"/>
      <c r="Z7" s="3"/>
      <c r="AA7" s="3"/>
      <c r="AB7" s="3"/>
      <c r="AC7" s="3"/>
      <c r="AD7" s="3"/>
      <c r="AE7" s="310"/>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row>
    <row r="8" hidden="1">
      <c r="A8" s="3"/>
      <c r="B8" s="311" t="s">
        <v>81</v>
      </c>
      <c r="C8" s="312" t="str">
        <f>'Schedule | CQ + Playoffs'!J5</f>
        <v>Best of 3</v>
      </c>
      <c r="D8" s="313"/>
      <c r="E8" s="314"/>
      <c r="F8" s="315"/>
      <c r="G8" s="311" t="s">
        <v>82</v>
      </c>
      <c r="H8" s="312" t="str">
        <f>'Schedule | CQ + Playoffs'!J11</f>
        <v>Best of 3</v>
      </c>
      <c r="I8" s="313"/>
      <c r="J8" s="314"/>
      <c r="K8" s="3"/>
      <c r="L8" s="322">
        <f>'Schedule | CQ + Playoffs'!G16</f>
        <v>0.75</v>
      </c>
      <c r="M8" s="324" t="s">
        <v>283</v>
      </c>
      <c r="N8" s="62"/>
      <c r="O8" s="95" t="str">
        <f>K29</f>
        <v/>
      </c>
      <c r="P8" s="3"/>
      <c r="Q8" s="322">
        <f>'Schedule | CQ + Playoffs'!G18</f>
        <v>0.875</v>
      </c>
      <c r="R8" s="324" t="s">
        <v>284</v>
      </c>
      <c r="S8" s="62"/>
      <c r="T8" s="95"/>
      <c r="U8" s="326"/>
      <c r="V8" s="3"/>
      <c r="W8" s="3"/>
      <c r="X8" s="3"/>
      <c r="Y8" s="3"/>
      <c r="Z8" s="3"/>
      <c r="AA8" s="3"/>
      <c r="AB8" s="3"/>
      <c r="AC8" s="3"/>
      <c r="AD8" s="3"/>
      <c r="AE8" s="310"/>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row>
    <row r="9" hidden="1">
      <c r="A9" s="3"/>
      <c r="B9" s="316">
        <f>'Schedule | CQ + Playoffs'!E2</f>
        <v>46188</v>
      </c>
      <c r="C9" s="317" t="str">
        <f>'Schedule | CQ + Playoffs'!E5</f>
        <v>HARD GRIND</v>
      </c>
      <c r="D9" s="318" t="s">
        <v>278</v>
      </c>
      <c r="E9" s="319" t="s">
        <v>279</v>
      </c>
      <c r="F9" s="320"/>
      <c r="G9" s="316">
        <f>'Schedule | CQ + Playoffs'!E8</f>
        <v>46189</v>
      </c>
      <c r="H9" s="317" t="str">
        <f>'Schedule | CQ + Playoffs'!E11</f>
        <v>CYBERHERO</v>
      </c>
      <c r="I9" s="318" t="s">
        <v>278</v>
      </c>
      <c r="J9" s="319" t="s">
        <v>279</v>
      </c>
      <c r="K9" s="327"/>
      <c r="L9" s="3"/>
      <c r="M9" s="3"/>
      <c r="N9" s="3"/>
      <c r="O9" s="3"/>
      <c r="P9" s="3"/>
      <c r="Q9" s="3"/>
      <c r="R9" s="3"/>
      <c r="S9" s="3"/>
      <c r="T9" s="3"/>
      <c r="U9" s="326"/>
      <c r="V9" s="3"/>
      <c r="W9" s="3"/>
      <c r="X9" s="3"/>
      <c r="Y9" s="3"/>
      <c r="Z9" s="3"/>
      <c r="AA9" s="3"/>
      <c r="AB9" s="3"/>
      <c r="AC9" s="3"/>
      <c r="AD9" s="3"/>
      <c r="AE9" s="310"/>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row>
    <row r="10" hidden="1">
      <c r="A10" s="3"/>
      <c r="B10" s="322">
        <f>'Schedule | CQ + Playoffs'!G5</f>
        <v>0.8125</v>
      </c>
      <c r="C10" s="328" t="str">
        <f>'Schedule | CQ + Playoffs'!I5</f>
        <v>Dark Phoenix</v>
      </c>
      <c r="D10" s="62"/>
      <c r="E10" s="95" t="str">
        <f>A32</f>
        <v/>
      </c>
      <c r="F10" s="43"/>
      <c r="G10" s="322">
        <f>'Schedule | CQ + Playoffs'!G11</f>
        <v>0.8125</v>
      </c>
      <c r="H10" s="324" t="s">
        <v>285</v>
      </c>
      <c r="I10" s="62"/>
      <c r="J10" s="95" t="str">
        <f>F32</f>
        <v/>
      </c>
      <c r="K10" s="3"/>
      <c r="L10" s="3"/>
      <c r="M10" s="3"/>
      <c r="N10" s="3"/>
      <c r="O10" s="3"/>
      <c r="P10" s="3"/>
      <c r="Q10" s="3"/>
      <c r="R10" s="3"/>
      <c r="S10" s="3"/>
      <c r="T10" s="3"/>
      <c r="U10" s="3"/>
      <c r="V10" s="311" t="s">
        <v>85</v>
      </c>
      <c r="W10" s="312" t="str">
        <f>'Schedule | CQ + Playoffs'!J22</f>
        <v>Best of 5</v>
      </c>
      <c r="X10" s="313"/>
      <c r="Y10" s="314"/>
      <c r="Z10" s="3"/>
      <c r="AA10" s="3"/>
      <c r="AB10" s="3"/>
      <c r="AC10" s="3"/>
      <c r="AD10" s="3"/>
      <c r="AE10" s="310"/>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row>
    <row r="11" hidden="1">
      <c r="A11" s="3"/>
      <c r="B11" s="3"/>
      <c r="C11" s="3"/>
      <c r="D11" s="3"/>
      <c r="E11" s="3"/>
      <c r="F11" s="3"/>
      <c r="G11" s="3"/>
      <c r="H11" s="3"/>
      <c r="I11" s="3"/>
      <c r="J11" s="3"/>
      <c r="K11" s="3"/>
      <c r="L11" s="3"/>
      <c r="M11" s="3"/>
      <c r="N11" s="3"/>
      <c r="O11" s="3"/>
      <c r="P11" s="3"/>
      <c r="Q11" s="3"/>
      <c r="R11" s="3"/>
      <c r="S11" s="3"/>
      <c r="T11" s="3"/>
      <c r="U11" s="3"/>
      <c r="V11" s="316">
        <f>'Schedule | CQ + Playoffs'!E20</f>
        <v>46191</v>
      </c>
      <c r="W11" s="317" t="s">
        <v>286</v>
      </c>
      <c r="X11" s="318" t="s">
        <v>278</v>
      </c>
      <c r="Y11" s="319" t="s">
        <v>279</v>
      </c>
      <c r="Z11" s="3"/>
      <c r="AA11" s="3"/>
      <c r="AB11" s="3"/>
      <c r="AC11" s="3"/>
      <c r="AD11" s="3"/>
      <c r="AE11" s="310"/>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row>
    <row r="12" hidden="1">
      <c r="A12" s="3"/>
      <c r="B12" s="311" t="s">
        <v>88</v>
      </c>
      <c r="C12" s="312" t="str">
        <f>'Schedule | CQ + Playoffs'!J6</f>
        <v>Best of 3</v>
      </c>
      <c r="D12" s="313"/>
      <c r="E12" s="314"/>
      <c r="F12" s="315"/>
      <c r="G12" s="311" t="s">
        <v>89</v>
      </c>
      <c r="H12" s="312" t="str">
        <f>'Schedule | CQ + Playoffs'!J12</f>
        <v>Best of 3</v>
      </c>
      <c r="I12" s="313"/>
      <c r="J12" s="314"/>
      <c r="K12" s="3"/>
      <c r="L12" s="3"/>
      <c r="M12" s="3"/>
      <c r="N12" s="3"/>
      <c r="O12" s="3"/>
      <c r="P12" s="3"/>
      <c r="Q12" s="3"/>
      <c r="R12" s="3"/>
      <c r="S12" s="3"/>
      <c r="T12" s="3"/>
      <c r="U12" s="3"/>
      <c r="V12" s="322">
        <f>'Schedule | CQ + Playoffs'!G22</f>
        <v>0.6666666667</v>
      </c>
      <c r="W12" s="324" t="s">
        <v>287</v>
      </c>
      <c r="X12" s="329"/>
      <c r="Y12" s="95"/>
      <c r="Z12" s="3"/>
      <c r="AA12" s="3"/>
      <c r="AB12" s="3"/>
      <c r="AC12" s="3"/>
      <c r="AD12" s="3"/>
      <c r="AE12" s="310"/>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row>
    <row r="13" hidden="1">
      <c r="A13" s="3"/>
      <c r="B13" s="316">
        <f>'Schedule | CQ + Playoffs'!E2</f>
        <v>46188</v>
      </c>
      <c r="C13" s="317" t="str">
        <f>'Schedule | CQ + Playoffs'!E6</f>
        <v>TSA White</v>
      </c>
      <c r="D13" s="318" t="s">
        <v>278</v>
      </c>
      <c r="E13" s="319" t="s">
        <v>279</v>
      </c>
      <c r="F13" s="320"/>
      <c r="G13" s="316">
        <f>'Schedule | CQ + Playoffs'!E8</f>
        <v>46189</v>
      </c>
      <c r="H13" s="317" t="str">
        <f>'Schedule | CQ + Playoffs'!E12</f>
        <v>Magic</v>
      </c>
      <c r="I13" s="318" t="s">
        <v>278</v>
      </c>
      <c r="J13" s="319" t="s">
        <v>279</v>
      </c>
      <c r="K13" s="321"/>
      <c r="L13" s="3"/>
      <c r="M13" s="3"/>
      <c r="N13" s="3"/>
      <c r="O13" s="3"/>
      <c r="P13" s="3"/>
      <c r="Q13" s="3"/>
      <c r="R13" s="3"/>
      <c r="S13" s="3"/>
      <c r="T13" s="3"/>
      <c r="U13" s="326"/>
      <c r="V13" s="3"/>
      <c r="W13" s="3"/>
      <c r="X13" s="3"/>
      <c r="Y13" s="3"/>
      <c r="Z13" s="3"/>
      <c r="AA13" s="3"/>
      <c r="AB13" s="3"/>
      <c r="AC13" s="3"/>
      <c r="AD13" s="3"/>
      <c r="AE13" s="310"/>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row>
    <row r="14" hidden="1">
      <c r="A14" s="3"/>
      <c r="B14" s="322">
        <f>'Schedule | CQ + Playoffs'!G6</f>
        <v>0.875</v>
      </c>
      <c r="C14" s="328" t="str">
        <f>'Schedule | CQ + Playoffs'!I6</f>
        <v>Omnix</v>
      </c>
      <c r="D14" s="62"/>
      <c r="E14" s="95"/>
      <c r="F14" s="43"/>
      <c r="G14" s="322">
        <f>'Schedule | CQ + Playoffs'!G12</f>
        <v>0.875</v>
      </c>
      <c r="H14" s="324" t="s">
        <v>288</v>
      </c>
      <c r="I14" s="62"/>
      <c r="J14" s="95"/>
      <c r="K14" s="3"/>
      <c r="L14" s="311" t="s">
        <v>92</v>
      </c>
      <c r="M14" s="312" t="str">
        <f>'Schedule | CQ + Playoffs'!J17</f>
        <v>Best of 3</v>
      </c>
      <c r="N14" s="313"/>
      <c r="O14" s="314"/>
      <c r="P14" s="3"/>
      <c r="Q14" s="166" t="s">
        <v>93</v>
      </c>
      <c r="R14" s="330" t="str">
        <f>'Schedule | CQ + Playoffs'!J19</f>
        <v>Best of 3</v>
      </c>
      <c r="S14" s="313"/>
      <c r="T14" s="314"/>
      <c r="U14" s="327"/>
      <c r="V14" s="3"/>
      <c r="W14" s="3"/>
      <c r="X14" s="3"/>
      <c r="Y14" s="3"/>
      <c r="Z14" s="3"/>
      <c r="AA14" s="3"/>
      <c r="AB14" s="3"/>
      <c r="AC14" s="3"/>
      <c r="AD14" s="3"/>
      <c r="AE14" s="310"/>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row>
    <row r="15" hidden="1">
      <c r="A15" s="3"/>
      <c r="B15" s="3"/>
      <c r="C15" s="3"/>
      <c r="D15" s="3"/>
      <c r="E15" s="3"/>
      <c r="F15" s="3"/>
      <c r="G15" s="3"/>
      <c r="H15" s="3"/>
      <c r="I15" s="3"/>
      <c r="J15" s="3"/>
      <c r="K15" s="3"/>
      <c r="L15" s="316">
        <f>'Schedule | CQ + Playoffs'!E14</f>
        <v>46190</v>
      </c>
      <c r="M15" s="317" t="s">
        <v>289</v>
      </c>
      <c r="N15" s="318" t="s">
        <v>278</v>
      </c>
      <c r="O15" s="319" t="s">
        <v>279</v>
      </c>
      <c r="P15" s="325"/>
      <c r="Q15" s="316">
        <f>'Schedule | CQ + Playoffs'!E14</f>
        <v>46190</v>
      </c>
      <c r="R15" s="317" t="s">
        <v>67</v>
      </c>
      <c r="S15" s="318" t="s">
        <v>278</v>
      </c>
      <c r="T15" s="319" t="s">
        <v>279</v>
      </c>
      <c r="U15" s="3"/>
      <c r="V15" s="3"/>
      <c r="W15" s="3"/>
      <c r="X15" s="3"/>
      <c r="Y15" s="3"/>
      <c r="Z15" s="3"/>
      <c r="AA15" s="3"/>
      <c r="AB15" s="3"/>
      <c r="AC15" s="3"/>
      <c r="AD15" s="3"/>
      <c r="AE15" s="310"/>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row>
    <row r="16" hidden="1">
      <c r="A16" s="3"/>
      <c r="B16" s="166" t="s">
        <v>94</v>
      </c>
      <c r="C16" s="330" t="str">
        <f>'Schedule | CQ + Playoffs'!J7</f>
        <v>Best of 3</v>
      </c>
      <c r="D16" s="313"/>
      <c r="E16" s="314"/>
      <c r="F16" s="315"/>
      <c r="G16" s="311" t="s">
        <v>95</v>
      </c>
      <c r="H16" s="312" t="str">
        <f>'Schedule | CQ + Playoffs'!J13</f>
        <v>Best of 3</v>
      </c>
      <c r="I16" s="313"/>
      <c r="J16" s="314"/>
      <c r="K16" s="3"/>
      <c r="L16" s="322">
        <f>'Schedule | CQ + Playoffs'!G17</f>
        <v>0.8125</v>
      </c>
      <c r="M16" s="324" t="s">
        <v>290</v>
      </c>
      <c r="N16" s="62"/>
      <c r="O16" s="95"/>
      <c r="P16" s="3"/>
      <c r="Q16" s="322">
        <f>'Schedule | CQ + Playoffs'!G19</f>
        <v>0.9375</v>
      </c>
      <c r="R16" s="324" t="s">
        <v>291</v>
      </c>
      <c r="S16" s="62"/>
      <c r="T16" s="95"/>
      <c r="U16" s="3"/>
      <c r="V16" s="3"/>
      <c r="W16" s="3"/>
      <c r="X16" s="3"/>
      <c r="Y16" s="3"/>
      <c r="Z16" s="3"/>
      <c r="AA16" s="3"/>
      <c r="AB16" s="3"/>
      <c r="AC16" s="3"/>
      <c r="AD16" s="3"/>
      <c r="AE16" s="310"/>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row>
    <row r="17" hidden="1">
      <c r="A17" s="3"/>
      <c r="B17" s="316">
        <f>'Schedule | CQ + Playoffs'!E2</f>
        <v>46188</v>
      </c>
      <c r="C17" s="317" t="str">
        <f>'Schedule | CQ + Playoffs'!E7</f>
        <v>INVISION</v>
      </c>
      <c r="D17" s="318" t="s">
        <v>278</v>
      </c>
      <c r="E17" s="319" t="s">
        <v>279</v>
      </c>
      <c r="F17" s="320"/>
      <c r="G17" s="316">
        <f>'Schedule | CQ + Playoffs'!E8</f>
        <v>46189</v>
      </c>
      <c r="H17" s="317" t="str">
        <f>'Schedule | CQ + Playoffs'!E13</f>
        <v>Aura Farmers</v>
      </c>
      <c r="I17" s="318" t="s">
        <v>278</v>
      </c>
      <c r="J17" s="319" t="s">
        <v>279</v>
      </c>
      <c r="K17" s="327"/>
      <c r="L17" s="3"/>
      <c r="M17" s="3"/>
      <c r="N17" s="3"/>
      <c r="O17" s="3"/>
      <c r="P17" s="3"/>
      <c r="Q17" s="3"/>
      <c r="R17" s="3"/>
      <c r="S17" s="3"/>
      <c r="T17" s="3"/>
      <c r="U17" s="3"/>
      <c r="V17" s="3"/>
      <c r="W17" s="3"/>
      <c r="X17" s="3"/>
      <c r="Y17" s="3"/>
      <c r="Z17" s="3"/>
      <c r="AA17" s="3"/>
      <c r="AB17" s="3"/>
      <c r="AC17" s="3"/>
      <c r="AD17" s="3"/>
      <c r="AE17" s="310"/>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row>
    <row r="18" hidden="1">
      <c r="A18" s="3"/>
      <c r="B18" s="322">
        <f>'Schedule | CQ + Playoffs'!G7</f>
        <v>0.9375</v>
      </c>
      <c r="C18" s="328" t="str">
        <f>'Schedule | CQ + Playoffs'!I7</f>
        <v>Aterion Esports</v>
      </c>
      <c r="D18" s="62"/>
      <c r="E18" s="95"/>
      <c r="F18" s="43"/>
      <c r="G18" s="322">
        <f>'Schedule | CQ + Playoffs'!G13</f>
        <v>0.9375</v>
      </c>
      <c r="H18" s="324" t="s">
        <v>292</v>
      </c>
      <c r="I18" s="62"/>
      <c r="J18" s="95"/>
      <c r="K18" s="3"/>
      <c r="L18" s="3"/>
      <c r="M18" s="3"/>
      <c r="N18" s="3"/>
      <c r="O18" s="3"/>
      <c r="P18" s="3"/>
      <c r="Q18" s="3"/>
      <c r="R18" s="3"/>
      <c r="S18" s="3"/>
      <c r="T18" s="3"/>
      <c r="U18" s="3"/>
      <c r="V18" s="3"/>
      <c r="W18" s="3"/>
      <c r="X18" s="3"/>
      <c r="Y18" s="3"/>
      <c r="Z18" s="3"/>
      <c r="AA18" s="3"/>
      <c r="AB18" s="3"/>
      <c r="AC18" s="3"/>
      <c r="AD18" s="3"/>
      <c r="AE18" s="310"/>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row>
    <row r="19" hidden="1">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10"/>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row>
    <row r="20" hidden="1">
      <c r="A20" s="331"/>
      <c r="B20" s="331"/>
      <c r="C20" s="331"/>
      <c r="D20" s="331"/>
      <c r="E20" s="331"/>
      <c r="F20" s="331"/>
      <c r="G20" s="331"/>
      <c r="H20" s="331"/>
      <c r="I20" s="331"/>
      <c r="J20" s="331"/>
      <c r="K20" s="331"/>
      <c r="L20" s="331"/>
      <c r="M20" s="331"/>
      <c r="N20" s="331"/>
      <c r="O20" s="331"/>
      <c r="P20" s="331"/>
      <c r="Q20" s="331"/>
      <c r="R20" s="331"/>
      <c r="S20" s="331"/>
      <c r="T20" s="331"/>
      <c r="U20" s="331"/>
      <c r="V20" s="331"/>
      <c r="W20" s="331"/>
      <c r="X20" s="331"/>
      <c r="Y20" s="331"/>
      <c r="Z20" s="331"/>
      <c r="AA20" s="331"/>
      <c r="AB20" s="331"/>
      <c r="AC20" s="331"/>
      <c r="AD20" s="331"/>
      <c r="AE20" s="332"/>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row>
    <row r="21" hidden="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10"/>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row>
    <row r="22" hidden="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10"/>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row>
    <row r="23" hidden="1">
      <c r="A23" s="3"/>
      <c r="B23" s="3"/>
      <c r="C23" s="3"/>
      <c r="D23" s="3"/>
      <c r="E23" s="3"/>
      <c r="F23" s="3"/>
      <c r="G23" s="3"/>
      <c r="H23" s="3"/>
      <c r="I23" s="3"/>
      <c r="J23" s="3"/>
      <c r="K23" s="3"/>
      <c r="L23" s="3"/>
      <c r="M23" s="3"/>
      <c r="N23" s="3"/>
      <c r="O23" s="3"/>
      <c r="P23" s="3"/>
      <c r="Q23" s="311" t="s">
        <v>97</v>
      </c>
      <c r="R23" s="312" t="str">
        <f>'Schedule | CQ + Playoffs'!J23</f>
        <v>Best of 5</v>
      </c>
      <c r="S23" s="313"/>
      <c r="T23" s="314"/>
      <c r="U23" s="3"/>
      <c r="V23" s="3"/>
      <c r="W23" s="3"/>
      <c r="X23" s="3"/>
      <c r="Y23" s="3"/>
      <c r="Z23" s="2"/>
      <c r="AA23" s="2"/>
      <c r="AB23" s="2"/>
      <c r="AC23" s="2"/>
      <c r="AD23" s="2"/>
      <c r="AE23" s="310"/>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row>
    <row r="24" hidden="1">
      <c r="A24" s="3"/>
      <c r="B24" s="3"/>
      <c r="C24" s="3"/>
      <c r="D24" s="3"/>
      <c r="E24" s="3"/>
      <c r="F24" s="3"/>
      <c r="G24" s="3"/>
      <c r="H24" s="3"/>
      <c r="I24" s="3"/>
      <c r="J24" s="3"/>
      <c r="K24" s="3"/>
      <c r="L24" s="3"/>
      <c r="M24" s="3"/>
      <c r="N24" s="3"/>
      <c r="O24" s="3"/>
      <c r="P24" s="3"/>
      <c r="Q24" s="316">
        <f>'Schedule | CQ + Playoffs'!E20</f>
        <v>46191</v>
      </c>
      <c r="R24" s="317" t="s">
        <v>293</v>
      </c>
      <c r="S24" s="318" t="s">
        <v>278</v>
      </c>
      <c r="T24" s="319" t="s">
        <v>279</v>
      </c>
      <c r="U24" s="321"/>
      <c r="V24" s="3"/>
      <c r="W24" s="3"/>
      <c r="X24" s="3"/>
      <c r="Y24" s="3"/>
      <c r="Z24" s="2"/>
      <c r="AA24" s="2"/>
      <c r="AB24" s="2"/>
      <c r="AC24" s="2"/>
      <c r="AD24" s="2"/>
      <c r="AE24" s="310"/>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row>
    <row r="25" hidden="1">
      <c r="A25" s="3"/>
      <c r="B25" s="3"/>
      <c r="C25" s="3"/>
      <c r="D25" s="3"/>
      <c r="E25" s="3"/>
      <c r="F25" s="3"/>
      <c r="G25" s="3"/>
      <c r="H25" s="3"/>
      <c r="I25" s="3"/>
      <c r="J25" s="3"/>
      <c r="K25" s="3"/>
      <c r="L25" s="3"/>
      <c r="M25" s="3"/>
      <c r="N25" s="3"/>
      <c r="O25" s="3"/>
      <c r="P25" s="3"/>
      <c r="Q25" s="322">
        <f>'Schedule | CQ + Playoffs'!G23</f>
        <v>0.7291666667</v>
      </c>
      <c r="R25" s="324" t="s">
        <v>294</v>
      </c>
      <c r="S25" s="62"/>
      <c r="T25" s="95"/>
      <c r="U25" s="3"/>
      <c r="V25" s="311" t="s">
        <v>98</v>
      </c>
      <c r="W25" s="312" t="str">
        <f>'Schedule | CQ + Playoffs'!J27</f>
        <v>Best of 5</v>
      </c>
      <c r="X25" s="313"/>
      <c r="Y25" s="314"/>
      <c r="Z25" s="315"/>
      <c r="AA25" s="311" t="s">
        <v>99</v>
      </c>
      <c r="AB25" s="312" t="str">
        <f>'Schedule | CQ + Playoffs'!J28</f>
        <v>Best of 7</v>
      </c>
      <c r="AC25" s="313"/>
      <c r="AD25" s="314"/>
      <c r="AE25" s="310"/>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row>
    <row r="26" hidden="1">
      <c r="A26" s="3"/>
      <c r="B26" s="3"/>
      <c r="C26" s="3"/>
      <c r="D26" s="3"/>
      <c r="E26" s="3"/>
      <c r="F26" s="3"/>
      <c r="G26" s="3"/>
      <c r="H26" s="3"/>
      <c r="I26" s="3"/>
      <c r="J26" s="3"/>
      <c r="K26" s="3"/>
      <c r="L26" s="3"/>
      <c r="M26" s="3"/>
      <c r="N26" s="3"/>
      <c r="O26" s="3"/>
      <c r="P26" s="3"/>
      <c r="Q26" s="3"/>
      <c r="R26" s="3"/>
      <c r="S26" s="3"/>
      <c r="T26" s="3"/>
      <c r="U26" s="3"/>
      <c r="V26" s="316">
        <f>'Schedule | CQ + Playoffs'!E25</f>
        <v>46192</v>
      </c>
      <c r="W26" s="317" t="s">
        <v>295</v>
      </c>
      <c r="X26" s="318" t="s">
        <v>278</v>
      </c>
      <c r="Y26" s="319" t="s">
        <v>279</v>
      </c>
      <c r="Z26" s="320"/>
      <c r="AA26" s="316">
        <f>'Schedule | CQ + Playoffs'!E25</f>
        <v>46192</v>
      </c>
      <c r="AB26" s="317" t="s">
        <v>296</v>
      </c>
      <c r="AC26" s="318" t="s">
        <v>278</v>
      </c>
      <c r="AD26" s="319" t="s">
        <v>279</v>
      </c>
      <c r="AE26" s="333"/>
      <c r="AF26" s="334"/>
      <c r="AG26" s="334"/>
      <c r="AH26" s="334"/>
      <c r="AI26" s="334"/>
      <c r="AJ26" s="334"/>
      <c r="AK26" s="334"/>
      <c r="AL26" s="334"/>
      <c r="AM26" s="334"/>
      <c r="AN26" s="334"/>
      <c r="AO26" s="334"/>
      <c r="AP26" s="334"/>
      <c r="AQ26" s="334"/>
      <c r="AR26" s="334"/>
      <c r="AS26" s="334"/>
      <c r="AT26" s="334"/>
      <c r="AU26" s="334"/>
      <c r="AV26" s="334"/>
      <c r="AW26" s="334"/>
      <c r="AX26" s="334"/>
      <c r="AY26" s="334"/>
      <c r="AZ26" s="334"/>
      <c r="BA26" s="334"/>
      <c r="BB26" s="334"/>
      <c r="BC26" s="334"/>
      <c r="BD26" s="334"/>
      <c r="BE26" s="334"/>
      <c r="BF26" s="334"/>
      <c r="BG26" s="334"/>
      <c r="BH26" s="334"/>
      <c r="BI26" s="334"/>
      <c r="BJ26" s="334"/>
      <c r="BK26" s="334"/>
      <c r="BL26" s="334"/>
      <c r="BM26" s="334"/>
      <c r="BN26" s="334"/>
      <c r="BO26" s="334"/>
      <c r="BP26" s="334"/>
      <c r="BQ26" s="334"/>
      <c r="BR26" s="334"/>
      <c r="BS26" s="334"/>
      <c r="BT26" s="334"/>
      <c r="BU26" s="334"/>
      <c r="BV26" s="334"/>
      <c r="BW26" s="334"/>
      <c r="BX26" s="334"/>
      <c r="BY26" s="334"/>
      <c r="BZ26" s="334"/>
      <c r="CA26" s="334"/>
      <c r="CB26" s="334"/>
      <c r="CC26" s="334"/>
      <c r="CD26" s="334"/>
      <c r="CE26" s="334"/>
      <c r="CF26" s="334"/>
    </row>
    <row r="27" hidden="1">
      <c r="A27" s="3"/>
      <c r="B27" s="3"/>
      <c r="C27" s="3"/>
      <c r="D27" s="3"/>
      <c r="E27" s="3"/>
      <c r="F27" s="3"/>
      <c r="G27" s="3"/>
      <c r="H27" s="3"/>
      <c r="I27" s="3"/>
      <c r="J27" s="3"/>
      <c r="K27" s="3"/>
      <c r="L27" s="3"/>
      <c r="M27" s="3"/>
      <c r="N27" s="3"/>
      <c r="O27" s="3"/>
      <c r="P27" s="3"/>
      <c r="Q27" s="311" t="s">
        <v>100</v>
      </c>
      <c r="R27" s="312" t="str">
        <f>'Schedule | CQ + Playoffs'!J24</f>
        <v>Best of 5</v>
      </c>
      <c r="S27" s="313"/>
      <c r="T27" s="314"/>
      <c r="U27" s="3"/>
      <c r="V27" s="322">
        <f>'Schedule | CQ + Playoffs'!G27</f>
        <v>0.6666666667</v>
      </c>
      <c r="W27" s="324" t="s">
        <v>297</v>
      </c>
      <c r="X27" s="62"/>
      <c r="Y27" s="95"/>
      <c r="Z27" s="43"/>
      <c r="AA27" s="322">
        <f>'Schedule | CQ + Playoffs'!G28</f>
        <v>0.7291666667</v>
      </c>
      <c r="AB27" s="324" t="s">
        <v>298</v>
      </c>
      <c r="AC27" s="329"/>
      <c r="AD27" s="95" t="str">
        <f>Z187</f>
        <v/>
      </c>
      <c r="AE27" s="335"/>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row>
    <row r="28" hidden="1">
      <c r="A28" s="3"/>
      <c r="B28" s="3"/>
      <c r="C28" s="3"/>
      <c r="D28" s="3"/>
      <c r="E28" s="3"/>
      <c r="F28" s="3"/>
      <c r="G28" s="3"/>
      <c r="H28" s="3"/>
      <c r="I28" s="3"/>
      <c r="J28" s="3"/>
      <c r="K28" s="3"/>
      <c r="L28" s="3"/>
      <c r="M28" s="3"/>
      <c r="N28" s="3"/>
      <c r="O28" s="3"/>
      <c r="P28" s="3"/>
      <c r="Q28" s="316">
        <f>'Schedule | CQ + Playoffs'!E20</f>
        <v>46191</v>
      </c>
      <c r="R28" s="317" t="s">
        <v>299</v>
      </c>
      <c r="S28" s="318" t="s">
        <v>278</v>
      </c>
      <c r="T28" s="319" t="s">
        <v>279</v>
      </c>
      <c r="U28" s="327"/>
      <c r="V28" s="3"/>
      <c r="W28" s="3"/>
      <c r="X28" s="3"/>
      <c r="Y28" s="3"/>
      <c r="Z28" s="2"/>
      <c r="AA28" s="2"/>
      <c r="AB28" s="2"/>
      <c r="AC28" s="2"/>
      <c r="AD28" s="2"/>
      <c r="AE28" s="335"/>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row>
    <row r="29" hidden="1">
      <c r="A29" s="3"/>
      <c r="B29" s="3"/>
      <c r="C29" s="3"/>
      <c r="D29" s="3"/>
      <c r="E29" s="3"/>
      <c r="F29" s="3"/>
      <c r="G29" s="3"/>
      <c r="H29" s="3"/>
      <c r="I29" s="3"/>
      <c r="J29" s="3"/>
      <c r="K29" s="3"/>
      <c r="L29" s="3"/>
      <c r="M29" s="3"/>
      <c r="N29" s="3"/>
      <c r="O29" s="3"/>
      <c r="P29" s="3"/>
      <c r="Q29" s="322">
        <f>'Schedule | CQ + Playoffs'!G24</f>
        <v>0.7916666667</v>
      </c>
      <c r="R29" s="324" t="s">
        <v>300</v>
      </c>
      <c r="S29" s="62"/>
      <c r="T29" s="95"/>
      <c r="U29" s="3"/>
      <c r="V29" s="3"/>
      <c r="W29" s="3"/>
      <c r="X29" s="3"/>
      <c r="Y29" s="3"/>
      <c r="Z29" s="2"/>
      <c r="AA29" s="2"/>
      <c r="AB29" s="2"/>
      <c r="AC29" s="2"/>
      <c r="AD29" s="2"/>
      <c r="AE29" s="310"/>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row>
    <row r="30" hidden="1">
      <c r="A30" s="3"/>
      <c r="B30" s="3"/>
      <c r="C30" s="3"/>
      <c r="D30" s="3"/>
      <c r="E30" s="3"/>
      <c r="F30" s="3"/>
      <c r="G30" s="3"/>
      <c r="H30" s="3"/>
      <c r="I30" s="3"/>
      <c r="J30" s="3"/>
      <c r="K30" s="3"/>
      <c r="L30" s="3"/>
      <c r="M30" s="3"/>
      <c r="N30" s="3"/>
      <c r="O30" s="3"/>
      <c r="P30" s="3"/>
      <c r="Q30" s="3"/>
      <c r="R30" s="3"/>
      <c r="S30" s="3"/>
      <c r="T30" s="3"/>
      <c r="U30" s="3"/>
      <c r="V30" s="3"/>
      <c r="W30" s="3"/>
      <c r="X30" s="3"/>
      <c r="Y30" s="3"/>
      <c r="Z30" s="2"/>
      <c r="AA30" s="2"/>
      <c r="AB30" s="2"/>
      <c r="AC30" s="2"/>
      <c r="AD30" s="2"/>
      <c r="AE30" s="310"/>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row>
    <row r="31" hidden="1">
      <c r="A31" s="3"/>
      <c r="B31" s="3"/>
      <c r="C31" s="3"/>
      <c r="D31" s="3"/>
      <c r="E31" s="3"/>
      <c r="F31" s="3"/>
      <c r="G31" s="3"/>
      <c r="H31" s="3"/>
      <c r="I31" s="3"/>
      <c r="J31" s="3"/>
      <c r="K31" s="3"/>
      <c r="L31" s="3"/>
      <c r="M31" s="3"/>
      <c r="N31" s="3"/>
      <c r="O31" s="3"/>
      <c r="P31" s="3"/>
      <c r="Q31" s="3"/>
      <c r="R31" s="3"/>
      <c r="S31" s="3"/>
      <c r="T31" s="3"/>
      <c r="U31" s="3"/>
      <c r="V31" s="3"/>
      <c r="W31" s="3"/>
      <c r="X31" s="3"/>
      <c r="Y31" s="3"/>
      <c r="Z31" s="2"/>
      <c r="AA31" s="2"/>
      <c r="AB31" s="2"/>
      <c r="AC31" s="2"/>
      <c r="AD31" s="2"/>
      <c r="AE31" s="310"/>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row>
    <row r="32" ht="26.25" hidden="1" customHeight="1">
      <c r="A32" s="307"/>
      <c r="B32" s="336" t="s">
        <v>301</v>
      </c>
      <c r="C32" s="97"/>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100"/>
      <c r="AE32" s="309"/>
      <c r="AF32" s="307"/>
      <c r="AG32" s="307"/>
      <c r="AH32" s="307"/>
      <c r="AI32" s="307"/>
      <c r="AJ32" s="307"/>
      <c r="AK32" s="307"/>
      <c r="AL32" s="307"/>
      <c r="AM32" s="307"/>
      <c r="AN32" s="307"/>
      <c r="AO32" s="307"/>
      <c r="AP32" s="307"/>
      <c r="AQ32" s="307"/>
      <c r="AR32" s="307"/>
      <c r="AS32" s="307"/>
      <c r="AT32" s="307"/>
      <c r="AU32" s="307"/>
      <c r="AV32" s="307"/>
      <c r="AW32" s="307"/>
      <c r="AX32" s="307"/>
      <c r="AY32" s="307"/>
      <c r="AZ32" s="307"/>
      <c r="BA32" s="307"/>
      <c r="BB32" s="307"/>
      <c r="BC32" s="307"/>
      <c r="BD32" s="307"/>
      <c r="BE32" s="307"/>
      <c r="BF32" s="307"/>
      <c r="BG32" s="307"/>
      <c r="BH32" s="307"/>
      <c r="BI32" s="307"/>
      <c r="BJ32" s="307"/>
      <c r="BK32" s="307"/>
      <c r="BL32" s="307"/>
      <c r="BM32" s="307"/>
      <c r="BN32" s="307"/>
      <c r="BO32" s="307"/>
      <c r="BP32" s="307"/>
      <c r="BQ32" s="307"/>
      <c r="BR32" s="307"/>
      <c r="BS32" s="307"/>
      <c r="BT32" s="307"/>
      <c r="BU32" s="307"/>
      <c r="BV32" s="307"/>
      <c r="BW32" s="307"/>
      <c r="BX32" s="307"/>
      <c r="BY32" s="307"/>
      <c r="BZ32" s="307"/>
      <c r="CA32" s="307"/>
      <c r="CB32" s="307"/>
      <c r="CC32" s="307"/>
      <c r="CD32" s="307"/>
      <c r="CE32" s="307"/>
      <c r="CF32" s="307"/>
    </row>
    <row r="33" hidden="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10"/>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row>
    <row r="34" hidden="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10"/>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row>
    <row r="35" hidden="1">
      <c r="A35" s="3"/>
      <c r="B35" s="311" t="s">
        <v>72</v>
      </c>
      <c r="C35" s="312" t="str">
        <f>'Schedule | CQ + Playoffs'!S4</f>
        <v>Best of 5</v>
      </c>
      <c r="D35" s="313"/>
      <c r="E35" s="314"/>
      <c r="F35" s="3"/>
      <c r="G35" s="3"/>
      <c r="H35" s="3"/>
      <c r="I35" s="3"/>
      <c r="J35" s="3"/>
      <c r="K35" s="3"/>
      <c r="L35" s="3"/>
      <c r="M35" s="3"/>
      <c r="N35" s="3"/>
      <c r="O35" s="3"/>
      <c r="P35" s="3"/>
      <c r="Q35" s="3"/>
      <c r="R35" s="3"/>
      <c r="S35" s="3"/>
      <c r="T35" s="3"/>
      <c r="U35" s="3"/>
      <c r="V35" s="3"/>
      <c r="W35" s="3"/>
      <c r="X35" s="3"/>
      <c r="Y35" s="3"/>
      <c r="Z35" s="3"/>
      <c r="AA35" s="3"/>
      <c r="AB35" s="3"/>
      <c r="AC35" s="3"/>
      <c r="AD35" s="3"/>
      <c r="AE35" s="310"/>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row>
    <row r="36" hidden="1">
      <c r="A36" s="3"/>
      <c r="B36" s="316">
        <f>'Schedule | CQ + Playoffs'!M2</f>
        <v>46194</v>
      </c>
      <c r="C36" s="317" t="str">
        <f>'Schedule | CQ + Playoffs'!M4</f>
        <v>Team Spirit</v>
      </c>
      <c r="D36" s="318" t="s">
        <v>278</v>
      </c>
      <c r="E36" s="319" t="s">
        <v>279</v>
      </c>
      <c r="F36" s="321"/>
      <c r="G36" s="3"/>
      <c r="H36" s="3"/>
      <c r="I36" s="3"/>
      <c r="J36" s="3"/>
      <c r="K36" s="3"/>
      <c r="L36" s="3"/>
      <c r="M36" s="3"/>
      <c r="N36" s="3"/>
      <c r="O36" s="3"/>
      <c r="P36" s="3"/>
      <c r="Q36" s="2"/>
      <c r="R36" s="2"/>
      <c r="S36" s="2"/>
      <c r="T36" s="2"/>
      <c r="U36" s="3"/>
      <c r="V36" s="3"/>
      <c r="W36" s="3"/>
      <c r="X36" s="3"/>
      <c r="Y36" s="3"/>
      <c r="Z36" s="3"/>
      <c r="AA36" s="3"/>
      <c r="AB36" s="3"/>
      <c r="AC36" s="3"/>
      <c r="AD36" s="3"/>
      <c r="AE36" s="310"/>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row>
    <row r="37" hidden="1">
      <c r="A37" s="3"/>
      <c r="B37" s="322">
        <f>'Schedule | CQ + Playoffs'!O4</f>
        <v>0.625</v>
      </c>
      <c r="C37" s="324"/>
      <c r="D37" s="62"/>
      <c r="E37" s="95" t="str">
        <f>A59</f>
        <v/>
      </c>
      <c r="F37" s="3"/>
      <c r="G37" s="311" t="s">
        <v>88</v>
      </c>
      <c r="H37" s="312" t="str">
        <f>'Schedule | CQ + Playoffs'!S6</f>
        <v>Best of 5</v>
      </c>
      <c r="I37" s="313"/>
      <c r="J37" s="314"/>
      <c r="K37" s="3"/>
      <c r="L37" s="2"/>
      <c r="M37" s="2"/>
      <c r="N37" s="2"/>
      <c r="O37" s="2"/>
      <c r="P37" s="3"/>
      <c r="Q37" s="311" t="s">
        <v>82</v>
      </c>
      <c r="R37" s="312" t="str">
        <f>'Schedule | CQ + Playoffs'!S11</f>
        <v>Best of 7</v>
      </c>
      <c r="S37" s="313"/>
      <c r="T37" s="314"/>
      <c r="U37" s="3"/>
      <c r="V37" s="3"/>
      <c r="W37" s="3"/>
      <c r="X37" s="3"/>
      <c r="Y37" s="3"/>
      <c r="Z37" s="3"/>
      <c r="AA37" s="3"/>
      <c r="AB37" s="3"/>
      <c r="AC37" s="3"/>
      <c r="AD37" s="3"/>
      <c r="AE37" s="310"/>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row>
    <row r="38" hidden="1">
      <c r="A38" s="3"/>
      <c r="B38" s="3"/>
      <c r="C38" s="3"/>
      <c r="D38" s="3"/>
      <c r="E38" s="3"/>
      <c r="F38" s="3"/>
      <c r="G38" s="316">
        <f>'Schedule | CQ + Playoffs'!M2</f>
        <v>46194</v>
      </c>
      <c r="H38" s="317"/>
      <c r="I38" s="318" t="s">
        <v>278</v>
      </c>
      <c r="J38" s="319" t="s">
        <v>279</v>
      </c>
      <c r="K38" s="325"/>
      <c r="L38" s="337"/>
      <c r="M38" s="337"/>
      <c r="N38" s="337"/>
      <c r="O38" s="337"/>
      <c r="P38" s="325"/>
      <c r="Q38" s="316">
        <f>'Schedule | CQ + Playoffs'!M8</f>
        <v>46256</v>
      </c>
      <c r="R38" s="317"/>
      <c r="S38" s="318" t="s">
        <v>278</v>
      </c>
      <c r="T38" s="319" t="s">
        <v>279</v>
      </c>
      <c r="U38" s="3"/>
      <c r="V38" s="3"/>
      <c r="W38" s="3"/>
      <c r="X38" s="3"/>
      <c r="Y38" s="3"/>
      <c r="Z38" s="3"/>
      <c r="AA38" s="3"/>
      <c r="AB38" s="3"/>
      <c r="AC38" s="3"/>
      <c r="AD38" s="3"/>
      <c r="AE38" s="310"/>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row>
    <row r="39" hidden="1">
      <c r="A39" s="3"/>
      <c r="B39" s="311" t="s">
        <v>81</v>
      </c>
      <c r="C39" s="312" t="str">
        <f>'Schedule | CQ + Playoffs'!S5</f>
        <v>Best of 5</v>
      </c>
      <c r="D39" s="313"/>
      <c r="E39" s="314"/>
      <c r="F39" s="3"/>
      <c r="G39" s="322">
        <f>'Schedule | CQ + Playoffs'!O6</f>
        <v>0.75</v>
      </c>
      <c r="H39" s="324"/>
      <c r="I39" s="62"/>
      <c r="J39" s="95" t="str">
        <f>F61</f>
        <v/>
      </c>
      <c r="K39" s="3"/>
      <c r="L39" s="2"/>
      <c r="M39" s="2"/>
      <c r="N39" s="2"/>
      <c r="O39" s="2"/>
      <c r="P39" s="3"/>
      <c r="Q39" s="322" t="str">
        <f>'Schedule | CQ + Playoffs'!O11</f>
        <v/>
      </c>
      <c r="R39" s="324"/>
      <c r="S39" s="62"/>
      <c r="T39" s="95"/>
      <c r="U39" s="3"/>
      <c r="V39" s="3"/>
      <c r="W39" s="3"/>
      <c r="X39" s="3"/>
      <c r="Y39" s="3"/>
      <c r="Z39" s="3"/>
      <c r="AA39" s="3"/>
      <c r="AB39" s="3"/>
      <c r="AC39" s="3"/>
      <c r="AD39" s="3"/>
      <c r="AE39" s="310"/>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row>
    <row r="40" hidden="1">
      <c r="A40" s="3"/>
      <c r="B40" s="316">
        <f>'Schedule | CQ + Playoffs'!M2</f>
        <v>46194</v>
      </c>
      <c r="C40" s="317" t="str">
        <f>'Schedule | CQ + Playoffs'!M5</f>
        <v>Verso Time</v>
      </c>
      <c r="D40" s="318" t="s">
        <v>278</v>
      </c>
      <c r="E40" s="319" t="s">
        <v>279</v>
      </c>
      <c r="F40" s="327"/>
      <c r="G40" s="3"/>
      <c r="H40" s="3"/>
      <c r="I40" s="3"/>
      <c r="J40" s="3"/>
      <c r="K40" s="3"/>
      <c r="L40" s="3"/>
      <c r="M40" s="3"/>
      <c r="N40" s="3"/>
      <c r="O40" s="3"/>
      <c r="P40" s="326"/>
      <c r="Q40" s="3"/>
      <c r="R40" s="3"/>
      <c r="S40" s="3"/>
      <c r="T40" s="3"/>
      <c r="U40" s="3"/>
      <c r="V40" s="3"/>
      <c r="W40" s="3"/>
      <c r="X40" s="3"/>
      <c r="Y40" s="3"/>
      <c r="Z40" s="3"/>
      <c r="AA40" s="3"/>
      <c r="AB40" s="3"/>
      <c r="AC40" s="3"/>
      <c r="AD40" s="3"/>
      <c r="AE40" s="310"/>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row>
    <row r="41" hidden="1">
      <c r="A41" s="3"/>
      <c r="B41" s="322">
        <f>'Schedule | CQ + Playoffs'!O5</f>
        <v>0.6875</v>
      </c>
      <c r="C41" s="324"/>
      <c r="D41" s="62"/>
      <c r="E41" s="95" t="str">
        <f>A63</f>
        <v/>
      </c>
      <c r="F41" s="3"/>
      <c r="G41" s="3"/>
      <c r="H41" s="3"/>
      <c r="I41" s="3"/>
      <c r="J41" s="3"/>
      <c r="K41" s="3"/>
      <c r="L41" s="3"/>
      <c r="M41" s="3"/>
      <c r="N41" s="3"/>
      <c r="O41" s="3"/>
      <c r="P41" s="326"/>
      <c r="Q41" s="3"/>
      <c r="R41" s="3"/>
      <c r="S41" s="3"/>
      <c r="T41" s="3"/>
      <c r="U41" s="3"/>
      <c r="V41" s="3"/>
      <c r="W41" s="3"/>
      <c r="X41" s="3"/>
      <c r="Y41" s="3"/>
      <c r="Z41" s="3"/>
      <c r="AA41" s="3"/>
      <c r="AB41" s="3"/>
      <c r="AC41" s="3"/>
      <c r="AD41" s="3"/>
      <c r="AE41" s="310"/>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row>
    <row r="42" hidden="1">
      <c r="A42" s="3"/>
      <c r="B42" s="3"/>
      <c r="C42" s="3"/>
      <c r="D42" s="3"/>
      <c r="E42" s="3"/>
      <c r="F42" s="3"/>
      <c r="G42" s="3"/>
      <c r="H42" s="3"/>
      <c r="I42" s="3"/>
      <c r="J42" s="3"/>
      <c r="K42" s="3"/>
      <c r="L42" s="3"/>
      <c r="M42" s="3"/>
      <c r="N42" s="3"/>
      <c r="O42" s="3"/>
      <c r="P42" s="326"/>
      <c r="Q42" s="3"/>
      <c r="R42" s="3"/>
      <c r="S42" s="3"/>
      <c r="T42" s="3"/>
      <c r="U42" s="3"/>
      <c r="V42" s="3"/>
      <c r="W42" s="3"/>
      <c r="X42" s="3"/>
      <c r="Y42" s="3"/>
      <c r="Z42" s="3"/>
      <c r="AA42" s="3"/>
      <c r="AB42" s="3"/>
      <c r="AC42" s="3"/>
      <c r="AD42" s="3"/>
      <c r="AE42" s="310"/>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row>
    <row r="43" hidden="1">
      <c r="A43" s="3"/>
      <c r="B43" s="3"/>
      <c r="C43" s="3"/>
      <c r="D43" s="3"/>
      <c r="E43" s="3"/>
      <c r="F43" s="3"/>
      <c r="G43" s="3"/>
      <c r="H43" s="3"/>
      <c r="I43" s="3"/>
      <c r="J43" s="3"/>
      <c r="K43" s="3"/>
      <c r="L43" s="3"/>
      <c r="M43" s="3"/>
      <c r="N43" s="3"/>
      <c r="O43" s="3"/>
      <c r="P43" s="326"/>
      <c r="Q43" s="3"/>
      <c r="R43" s="3"/>
      <c r="S43" s="3"/>
      <c r="T43" s="3"/>
      <c r="U43" s="3"/>
      <c r="V43" s="3"/>
      <c r="W43" s="3"/>
      <c r="X43" s="3"/>
      <c r="Y43" s="3"/>
      <c r="Z43" s="3"/>
      <c r="AA43" s="3"/>
      <c r="AB43" s="3"/>
      <c r="AC43" s="3"/>
      <c r="AD43" s="3"/>
      <c r="AE43" s="310"/>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row>
    <row r="44" hidden="1">
      <c r="A44" s="338"/>
      <c r="B44" s="338"/>
      <c r="C44" s="338"/>
      <c r="D44" s="338"/>
      <c r="E44" s="338"/>
      <c r="F44" s="338"/>
      <c r="G44" s="338"/>
      <c r="H44" s="338"/>
      <c r="I44" s="338"/>
      <c r="J44" s="338"/>
      <c r="K44" s="338"/>
      <c r="L44" s="338"/>
      <c r="M44" s="338"/>
      <c r="N44" s="338"/>
      <c r="O44" s="338"/>
      <c r="P44" s="339"/>
      <c r="Q44" s="338"/>
      <c r="R44" s="338"/>
      <c r="S44" s="338"/>
      <c r="T44" s="338"/>
      <c r="U44" s="338"/>
      <c r="V44" s="338"/>
      <c r="W44" s="338"/>
      <c r="X44" s="338"/>
      <c r="Y44" s="338"/>
      <c r="Z44" s="338"/>
      <c r="AA44" s="338"/>
      <c r="AB44" s="338"/>
      <c r="AC44" s="338"/>
      <c r="AD44" s="338"/>
      <c r="AE44" s="338"/>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row>
    <row r="45" hidden="1">
      <c r="A45" s="3"/>
      <c r="B45" s="3"/>
      <c r="C45" s="3"/>
      <c r="D45" s="3"/>
      <c r="E45" s="3"/>
      <c r="F45" s="3"/>
      <c r="G45" s="3"/>
      <c r="H45" s="3"/>
      <c r="I45" s="3"/>
      <c r="J45" s="3"/>
      <c r="K45" s="3"/>
      <c r="L45" s="3"/>
      <c r="M45" s="3"/>
      <c r="N45" s="3"/>
      <c r="O45" s="3"/>
      <c r="P45" s="326"/>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row>
    <row r="46" hidden="1">
      <c r="A46" s="3"/>
      <c r="B46" s="3"/>
      <c r="C46" s="3"/>
      <c r="D46" s="3"/>
      <c r="E46" s="3"/>
      <c r="F46" s="3"/>
      <c r="G46" s="311" t="s">
        <v>94</v>
      </c>
      <c r="H46" s="312" t="str">
        <f>'Schedule | CQ + Playoffs'!S7</f>
        <v>Best of 5</v>
      </c>
      <c r="I46" s="313"/>
      <c r="J46" s="314"/>
      <c r="K46" s="3"/>
      <c r="L46" s="311" t="s">
        <v>73</v>
      </c>
      <c r="M46" s="312" t="str">
        <f>'Schedule | CQ + Playoffs'!S10</f>
        <v>Best of 5</v>
      </c>
      <c r="N46" s="313"/>
      <c r="O46" s="314"/>
      <c r="P46" s="327"/>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row>
    <row r="47" hidden="1">
      <c r="A47" s="3"/>
      <c r="B47" s="3"/>
      <c r="C47" s="3"/>
      <c r="D47" s="3"/>
      <c r="E47" s="3"/>
      <c r="F47" s="3"/>
      <c r="G47" s="316">
        <f>'Schedule | CQ + Playoffs'!M2</f>
        <v>46194</v>
      </c>
      <c r="H47" s="317"/>
      <c r="I47" s="318" t="s">
        <v>278</v>
      </c>
      <c r="J47" s="319" t="s">
        <v>279</v>
      </c>
      <c r="K47" s="325"/>
      <c r="L47" s="316">
        <f>'Schedule | CQ + Playoffs'!M8</f>
        <v>46256</v>
      </c>
      <c r="M47" s="317"/>
      <c r="N47" s="318" t="s">
        <v>278</v>
      </c>
      <c r="O47" s="319" t="s">
        <v>279</v>
      </c>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row>
    <row r="48" hidden="1">
      <c r="A48" s="3"/>
      <c r="B48" s="3"/>
      <c r="C48" s="3"/>
      <c r="D48" s="3"/>
      <c r="E48" s="3"/>
      <c r="F48" s="3"/>
      <c r="G48" s="322">
        <f>'Schedule | CQ + Playoffs'!O7</f>
        <v>0.8125</v>
      </c>
      <c r="H48" s="324"/>
      <c r="I48" s="62"/>
      <c r="J48" s="95" t="str">
        <f>F68</f>
        <v>Blue</v>
      </c>
      <c r="K48" s="3"/>
      <c r="L48" s="322" t="str">
        <f>'Schedule | CQ + Playoffs'!O10</f>
        <v/>
      </c>
      <c r="M48" s="324"/>
      <c r="N48" s="62"/>
      <c r="O48" s="95"/>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row>
    <row r="49" hidden="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row>
    <row r="50" hidden="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row>
    <row r="51" ht="26.25" hidden="1" customHeight="1">
      <c r="A51" s="340"/>
      <c r="B51" s="341" t="s">
        <v>302</v>
      </c>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100"/>
      <c r="AE51" s="342"/>
      <c r="AF51" s="97"/>
      <c r="AG51" s="97"/>
      <c r="AH51" s="343"/>
      <c r="AI51" s="344"/>
      <c r="AJ51" s="344"/>
      <c r="AK51" s="344"/>
      <c r="AL51" s="344"/>
      <c r="AM51" s="344"/>
      <c r="AN51" s="344"/>
      <c r="AO51" s="344"/>
      <c r="AP51" s="344"/>
      <c r="AQ51" s="344"/>
      <c r="AR51" s="344"/>
      <c r="AS51" s="344"/>
      <c r="AT51" s="344"/>
      <c r="AU51" s="344"/>
      <c r="AV51" s="344"/>
      <c r="AW51" s="344"/>
      <c r="AX51" s="344"/>
      <c r="AY51" s="344"/>
      <c r="AZ51" s="344"/>
      <c r="BA51" s="344"/>
      <c r="BB51" s="344"/>
      <c r="BC51" s="344"/>
      <c r="BD51" s="344"/>
      <c r="BE51" s="344"/>
      <c r="BF51" s="344"/>
      <c r="BG51" s="344"/>
      <c r="BH51" s="344"/>
      <c r="BI51" s="345"/>
      <c r="BJ51" s="344"/>
      <c r="BK51" s="344"/>
      <c r="BL51" s="344"/>
      <c r="BM51" s="344"/>
      <c r="BN51" s="344"/>
      <c r="BO51" s="344"/>
      <c r="BP51" s="344"/>
      <c r="BQ51" s="344"/>
      <c r="BR51" s="344"/>
      <c r="BS51" s="344"/>
      <c r="BT51" s="344"/>
      <c r="BU51" s="345"/>
      <c r="BV51" s="344"/>
      <c r="BW51" s="344"/>
      <c r="BX51" s="344"/>
      <c r="BY51" s="344"/>
      <c r="BZ51" s="344"/>
      <c r="CA51" s="344"/>
      <c r="CB51" s="344"/>
      <c r="CC51" s="344"/>
      <c r="CD51" s="344"/>
      <c r="CE51" s="344"/>
      <c r="CF51" s="343"/>
    </row>
    <row r="52" ht="32.25" hidden="1"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row>
    <row r="53" ht="30.75" customHeight="1">
      <c r="A53" s="3"/>
      <c r="B53" s="346"/>
      <c r="C53" s="97"/>
      <c r="D53" s="97"/>
      <c r="E53" s="97"/>
      <c r="F53" s="97"/>
      <c r="G53" s="347">
        <f>'Schedule | CQ + Playoffs'!E2</f>
        <v>46188</v>
      </c>
      <c r="H53" s="97"/>
      <c r="I53" s="348"/>
      <c r="J53" s="97"/>
      <c r="K53" s="97"/>
      <c r="L53" s="100"/>
      <c r="M53" s="3"/>
      <c r="N53" s="346"/>
      <c r="O53" s="97"/>
      <c r="P53" s="97"/>
      <c r="Q53" s="97"/>
      <c r="R53" s="97"/>
      <c r="S53" s="347">
        <f>'Schedule | CQ + Playoffs'!E8</f>
        <v>46189</v>
      </c>
      <c r="T53" s="97"/>
      <c r="U53" s="348"/>
      <c r="V53" s="97"/>
      <c r="W53" s="97"/>
      <c r="X53" s="100"/>
      <c r="Y53" s="3"/>
      <c r="Z53" s="346"/>
      <c r="AA53" s="97"/>
      <c r="AB53" s="97"/>
      <c r="AC53" s="97"/>
      <c r="AD53" s="97"/>
      <c r="AE53" s="347">
        <f>'Schedule | CQ + Playoffs'!E14</f>
        <v>46190</v>
      </c>
      <c r="AF53" s="97"/>
      <c r="AG53" s="348"/>
      <c r="AH53" s="97"/>
      <c r="AI53" s="97"/>
      <c r="AJ53" s="100"/>
      <c r="AK53" s="349"/>
      <c r="AL53" s="346"/>
      <c r="AM53" s="97"/>
      <c r="AN53" s="97"/>
      <c r="AO53" s="97"/>
      <c r="AP53" s="97"/>
      <c r="AQ53" s="347">
        <f>'Schedule | CQ + Playoffs'!E20</f>
        <v>46191</v>
      </c>
      <c r="AR53" s="97"/>
      <c r="AS53" s="348"/>
      <c r="AT53" s="97"/>
      <c r="AU53" s="97"/>
      <c r="AV53" s="100"/>
      <c r="AW53" s="349"/>
      <c r="AX53" s="346"/>
      <c r="AY53" s="97"/>
      <c r="AZ53" s="97"/>
      <c r="BA53" s="97"/>
      <c r="BB53" s="97"/>
      <c r="BC53" s="347">
        <f>'Schedule | CQ + Playoffs'!E25</f>
        <v>46192</v>
      </c>
      <c r="BD53" s="97"/>
      <c r="BE53" s="348"/>
      <c r="BF53" s="97"/>
      <c r="BG53" s="97"/>
      <c r="BH53" s="100"/>
      <c r="BI53" s="349"/>
      <c r="BJ53" s="346"/>
      <c r="BK53" s="97"/>
      <c r="BL53" s="97"/>
      <c r="BM53" s="97"/>
      <c r="BN53" s="97"/>
      <c r="BO53" s="347">
        <f>'Schedule | CQ + Playoffs'!M2</f>
        <v>46194</v>
      </c>
      <c r="BP53" s="97"/>
      <c r="BQ53" s="348"/>
      <c r="BR53" s="97"/>
      <c r="BS53" s="97"/>
      <c r="BT53" s="100"/>
      <c r="BU53" s="2"/>
      <c r="BV53" s="346"/>
      <c r="BW53" s="97"/>
      <c r="BX53" s="97"/>
      <c r="BY53" s="97"/>
      <c r="BZ53" s="97"/>
      <c r="CA53" s="347">
        <f>'Schedule | CQ + Playoffs'!M8</f>
        <v>46256</v>
      </c>
      <c r="CB53" s="97"/>
      <c r="CC53" s="348"/>
      <c r="CD53" s="97"/>
      <c r="CE53" s="97"/>
      <c r="CF53" s="100"/>
    </row>
    <row r="54" ht="32.25" customHeight="1">
      <c r="A54" s="3"/>
      <c r="B54" s="350"/>
      <c r="C54" s="350"/>
      <c r="D54" s="350"/>
      <c r="E54" s="350"/>
      <c r="F54" s="350"/>
      <c r="G54" s="349"/>
      <c r="H54" s="349"/>
      <c r="I54" s="349"/>
      <c r="J54" s="349"/>
      <c r="K54" s="349"/>
      <c r="L54" s="349"/>
      <c r="M54" s="3"/>
      <c r="N54" s="350"/>
      <c r="O54" s="350"/>
      <c r="P54" s="350"/>
      <c r="Q54" s="350"/>
      <c r="R54" s="350"/>
      <c r="S54" s="349"/>
      <c r="T54" s="349"/>
      <c r="U54" s="349"/>
      <c r="V54" s="349"/>
      <c r="W54" s="349"/>
      <c r="X54" s="349"/>
      <c r="Y54" s="3"/>
      <c r="Z54" s="350"/>
      <c r="AA54" s="350"/>
      <c r="AB54" s="350"/>
      <c r="AC54" s="350"/>
      <c r="AD54" s="350"/>
      <c r="AE54" s="349"/>
      <c r="AF54" s="349"/>
      <c r="AG54" s="349"/>
      <c r="AH54" s="349"/>
      <c r="AI54" s="349"/>
      <c r="AJ54" s="349"/>
      <c r="AK54" s="349"/>
      <c r="AL54" s="350"/>
      <c r="AM54" s="350"/>
      <c r="AN54" s="350"/>
      <c r="AO54" s="350"/>
      <c r="AP54" s="350"/>
      <c r="AQ54" s="349"/>
      <c r="AR54" s="349"/>
      <c r="AS54" s="349"/>
      <c r="AT54" s="349"/>
      <c r="AU54" s="349"/>
      <c r="AV54" s="349"/>
      <c r="AW54" s="349"/>
      <c r="AX54" s="350"/>
      <c r="AY54" s="350"/>
      <c r="AZ54" s="350"/>
      <c r="BA54" s="350"/>
      <c r="BB54" s="350"/>
      <c r="BC54" s="349"/>
      <c r="BD54" s="349"/>
      <c r="BE54" s="349"/>
      <c r="BF54" s="349"/>
      <c r="BG54" s="349"/>
      <c r="BH54" s="349"/>
      <c r="BI54" s="349"/>
      <c r="BJ54" s="350"/>
      <c r="BK54" s="350"/>
      <c r="BL54" s="350"/>
      <c r="BM54" s="350"/>
      <c r="BN54" s="350"/>
      <c r="BO54" s="349"/>
      <c r="BP54" s="349"/>
      <c r="BQ54" s="349"/>
      <c r="BR54" s="349"/>
      <c r="BS54" s="349"/>
      <c r="BT54" s="349"/>
      <c r="BU54" s="350"/>
      <c r="BV54" s="350"/>
      <c r="BW54" s="350"/>
      <c r="BX54" s="350"/>
      <c r="BY54" s="350"/>
      <c r="BZ54" s="350"/>
      <c r="CA54" s="349"/>
      <c r="CB54" s="349"/>
      <c r="CC54" s="349"/>
      <c r="CD54" s="349"/>
      <c r="CE54" s="349"/>
      <c r="CF54" s="349"/>
    </row>
    <row r="55">
      <c r="A55" s="3"/>
      <c r="B55" s="351" t="str">
        <f>'Schedule | CQ + Playoffs'!E4</f>
        <v>The Soulless Team</v>
      </c>
      <c r="C55" s="8"/>
      <c r="D55" s="8"/>
      <c r="E55" s="8"/>
      <c r="F55" s="68"/>
      <c r="G55" s="351" t="str">
        <f>'Schedule | CQ + Playoffs'!K4</f>
        <v>Match 1</v>
      </c>
      <c r="H55" s="68"/>
      <c r="I55" s="352" t="str">
        <f>'Schedule | CQ + Playoffs'!I4</f>
        <v>Suplex team</v>
      </c>
      <c r="J55" s="8"/>
      <c r="K55" s="8"/>
      <c r="L55" s="68"/>
      <c r="M55" s="3"/>
      <c r="N55" s="351" t="str">
        <f>'Schedule | CQ + Playoffs'!E10</f>
        <v>FORZE</v>
      </c>
      <c r="O55" s="8"/>
      <c r="P55" s="8"/>
      <c r="Q55" s="8"/>
      <c r="R55" s="68"/>
      <c r="S55" s="351" t="str">
        <f>'Schedule | CQ + Playoffs'!K10</f>
        <v>Match 5</v>
      </c>
      <c r="T55" s="68"/>
      <c r="U55" s="352" t="str">
        <f>'Schedule | CQ + Playoffs'!I10</f>
        <v>The Soulless Team</v>
      </c>
      <c r="V55" s="8"/>
      <c r="W55" s="8"/>
      <c r="X55" s="68"/>
      <c r="Y55" s="3"/>
      <c r="Z55" s="351" t="str">
        <f>'Schedule | CQ + Playoffs'!E16</f>
        <v>FORZE</v>
      </c>
      <c r="AA55" s="8"/>
      <c r="AB55" s="8"/>
      <c r="AC55" s="8"/>
      <c r="AD55" s="68"/>
      <c r="AE55" s="351" t="str">
        <f>'Schedule | CQ + Playoffs'!AJ4</f>
        <v/>
      </c>
      <c r="AF55" s="68"/>
      <c r="AG55" s="352" t="str">
        <f>'Schedule | CQ + Playoffs'!I16</f>
        <v>CYBERHERO</v>
      </c>
      <c r="AH55" s="8"/>
      <c r="AI55" s="8"/>
      <c r="AJ55" s="68"/>
      <c r="AK55" s="353"/>
      <c r="AL55" s="351" t="s">
        <v>303</v>
      </c>
      <c r="AM55" s="8"/>
      <c r="AN55" s="8"/>
      <c r="AO55" s="8"/>
      <c r="AP55" s="68"/>
      <c r="AQ55" s="351" t="str">
        <f>'Schedule | CQ + Playoffs'!AV4</f>
        <v/>
      </c>
      <c r="AR55" s="68"/>
      <c r="AS55" s="352" t="s">
        <v>304</v>
      </c>
      <c r="AT55" s="8"/>
      <c r="AU55" s="8"/>
      <c r="AV55" s="68"/>
      <c r="AW55" s="353"/>
      <c r="AX55" s="354" t="s">
        <v>305</v>
      </c>
      <c r="AY55" s="8"/>
      <c r="AZ55" s="8"/>
      <c r="BA55" s="8"/>
      <c r="BB55" s="68"/>
      <c r="BC55" s="351" t="str">
        <f>'Schedule | CQ + Playoffs'!BH4</f>
        <v/>
      </c>
      <c r="BD55" s="68"/>
      <c r="BE55" s="352" t="s">
        <v>306</v>
      </c>
      <c r="BF55" s="8"/>
      <c r="BG55" s="8"/>
      <c r="BH55" s="68"/>
      <c r="BI55" s="353"/>
      <c r="BJ55" s="354" t="str">
        <f>'Schedule | CQ + Playoffs'!M4</f>
        <v>Team Spirit</v>
      </c>
      <c r="BK55" s="8"/>
      <c r="BL55" s="8"/>
      <c r="BM55" s="8"/>
      <c r="BN55" s="68"/>
      <c r="BO55" s="351" t="str">
        <f>'Schedule | CQ + Playoffs'!T4</f>
        <v>Match 1</v>
      </c>
      <c r="BP55" s="68"/>
      <c r="BQ55" s="352" t="str">
        <f>'Schedule | CQ + Playoffs'!Q4</f>
        <v>FORZE</v>
      </c>
      <c r="BR55" s="8"/>
      <c r="BS55" s="8"/>
      <c r="BT55" s="68"/>
      <c r="BU55" s="355"/>
      <c r="BV55" s="351" t="str">
        <f>'Schedule | CQ + Playoffs'!BN4</f>
        <v/>
      </c>
      <c r="BW55" s="8"/>
      <c r="BX55" s="8"/>
      <c r="BY55" s="8"/>
      <c r="BZ55" s="68"/>
      <c r="CA55" s="351" t="str">
        <f>'Schedule | CQ + Playoffs'!BT4</f>
        <v/>
      </c>
      <c r="CB55" s="68"/>
      <c r="CC55" s="352" t="str">
        <f>'Schedule | CQ + Playoffs'!BR4</f>
        <v/>
      </c>
      <c r="CD55" s="8"/>
      <c r="CE55" s="8"/>
      <c r="CF55" s="68"/>
    </row>
    <row r="56">
      <c r="A56" s="3"/>
      <c r="B56" s="61"/>
      <c r="C56" s="22"/>
      <c r="D56" s="22"/>
      <c r="E56" s="22"/>
      <c r="F56" s="93"/>
      <c r="G56" s="61"/>
      <c r="H56" s="93"/>
      <c r="I56" s="61"/>
      <c r="J56" s="22"/>
      <c r="K56" s="22"/>
      <c r="L56" s="93"/>
      <c r="M56" s="3"/>
      <c r="N56" s="61"/>
      <c r="O56" s="22"/>
      <c r="P56" s="22"/>
      <c r="Q56" s="22"/>
      <c r="R56" s="93"/>
      <c r="S56" s="61"/>
      <c r="T56" s="93"/>
      <c r="U56" s="61"/>
      <c r="V56" s="22"/>
      <c r="W56" s="22"/>
      <c r="X56" s="93"/>
      <c r="Y56" s="3"/>
      <c r="Z56" s="61"/>
      <c r="AA56" s="22"/>
      <c r="AB56" s="22"/>
      <c r="AC56" s="22"/>
      <c r="AD56" s="93"/>
      <c r="AE56" s="61"/>
      <c r="AF56" s="93"/>
      <c r="AG56" s="61"/>
      <c r="AH56" s="22"/>
      <c r="AI56" s="22"/>
      <c r="AJ56" s="93"/>
      <c r="AK56" s="353"/>
      <c r="AL56" s="61"/>
      <c r="AM56" s="22"/>
      <c r="AN56" s="22"/>
      <c r="AO56" s="22"/>
      <c r="AP56" s="93"/>
      <c r="AQ56" s="61"/>
      <c r="AR56" s="93"/>
      <c r="AS56" s="61"/>
      <c r="AT56" s="22"/>
      <c r="AU56" s="22"/>
      <c r="AV56" s="93"/>
      <c r="AW56" s="353"/>
      <c r="AX56" s="61"/>
      <c r="AY56" s="22"/>
      <c r="AZ56" s="22"/>
      <c r="BA56" s="22"/>
      <c r="BB56" s="93"/>
      <c r="BC56" s="61"/>
      <c r="BD56" s="93"/>
      <c r="BE56" s="61"/>
      <c r="BF56" s="22"/>
      <c r="BG56" s="22"/>
      <c r="BH56" s="93"/>
      <c r="BI56" s="353"/>
      <c r="BJ56" s="61"/>
      <c r="BK56" s="22"/>
      <c r="BL56" s="22"/>
      <c r="BM56" s="22"/>
      <c r="BN56" s="93"/>
      <c r="BO56" s="61"/>
      <c r="BP56" s="93"/>
      <c r="BQ56" s="61"/>
      <c r="BR56" s="22"/>
      <c r="BS56" s="22"/>
      <c r="BT56" s="93"/>
      <c r="BU56" s="355"/>
      <c r="BV56" s="61"/>
      <c r="BW56" s="22"/>
      <c r="BX56" s="22"/>
      <c r="BY56" s="22"/>
      <c r="BZ56" s="93"/>
      <c r="CA56" s="61"/>
      <c r="CB56" s="93"/>
      <c r="CC56" s="61"/>
      <c r="CD56" s="22"/>
      <c r="CE56" s="22"/>
      <c r="CF56" s="93"/>
    </row>
    <row r="57">
      <c r="A57" s="3"/>
      <c r="B57" s="356" t="s">
        <v>307</v>
      </c>
      <c r="C57" s="357" t="s">
        <v>308</v>
      </c>
      <c r="D57" s="358" t="s">
        <v>309</v>
      </c>
      <c r="E57" s="358" t="s">
        <v>310</v>
      </c>
      <c r="F57" s="359" t="s">
        <v>311</v>
      </c>
      <c r="G57" s="360" t="s">
        <v>259</v>
      </c>
      <c r="H57" s="100"/>
      <c r="I57" s="361" t="s">
        <v>311</v>
      </c>
      <c r="J57" s="358" t="s">
        <v>312</v>
      </c>
      <c r="K57" s="358" t="s">
        <v>313</v>
      </c>
      <c r="L57" s="362" t="s">
        <v>314</v>
      </c>
      <c r="M57" s="3"/>
      <c r="N57" s="356" t="s">
        <v>307</v>
      </c>
      <c r="O57" s="357" t="s">
        <v>308</v>
      </c>
      <c r="P57" s="358" t="s">
        <v>309</v>
      </c>
      <c r="Q57" s="358" t="s">
        <v>310</v>
      </c>
      <c r="R57" s="359" t="s">
        <v>311</v>
      </c>
      <c r="S57" s="360" t="s">
        <v>259</v>
      </c>
      <c r="T57" s="100"/>
      <c r="U57" s="360" t="s">
        <v>311</v>
      </c>
      <c r="V57" s="363" t="s">
        <v>312</v>
      </c>
      <c r="W57" s="358" t="s">
        <v>313</v>
      </c>
      <c r="X57" s="364" t="s">
        <v>314</v>
      </c>
      <c r="Y57" s="3"/>
      <c r="Z57" s="356" t="s">
        <v>307</v>
      </c>
      <c r="AA57" s="365" t="s">
        <v>308</v>
      </c>
      <c r="AB57" s="358" t="s">
        <v>309</v>
      </c>
      <c r="AC57" s="363" t="s">
        <v>310</v>
      </c>
      <c r="AD57" s="366" t="s">
        <v>311</v>
      </c>
      <c r="AE57" s="360" t="s">
        <v>259</v>
      </c>
      <c r="AF57" s="100"/>
      <c r="AG57" s="360" t="s">
        <v>311</v>
      </c>
      <c r="AH57" s="363" t="s">
        <v>312</v>
      </c>
      <c r="AI57" s="358" t="s">
        <v>313</v>
      </c>
      <c r="AJ57" s="364" t="s">
        <v>314</v>
      </c>
      <c r="AK57" s="367"/>
      <c r="AL57" s="356" t="s">
        <v>307</v>
      </c>
      <c r="AM57" s="365" t="s">
        <v>308</v>
      </c>
      <c r="AN57" s="358" t="s">
        <v>309</v>
      </c>
      <c r="AO57" s="363" t="s">
        <v>310</v>
      </c>
      <c r="AP57" s="366" t="s">
        <v>311</v>
      </c>
      <c r="AQ57" s="360" t="s">
        <v>259</v>
      </c>
      <c r="AR57" s="100"/>
      <c r="AS57" s="360" t="s">
        <v>311</v>
      </c>
      <c r="AT57" s="363" t="s">
        <v>312</v>
      </c>
      <c r="AU57" s="358" t="s">
        <v>313</v>
      </c>
      <c r="AV57" s="364" t="s">
        <v>314</v>
      </c>
      <c r="AW57" s="367"/>
      <c r="AX57" s="356" t="s">
        <v>307</v>
      </c>
      <c r="AY57" s="365" t="s">
        <v>308</v>
      </c>
      <c r="AZ57" s="358" t="s">
        <v>309</v>
      </c>
      <c r="BA57" s="363" t="s">
        <v>310</v>
      </c>
      <c r="BB57" s="366" t="s">
        <v>311</v>
      </c>
      <c r="BC57" s="360" t="s">
        <v>259</v>
      </c>
      <c r="BD57" s="100"/>
      <c r="BE57" s="360" t="s">
        <v>311</v>
      </c>
      <c r="BF57" s="363" t="s">
        <v>312</v>
      </c>
      <c r="BG57" s="358" t="s">
        <v>313</v>
      </c>
      <c r="BH57" s="364" t="s">
        <v>314</v>
      </c>
      <c r="BI57" s="367"/>
      <c r="BJ57" s="356" t="s">
        <v>307</v>
      </c>
      <c r="BK57" s="357" t="s">
        <v>308</v>
      </c>
      <c r="BL57" s="358" t="s">
        <v>309</v>
      </c>
      <c r="BM57" s="358" t="s">
        <v>310</v>
      </c>
      <c r="BN57" s="359" t="s">
        <v>311</v>
      </c>
      <c r="BO57" s="360" t="s">
        <v>259</v>
      </c>
      <c r="BP57" s="100"/>
      <c r="BQ57" s="360" t="s">
        <v>311</v>
      </c>
      <c r="BR57" s="363" t="s">
        <v>312</v>
      </c>
      <c r="BS57" s="358" t="s">
        <v>313</v>
      </c>
      <c r="BT57" s="364" t="s">
        <v>314</v>
      </c>
      <c r="BU57" s="367"/>
      <c r="BV57" s="356" t="s">
        <v>307</v>
      </c>
      <c r="BW57" s="365" t="s">
        <v>308</v>
      </c>
      <c r="BX57" s="358" t="s">
        <v>309</v>
      </c>
      <c r="BY57" s="363" t="s">
        <v>310</v>
      </c>
      <c r="BZ57" s="366" t="s">
        <v>311</v>
      </c>
      <c r="CA57" s="360" t="s">
        <v>259</v>
      </c>
      <c r="CB57" s="100"/>
      <c r="CC57" s="360" t="s">
        <v>311</v>
      </c>
      <c r="CD57" s="363" t="s">
        <v>312</v>
      </c>
      <c r="CE57" s="358" t="s">
        <v>313</v>
      </c>
      <c r="CF57" s="364" t="s">
        <v>314</v>
      </c>
    </row>
    <row r="58">
      <c r="A58" s="3"/>
      <c r="B58" s="29">
        <v>1.0</v>
      </c>
      <c r="C58" s="169" t="s">
        <v>315</v>
      </c>
      <c r="D58" s="368" t="s">
        <v>316</v>
      </c>
      <c r="E58" s="14" t="s">
        <v>317</v>
      </c>
      <c r="F58" s="171" t="s">
        <v>318</v>
      </c>
      <c r="G58" s="369" t="s">
        <v>319</v>
      </c>
      <c r="H58" s="369" t="s">
        <v>320</v>
      </c>
      <c r="I58" s="169" t="s">
        <v>321</v>
      </c>
      <c r="J58" s="14" t="s">
        <v>322</v>
      </c>
      <c r="K58" s="368" t="s">
        <v>323</v>
      </c>
      <c r="L58" s="171" t="s">
        <v>324</v>
      </c>
      <c r="M58" s="3"/>
      <c r="N58" s="29">
        <v>1.0</v>
      </c>
      <c r="O58" s="169" t="s">
        <v>325</v>
      </c>
      <c r="P58" s="368" t="s">
        <v>326</v>
      </c>
      <c r="Q58" s="14" t="s">
        <v>327</v>
      </c>
      <c r="R58" s="171" t="s">
        <v>318</v>
      </c>
      <c r="S58" s="369" t="s">
        <v>319</v>
      </c>
      <c r="T58" s="370" t="s">
        <v>320</v>
      </c>
      <c r="U58" s="14" t="s">
        <v>321</v>
      </c>
      <c r="V58" s="14" t="s">
        <v>328</v>
      </c>
      <c r="W58" s="368" t="s">
        <v>316</v>
      </c>
      <c r="X58" s="171" t="s">
        <v>329</v>
      </c>
      <c r="Y58" s="3"/>
      <c r="Z58" s="371">
        <v>1.0</v>
      </c>
      <c r="AA58" s="169" t="s">
        <v>325</v>
      </c>
      <c r="AB58" s="368" t="s">
        <v>330</v>
      </c>
      <c r="AC58" s="14" t="s">
        <v>331</v>
      </c>
      <c r="AD58" s="171" t="s">
        <v>318</v>
      </c>
      <c r="AE58" s="369" t="s">
        <v>320</v>
      </c>
      <c r="AF58" s="370" t="s">
        <v>319</v>
      </c>
      <c r="AG58" s="14" t="s">
        <v>321</v>
      </c>
      <c r="AH58" s="14" t="s">
        <v>332</v>
      </c>
      <c r="AI58" s="368" t="s">
        <v>333</v>
      </c>
      <c r="AJ58" s="171" t="s">
        <v>334</v>
      </c>
      <c r="AK58" s="43"/>
      <c r="AL58" s="371">
        <v>1.0</v>
      </c>
      <c r="AM58" s="169" t="s">
        <v>315</v>
      </c>
      <c r="AN58" s="234" t="s">
        <v>335</v>
      </c>
      <c r="AO58" s="14" t="s">
        <v>317</v>
      </c>
      <c r="AP58" s="171" t="s">
        <v>318</v>
      </c>
      <c r="AQ58" s="369" t="s">
        <v>319</v>
      </c>
      <c r="AR58" s="370" t="s">
        <v>320</v>
      </c>
      <c r="AS58" s="14" t="s">
        <v>321</v>
      </c>
      <c r="AT58" s="14" t="s">
        <v>328</v>
      </c>
      <c r="AU58" s="232" t="s">
        <v>336</v>
      </c>
      <c r="AV58" s="171" t="s">
        <v>331</v>
      </c>
      <c r="AW58" s="43"/>
      <c r="AX58" s="371">
        <v>1.0</v>
      </c>
      <c r="AY58" s="169" t="s">
        <v>337</v>
      </c>
      <c r="AZ58" s="368" t="s">
        <v>338</v>
      </c>
      <c r="BA58" s="14" t="s">
        <v>324</v>
      </c>
      <c r="BB58" s="171" t="s">
        <v>318</v>
      </c>
      <c r="BC58" s="369" t="s">
        <v>319</v>
      </c>
      <c r="BD58" s="370" t="s">
        <v>320</v>
      </c>
      <c r="BE58" s="14" t="s">
        <v>321</v>
      </c>
      <c r="BF58" s="14" t="s">
        <v>328</v>
      </c>
      <c r="BG58" s="368" t="s">
        <v>339</v>
      </c>
      <c r="BH58" s="171" t="s">
        <v>334</v>
      </c>
      <c r="BI58" s="43"/>
      <c r="BJ58" s="29">
        <v>1.0</v>
      </c>
      <c r="BK58" s="169" t="s">
        <v>337</v>
      </c>
      <c r="BL58" s="368" t="s">
        <v>340</v>
      </c>
      <c r="BM58" s="14" t="s">
        <v>341</v>
      </c>
      <c r="BN58" s="171" t="s">
        <v>318</v>
      </c>
      <c r="BO58" s="369" t="s">
        <v>319</v>
      </c>
      <c r="BP58" s="370" t="s">
        <v>320</v>
      </c>
      <c r="BQ58" s="14" t="s">
        <v>321</v>
      </c>
      <c r="BR58" s="14" t="s">
        <v>324</v>
      </c>
      <c r="BS58" s="368" t="s">
        <v>338</v>
      </c>
      <c r="BT58" s="171" t="s">
        <v>342</v>
      </c>
      <c r="BU58" s="43"/>
      <c r="BV58" s="371">
        <v>1.0</v>
      </c>
      <c r="BW58" s="169"/>
      <c r="BX58" s="368"/>
      <c r="BY58" s="14"/>
      <c r="BZ58" s="171"/>
      <c r="CA58" s="369"/>
      <c r="CB58" s="370"/>
      <c r="CC58" s="14"/>
      <c r="CD58" s="14"/>
      <c r="CE58" s="368"/>
      <c r="CF58" s="171"/>
    </row>
    <row r="59">
      <c r="A59" s="3"/>
      <c r="B59" s="55"/>
      <c r="C59" s="29" t="s">
        <v>343</v>
      </c>
      <c r="D59" s="372" t="s">
        <v>344</v>
      </c>
      <c r="E59" s="109" t="s">
        <v>337</v>
      </c>
      <c r="F59" s="92"/>
      <c r="I59" s="55"/>
      <c r="J59" s="109" t="s">
        <v>341</v>
      </c>
      <c r="K59" s="372" t="s">
        <v>345</v>
      </c>
      <c r="L59" s="373" t="s">
        <v>342</v>
      </c>
      <c r="M59" s="3"/>
      <c r="N59" s="55"/>
      <c r="O59" s="29" t="s">
        <v>331</v>
      </c>
      <c r="P59" s="372" t="s">
        <v>330</v>
      </c>
      <c r="Q59" s="109" t="s">
        <v>334</v>
      </c>
      <c r="R59" s="92"/>
      <c r="T59" s="92"/>
      <c r="V59" s="109" t="s">
        <v>346</v>
      </c>
      <c r="W59" s="372" t="s">
        <v>344</v>
      </c>
      <c r="X59" s="373" t="s">
        <v>347</v>
      </c>
      <c r="Y59" s="3"/>
      <c r="Z59" s="66"/>
      <c r="AA59" s="29" t="s">
        <v>348</v>
      </c>
      <c r="AB59" s="372" t="s">
        <v>349</v>
      </c>
      <c r="AC59" s="109" t="s">
        <v>328</v>
      </c>
      <c r="AD59" s="92"/>
      <c r="AF59" s="92"/>
      <c r="AH59" s="109" t="s">
        <v>337</v>
      </c>
      <c r="AI59" s="372" t="s">
        <v>350</v>
      </c>
      <c r="AJ59" s="373" t="s">
        <v>324</v>
      </c>
      <c r="AK59" s="43"/>
      <c r="AL59" s="66"/>
      <c r="AM59" s="29" t="s">
        <v>325</v>
      </c>
      <c r="AN59" s="242" t="s">
        <v>351</v>
      </c>
      <c r="AO59" s="109" t="s">
        <v>352</v>
      </c>
      <c r="AP59" s="92"/>
      <c r="AR59" s="92"/>
      <c r="AT59" s="109" t="s">
        <v>327</v>
      </c>
      <c r="AU59" s="240" t="s">
        <v>353</v>
      </c>
      <c r="AV59" s="373" t="s">
        <v>342</v>
      </c>
      <c r="AW59" s="43"/>
      <c r="AX59" s="66"/>
      <c r="AY59" s="29" t="s">
        <v>315</v>
      </c>
      <c r="AZ59" s="372" t="s">
        <v>326</v>
      </c>
      <c r="BA59" s="109" t="s">
        <v>354</v>
      </c>
      <c r="BB59" s="92"/>
      <c r="BD59" s="92"/>
      <c r="BF59" s="109" t="s">
        <v>341</v>
      </c>
      <c r="BG59" s="372" t="s">
        <v>355</v>
      </c>
      <c r="BH59" s="373" t="s">
        <v>327</v>
      </c>
      <c r="BI59" s="43"/>
      <c r="BJ59" s="55"/>
      <c r="BK59" s="29" t="s">
        <v>315</v>
      </c>
      <c r="BL59" s="372" t="s">
        <v>356</v>
      </c>
      <c r="BM59" s="109" t="s">
        <v>357</v>
      </c>
      <c r="BN59" s="92"/>
      <c r="BP59" s="92"/>
      <c r="BR59" s="109" t="s">
        <v>331</v>
      </c>
      <c r="BS59" s="372" t="s">
        <v>330</v>
      </c>
      <c r="BT59" s="373" t="s">
        <v>327</v>
      </c>
      <c r="BU59" s="43"/>
      <c r="BV59" s="66"/>
      <c r="BW59" s="29"/>
      <c r="BX59" s="372"/>
      <c r="BY59" s="109"/>
      <c r="BZ59" s="92"/>
      <c r="CB59" s="92"/>
      <c r="CD59" s="109"/>
      <c r="CE59" s="372"/>
      <c r="CF59" s="373"/>
    </row>
    <row r="60">
      <c r="A60" s="3"/>
      <c r="B60" s="55"/>
      <c r="C60" s="29" t="s">
        <v>331</v>
      </c>
      <c r="D60" s="372" t="s">
        <v>358</v>
      </c>
      <c r="E60" s="109" t="s">
        <v>359</v>
      </c>
      <c r="F60" s="92"/>
      <c r="I60" s="55"/>
      <c r="J60" s="109" t="s">
        <v>325</v>
      </c>
      <c r="K60" s="372" t="s">
        <v>360</v>
      </c>
      <c r="L60" s="373" t="s">
        <v>327</v>
      </c>
      <c r="M60" s="3"/>
      <c r="N60" s="55"/>
      <c r="O60" s="29" t="s">
        <v>315</v>
      </c>
      <c r="P60" s="372" t="s">
        <v>338</v>
      </c>
      <c r="Q60" s="109" t="s">
        <v>361</v>
      </c>
      <c r="R60" s="92"/>
      <c r="T60" s="92"/>
      <c r="V60" s="109" t="s">
        <v>362</v>
      </c>
      <c r="W60" s="372" t="s">
        <v>358</v>
      </c>
      <c r="X60" s="373" t="s">
        <v>341</v>
      </c>
      <c r="Y60" s="3"/>
      <c r="Z60" s="66"/>
      <c r="AA60" s="29" t="s">
        <v>341</v>
      </c>
      <c r="AB60" s="372" t="s">
        <v>326</v>
      </c>
      <c r="AC60" s="109" t="s">
        <v>363</v>
      </c>
      <c r="AD60" s="92"/>
      <c r="AF60" s="92"/>
      <c r="AH60" s="109" t="s">
        <v>317</v>
      </c>
      <c r="AI60" s="372" t="s">
        <v>364</v>
      </c>
      <c r="AJ60" s="373" t="s">
        <v>327</v>
      </c>
      <c r="AK60" s="43"/>
      <c r="AL60" s="66"/>
      <c r="AM60" s="29" t="s">
        <v>324</v>
      </c>
      <c r="AN60" s="242" t="s">
        <v>365</v>
      </c>
      <c r="AO60" s="109" t="s">
        <v>363</v>
      </c>
      <c r="AP60" s="92"/>
      <c r="AR60" s="92"/>
      <c r="AT60" s="109" t="s">
        <v>343</v>
      </c>
      <c r="AU60" s="240" t="s">
        <v>366</v>
      </c>
      <c r="AV60" s="373" t="s">
        <v>357</v>
      </c>
      <c r="AW60" s="43"/>
      <c r="AX60" s="66"/>
      <c r="AY60" s="29" t="s">
        <v>332</v>
      </c>
      <c r="AZ60" s="372" t="s">
        <v>330</v>
      </c>
      <c r="BA60" s="109" t="s">
        <v>331</v>
      </c>
      <c r="BB60" s="92"/>
      <c r="BD60" s="92"/>
      <c r="BF60" s="109" t="s">
        <v>343</v>
      </c>
      <c r="BG60" s="372" t="s">
        <v>364</v>
      </c>
      <c r="BH60" s="373" t="s">
        <v>342</v>
      </c>
      <c r="BI60" s="43"/>
      <c r="BJ60" s="55"/>
      <c r="BK60" s="29" t="s">
        <v>334</v>
      </c>
      <c r="BL60" s="372" t="s">
        <v>367</v>
      </c>
      <c r="BM60" s="109" t="s">
        <v>346</v>
      </c>
      <c r="BN60" s="92"/>
      <c r="BP60" s="92"/>
      <c r="BR60" s="109" t="s">
        <v>354</v>
      </c>
      <c r="BS60" s="372" t="s">
        <v>326</v>
      </c>
      <c r="BT60" s="373" t="s">
        <v>368</v>
      </c>
      <c r="BU60" s="43"/>
      <c r="BV60" s="66"/>
      <c r="BW60" s="29"/>
      <c r="BX60" s="372"/>
      <c r="BY60" s="109"/>
      <c r="BZ60" s="92"/>
      <c r="CB60" s="92"/>
      <c r="CD60" s="109"/>
      <c r="CE60" s="372"/>
      <c r="CF60" s="373"/>
    </row>
    <row r="61">
      <c r="A61" s="3"/>
      <c r="B61" s="55"/>
      <c r="C61" s="29" t="s">
        <v>369</v>
      </c>
      <c r="D61" s="372" t="s">
        <v>370</v>
      </c>
      <c r="E61" s="109" t="s">
        <v>371</v>
      </c>
      <c r="F61" s="92"/>
      <c r="I61" s="55"/>
      <c r="J61" s="109" t="s">
        <v>352</v>
      </c>
      <c r="K61" s="372" t="s">
        <v>372</v>
      </c>
      <c r="L61" s="373" t="s">
        <v>373</v>
      </c>
      <c r="M61" s="3"/>
      <c r="N61" s="55"/>
      <c r="O61" s="29" t="s">
        <v>374</v>
      </c>
      <c r="P61" s="372" t="s">
        <v>349</v>
      </c>
      <c r="Q61" s="109" t="s">
        <v>375</v>
      </c>
      <c r="R61" s="92"/>
      <c r="T61" s="92"/>
      <c r="V61" s="109" t="s">
        <v>376</v>
      </c>
      <c r="W61" s="372" t="s">
        <v>370</v>
      </c>
      <c r="X61" s="373" t="s">
        <v>377</v>
      </c>
      <c r="Y61" s="3"/>
      <c r="Z61" s="66"/>
      <c r="AA61" s="29" t="s">
        <v>374</v>
      </c>
      <c r="AB61" s="372" t="s">
        <v>378</v>
      </c>
      <c r="AC61" s="109" t="s">
        <v>379</v>
      </c>
      <c r="AD61" s="92"/>
      <c r="AF61" s="92"/>
      <c r="AH61" s="109" t="s">
        <v>380</v>
      </c>
      <c r="AI61" s="372" t="s">
        <v>339</v>
      </c>
      <c r="AJ61" s="373" t="s">
        <v>352</v>
      </c>
      <c r="AK61" s="43"/>
      <c r="AL61" s="66"/>
      <c r="AM61" s="29" t="s">
        <v>369</v>
      </c>
      <c r="AN61" s="242" t="s">
        <v>381</v>
      </c>
      <c r="AO61" s="109" t="s">
        <v>332</v>
      </c>
      <c r="AP61" s="92"/>
      <c r="AR61" s="92"/>
      <c r="AT61" s="109" t="s">
        <v>382</v>
      </c>
      <c r="AU61" s="240" t="s">
        <v>383</v>
      </c>
      <c r="AV61" s="373" t="s">
        <v>361</v>
      </c>
      <c r="AW61" s="43"/>
      <c r="AX61" s="66"/>
      <c r="AY61" s="29" t="s">
        <v>19</v>
      </c>
      <c r="AZ61" s="372" t="s">
        <v>378</v>
      </c>
      <c r="BA61" s="109" t="s">
        <v>346</v>
      </c>
      <c r="BB61" s="92"/>
      <c r="BD61" s="92"/>
      <c r="BF61" s="109" t="s">
        <v>352</v>
      </c>
      <c r="BG61" s="372" t="s">
        <v>350</v>
      </c>
      <c r="BH61" s="373" t="s">
        <v>384</v>
      </c>
      <c r="BI61" s="43"/>
      <c r="BJ61" s="55"/>
      <c r="BK61" s="29" t="s">
        <v>385</v>
      </c>
      <c r="BL61" s="372" t="s">
        <v>386</v>
      </c>
      <c r="BM61" s="109" t="s">
        <v>384</v>
      </c>
      <c r="BN61" s="92"/>
      <c r="BP61" s="92"/>
      <c r="BR61" s="109" t="s">
        <v>377</v>
      </c>
      <c r="BS61" s="372" t="s">
        <v>349</v>
      </c>
      <c r="BT61" s="373" t="s">
        <v>332</v>
      </c>
      <c r="BU61" s="43"/>
      <c r="BV61" s="66"/>
      <c r="BW61" s="29"/>
      <c r="BX61" s="372"/>
      <c r="BY61" s="109"/>
      <c r="BZ61" s="92"/>
      <c r="CB61" s="92"/>
      <c r="CD61" s="109"/>
      <c r="CE61" s="372"/>
      <c r="CF61" s="373"/>
    </row>
    <row r="62">
      <c r="A62" s="3"/>
      <c r="B62" s="55"/>
      <c r="C62" s="29" t="s">
        <v>387</v>
      </c>
      <c r="D62" s="372" t="s">
        <v>388</v>
      </c>
      <c r="E62" s="109" t="s">
        <v>389</v>
      </c>
      <c r="F62" s="92"/>
      <c r="G62" s="374"/>
      <c r="H62" s="374"/>
      <c r="I62" s="55"/>
      <c r="J62" s="109" t="s">
        <v>328</v>
      </c>
      <c r="K62" s="372" t="s">
        <v>390</v>
      </c>
      <c r="L62" s="373" t="s">
        <v>362</v>
      </c>
      <c r="M62" s="3"/>
      <c r="N62" s="55"/>
      <c r="O62" s="29" t="s">
        <v>342</v>
      </c>
      <c r="P62" s="372" t="s">
        <v>378</v>
      </c>
      <c r="Q62" s="109" t="s">
        <v>352</v>
      </c>
      <c r="R62" s="92"/>
      <c r="S62" s="374"/>
      <c r="T62" s="375"/>
      <c r="U62" s="374"/>
      <c r="V62" s="109" t="s">
        <v>343</v>
      </c>
      <c r="W62" s="372" t="s">
        <v>388</v>
      </c>
      <c r="X62" s="373" t="s">
        <v>337</v>
      </c>
      <c r="Y62" s="3"/>
      <c r="Z62" s="66"/>
      <c r="AA62" s="29" t="s">
        <v>391</v>
      </c>
      <c r="AB62" s="372" t="s">
        <v>338</v>
      </c>
      <c r="AC62" s="109" t="s">
        <v>369</v>
      </c>
      <c r="AD62" s="92"/>
      <c r="AE62" s="374"/>
      <c r="AF62" s="375"/>
      <c r="AG62" s="374"/>
      <c r="AH62" s="109" t="s">
        <v>392</v>
      </c>
      <c r="AI62" s="372" t="s">
        <v>355</v>
      </c>
      <c r="AJ62" s="373" t="s">
        <v>389</v>
      </c>
      <c r="AK62" s="43"/>
      <c r="AL62" s="66"/>
      <c r="AM62" s="29" t="s">
        <v>322</v>
      </c>
      <c r="AN62" s="242" t="s">
        <v>393</v>
      </c>
      <c r="AO62" s="109" t="s">
        <v>384</v>
      </c>
      <c r="AP62" s="92"/>
      <c r="AQ62" s="374"/>
      <c r="AR62" s="375"/>
      <c r="AS62" s="374"/>
      <c r="AT62" s="109" t="s">
        <v>337</v>
      </c>
      <c r="AU62" s="240" t="s">
        <v>394</v>
      </c>
      <c r="AV62" s="373" t="s">
        <v>376</v>
      </c>
      <c r="AW62" s="43"/>
      <c r="AX62" s="66"/>
      <c r="AY62" s="29" t="s">
        <v>395</v>
      </c>
      <c r="AZ62" s="372" t="s">
        <v>349</v>
      </c>
      <c r="BA62" s="109" t="s">
        <v>377</v>
      </c>
      <c r="BB62" s="92"/>
      <c r="BC62" s="374"/>
      <c r="BD62" s="375"/>
      <c r="BE62" s="374"/>
      <c r="BF62" s="109" t="s">
        <v>396</v>
      </c>
      <c r="BG62" s="372" t="s">
        <v>333</v>
      </c>
      <c r="BH62" s="373" t="s">
        <v>380</v>
      </c>
      <c r="BI62" s="43"/>
      <c r="BJ62" s="55"/>
      <c r="BK62" s="29" t="s">
        <v>352</v>
      </c>
      <c r="BL62" s="372" t="s">
        <v>397</v>
      </c>
      <c r="BM62" s="109" t="s">
        <v>398</v>
      </c>
      <c r="BN62" s="92"/>
      <c r="BO62" s="374"/>
      <c r="BP62" s="375"/>
      <c r="BQ62" s="374"/>
      <c r="BR62" s="109" t="s">
        <v>387</v>
      </c>
      <c r="BS62" s="372" t="s">
        <v>378</v>
      </c>
      <c r="BT62" s="373" t="s">
        <v>322</v>
      </c>
      <c r="BU62" s="43"/>
      <c r="BV62" s="66"/>
      <c r="BW62" s="29"/>
      <c r="BX62" s="372"/>
      <c r="BY62" s="109"/>
      <c r="BZ62" s="92"/>
      <c r="CA62" s="374"/>
      <c r="CB62" s="375"/>
      <c r="CC62" s="374"/>
      <c r="CD62" s="109"/>
      <c r="CE62" s="372"/>
      <c r="CF62" s="373"/>
    </row>
    <row r="63">
      <c r="A63" s="3"/>
      <c r="B63" s="376">
        <v>2.0</v>
      </c>
      <c r="C63" s="376" t="s">
        <v>315</v>
      </c>
      <c r="D63" s="377" t="s">
        <v>316</v>
      </c>
      <c r="E63" s="378" t="s">
        <v>337</v>
      </c>
      <c r="F63" s="379" t="s">
        <v>318</v>
      </c>
      <c r="G63" s="380" t="s">
        <v>320</v>
      </c>
      <c r="H63" s="380" t="s">
        <v>319</v>
      </c>
      <c r="I63" s="376" t="s">
        <v>321</v>
      </c>
      <c r="J63" s="378" t="s">
        <v>374</v>
      </c>
      <c r="K63" s="377" t="s">
        <v>345</v>
      </c>
      <c r="L63" s="379" t="s">
        <v>324</v>
      </c>
      <c r="M63" s="3"/>
      <c r="N63" s="376">
        <v>2.0</v>
      </c>
      <c r="O63" s="376" t="s">
        <v>327</v>
      </c>
      <c r="P63" s="377" t="s">
        <v>338</v>
      </c>
      <c r="Q63" s="378" t="s">
        <v>324</v>
      </c>
      <c r="R63" s="379" t="s">
        <v>321</v>
      </c>
      <c r="S63" s="381" t="s">
        <v>319</v>
      </c>
      <c r="T63" s="382" t="s">
        <v>320</v>
      </c>
      <c r="U63" s="378" t="s">
        <v>318</v>
      </c>
      <c r="V63" s="378" t="s">
        <v>341</v>
      </c>
      <c r="W63" s="377" t="s">
        <v>358</v>
      </c>
      <c r="X63" s="379" t="s">
        <v>369</v>
      </c>
      <c r="Y63" s="3"/>
      <c r="Z63" s="383">
        <v>2.0</v>
      </c>
      <c r="AA63" s="376" t="s">
        <v>337</v>
      </c>
      <c r="AB63" s="377" t="s">
        <v>378</v>
      </c>
      <c r="AC63" s="378" t="s">
        <v>352</v>
      </c>
      <c r="AD63" s="379" t="s">
        <v>321</v>
      </c>
      <c r="AE63" s="381" t="s">
        <v>320</v>
      </c>
      <c r="AF63" s="382" t="s">
        <v>319</v>
      </c>
      <c r="AG63" s="378" t="s">
        <v>318</v>
      </c>
      <c r="AH63" s="378" t="s">
        <v>324</v>
      </c>
      <c r="AI63" s="377" t="s">
        <v>333</v>
      </c>
      <c r="AJ63" s="379" t="s">
        <v>334</v>
      </c>
      <c r="AK63" s="43"/>
      <c r="AL63" s="383">
        <v>2.0</v>
      </c>
      <c r="AM63" s="376" t="s">
        <v>331</v>
      </c>
      <c r="AN63" s="384" t="s">
        <v>335</v>
      </c>
      <c r="AO63" s="378" t="s">
        <v>325</v>
      </c>
      <c r="AP63" s="379" t="s">
        <v>321</v>
      </c>
      <c r="AQ63" s="381" t="s">
        <v>320</v>
      </c>
      <c r="AR63" s="382" t="s">
        <v>319</v>
      </c>
      <c r="AS63" s="378" t="s">
        <v>318</v>
      </c>
      <c r="AT63" s="378" t="s">
        <v>342</v>
      </c>
      <c r="AU63" s="385" t="s">
        <v>394</v>
      </c>
      <c r="AV63" s="379" t="s">
        <v>315</v>
      </c>
      <c r="AW63" s="43"/>
      <c r="AX63" s="383">
        <v>2.0</v>
      </c>
      <c r="AY63" s="376" t="s">
        <v>337</v>
      </c>
      <c r="AZ63" s="377" t="s">
        <v>338</v>
      </c>
      <c r="BA63" s="378" t="s">
        <v>324</v>
      </c>
      <c r="BB63" s="379" t="s">
        <v>318</v>
      </c>
      <c r="BC63" s="381" t="s">
        <v>319</v>
      </c>
      <c r="BD63" s="382" t="s">
        <v>320</v>
      </c>
      <c r="BE63" s="378" t="s">
        <v>321</v>
      </c>
      <c r="BF63" s="378" t="s">
        <v>328</v>
      </c>
      <c r="BG63" s="377" t="s">
        <v>339</v>
      </c>
      <c r="BH63" s="379" t="s">
        <v>334</v>
      </c>
      <c r="BI63" s="43"/>
      <c r="BJ63" s="376">
        <v>2.0</v>
      </c>
      <c r="BK63" s="376" t="s">
        <v>337</v>
      </c>
      <c r="BL63" s="377" t="s">
        <v>340</v>
      </c>
      <c r="BM63" s="378" t="s">
        <v>341</v>
      </c>
      <c r="BN63" s="379" t="s">
        <v>318</v>
      </c>
      <c r="BO63" s="381" t="s">
        <v>320</v>
      </c>
      <c r="BP63" s="382" t="s">
        <v>319</v>
      </c>
      <c r="BQ63" s="378" t="s">
        <v>321</v>
      </c>
      <c r="BR63" s="378" t="s">
        <v>354</v>
      </c>
      <c r="BS63" s="377" t="s">
        <v>326</v>
      </c>
      <c r="BT63" s="379" t="s">
        <v>327</v>
      </c>
      <c r="BU63" s="43"/>
      <c r="BV63" s="383">
        <v>2.0</v>
      </c>
      <c r="BW63" s="376"/>
      <c r="BX63" s="377"/>
      <c r="BY63" s="378"/>
      <c r="BZ63" s="379"/>
      <c r="CA63" s="381"/>
      <c r="CB63" s="382"/>
      <c r="CC63" s="378"/>
      <c r="CD63" s="378"/>
      <c r="CE63" s="377"/>
      <c r="CF63" s="379"/>
    </row>
    <row r="64">
      <c r="A64" s="3"/>
      <c r="B64" s="55"/>
      <c r="C64" s="29" t="s">
        <v>341</v>
      </c>
      <c r="D64" s="372" t="s">
        <v>344</v>
      </c>
      <c r="E64" s="109" t="s">
        <v>399</v>
      </c>
      <c r="F64" s="92"/>
      <c r="I64" s="55"/>
      <c r="J64" s="109" t="s">
        <v>328</v>
      </c>
      <c r="K64" s="372" t="s">
        <v>390</v>
      </c>
      <c r="L64" s="373" t="s">
        <v>342</v>
      </c>
      <c r="M64" s="3"/>
      <c r="N64" s="55"/>
      <c r="O64" s="29" t="s">
        <v>376</v>
      </c>
      <c r="P64" s="372" t="s">
        <v>349</v>
      </c>
      <c r="Q64" s="109" t="s">
        <v>328</v>
      </c>
      <c r="R64" s="92"/>
      <c r="T64" s="92"/>
      <c r="V64" s="109" t="s">
        <v>322</v>
      </c>
      <c r="W64" s="372" t="s">
        <v>370</v>
      </c>
      <c r="X64" s="373" t="s">
        <v>325</v>
      </c>
      <c r="Y64" s="3"/>
      <c r="Z64" s="66"/>
      <c r="AA64" s="29" t="s">
        <v>327</v>
      </c>
      <c r="AB64" s="372" t="s">
        <v>349</v>
      </c>
      <c r="AC64" s="109" t="s">
        <v>328</v>
      </c>
      <c r="AD64" s="92"/>
      <c r="AF64" s="92"/>
      <c r="AH64" s="109" t="s">
        <v>380</v>
      </c>
      <c r="AI64" s="372" t="s">
        <v>339</v>
      </c>
      <c r="AJ64" s="373" t="s">
        <v>315</v>
      </c>
      <c r="AK64" s="43"/>
      <c r="AL64" s="66"/>
      <c r="AM64" s="29" t="s">
        <v>317</v>
      </c>
      <c r="AN64" s="242" t="s">
        <v>365</v>
      </c>
      <c r="AO64" s="109" t="s">
        <v>327</v>
      </c>
      <c r="AP64" s="92"/>
      <c r="AR64" s="92"/>
      <c r="AT64" s="109" t="s">
        <v>332</v>
      </c>
      <c r="AU64" s="240" t="s">
        <v>383</v>
      </c>
      <c r="AV64" s="373" t="s">
        <v>357</v>
      </c>
      <c r="AW64" s="43"/>
      <c r="AX64" s="66"/>
      <c r="AY64" s="29" t="s">
        <v>315</v>
      </c>
      <c r="AZ64" s="372" t="s">
        <v>326</v>
      </c>
      <c r="BA64" s="109" t="s">
        <v>354</v>
      </c>
      <c r="BB64" s="92"/>
      <c r="BD64" s="92"/>
      <c r="BF64" s="109" t="s">
        <v>341</v>
      </c>
      <c r="BG64" s="372" t="s">
        <v>355</v>
      </c>
      <c r="BH64" s="373" t="s">
        <v>327</v>
      </c>
      <c r="BI64" s="43"/>
      <c r="BJ64" s="55"/>
      <c r="BK64" s="29" t="s">
        <v>315</v>
      </c>
      <c r="BL64" s="372" t="s">
        <v>356</v>
      </c>
      <c r="BM64" s="109" t="s">
        <v>357</v>
      </c>
      <c r="BN64" s="92"/>
      <c r="BP64" s="92"/>
      <c r="BR64" s="109" t="s">
        <v>331</v>
      </c>
      <c r="BS64" s="372" t="s">
        <v>330</v>
      </c>
      <c r="BT64" s="373" t="s">
        <v>342</v>
      </c>
      <c r="BU64" s="43"/>
      <c r="BV64" s="66"/>
      <c r="BW64" s="29"/>
      <c r="BX64" s="372"/>
      <c r="BY64" s="109"/>
      <c r="BZ64" s="92"/>
      <c r="CB64" s="92"/>
      <c r="CD64" s="109"/>
      <c r="CE64" s="372"/>
      <c r="CF64" s="373"/>
    </row>
    <row r="65">
      <c r="A65" s="3"/>
      <c r="B65" s="55"/>
      <c r="C65" s="29" t="s">
        <v>369</v>
      </c>
      <c r="D65" s="372" t="s">
        <v>358</v>
      </c>
      <c r="E65" s="109" t="s">
        <v>361</v>
      </c>
      <c r="F65" s="92"/>
      <c r="I65" s="55"/>
      <c r="J65" s="109" t="s">
        <v>400</v>
      </c>
      <c r="K65" s="372" t="s">
        <v>360</v>
      </c>
      <c r="L65" s="373" t="s">
        <v>327</v>
      </c>
      <c r="M65" s="3"/>
      <c r="N65" s="55"/>
      <c r="O65" s="29" t="s">
        <v>331</v>
      </c>
      <c r="P65" s="372" t="s">
        <v>330</v>
      </c>
      <c r="Q65" s="109" t="s">
        <v>400</v>
      </c>
      <c r="R65" s="92"/>
      <c r="T65" s="92"/>
      <c r="V65" s="109" t="s">
        <v>343</v>
      </c>
      <c r="W65" s="372" t="s">
        <v>388</v>
      </c>
      <c r="X65" s="373" t="s">
        <v>315</v>
      </c>
      <c r="Y65" s="3"/>
      <c r="Z65" s="66"/>
      <c r="AA65" s="29" t="s">
        <v>341</v>
      </c>
      <c r="AB65" s="372" t="s">
        <v>338</v>
      </c>
      <c r="AC65" s="109" t="s">
        <v>389</v>
      </c>
      <c r="AD65" s="92"/>
      <c r="AF65" s="92"/>
      <c r="AH65" s="109" t="s">
        <v>325</v>
      </c>
      <c r="AI65" s="372" t="s">
        <v>364</v>
      </c>
      <c r="AJ65" s="373" t="s">
        <v>347</v>
      </c>
      <c r="AK65" s="43"/>
      <c r="AL65" s="66"/>
      <c r="AM65" s="29" t="s">
        <v>352</v>
      </c>
      <c r="AN65" s="242" t="s">
        <v>381</v>
      </c>
      <c r="AO65" s="109" t="s">
        <v>324</v>
      </c>
      <c r="AP65" s="92"/>
      <c r="AR65" s="92"/>
      <c r="AT65" s="109" t="s">
        <v>374</v>
      </c>
      <c r="AU65" s="240" t="s">
        <v>353</v>
      </c>
      <c r="AV65" s="373" t="s">
        <v>337</v>
      </c>
      <c r="AW65" s="43"/>
      <c r="AX65" s="66"/>
      <c r="AY65" s="29" t="s">
        <v>332</v>
      </c>
      <c r="AZ65" s="372" t="s">
        <v>330</v>
      </c>
      <c r="BA65" s="109" t="s">
        <v>331</v>
      </c>
      <c r="BB65" s="92"/>
      <c r="BD65" s="92"/>
      <c r="BF65" s="109" t="s">
        <v>395</v>
      </c>
      <c r="BG65" s="372" t="s">
        <v>333</v>
      </c>
      <c r="BH65" s="373" t="s">
        <v>342</v>
      </c>
      <c r="BI65" s="43"/>
      <c r="BJ65" s="55"/>
      <c r="BK65" s="29" t="s">
        <v>334</v>
      </c>
      <c r="BL65" s="372" t="s">
        <v>397</v>
      </c>
      <c r="BM65" s="109" t="s">
        <v>398</v>
      </c>
      <c r="BN65" s="92"/>
      <c r="BP65" s="92"/>
      <c r="BR65" s="109" t="s">
        <v>324</v>
      </c>
      <c r="BS65" s="372" t="s">
        <v>338</v>
      </c>
      <c r="BT65" s="373" t="s">
        <v>332</v>
      </c>
      <c r="BU65" s="43"/>
      <c r="BV65" s="66"/>
      <c r="BW65" s="29"/>
      <c r="BX65" s="372"/>
      <c r="BY65" s="109"/>
      <c r="BZ65" s="92"/>
      <c r="CB65" s="92"/>
      <c r="CD65" s="109"/>
      <c r="CE65" s="372"/>
      <c r="CF65" s="373"/>
    </row>
    <row r="66">
      <c r="A66" s="3"/>
      <c r="B66" s="55"/>
      <c r="C66" s="29" t="s">
        <v>387</v>
      </c>
      <c r="D66" s="372" t="s">
        <v>370</v>
      </c>
      <c r="E66" s="109" t="s">
        <v>401</v>
      </c>
      <c r="F66" s="92"/>
      <c r="I66" s="55"/>
      <c r="J66" s="109" t="s">
        <v>352</v>
      </c>
      <c r="K66" s="372" t="s">
        <v>372</v>
      </c>
      <c r="L66" s="373" t="s">
        <v>375</v>
      </c>
      <c r="M66" s="3"/>
      <c r="N66" s="55"/>
      <c r="O66" s="29" t="s">
        <v>346</v>
      </c>
      <c r="P66" s="372" t="s">
        <v>378</v>
      </c>
      <c r="Q66" s="109" t="s">
        <v>402</v>
      </c>
      <c r="R66" s="92"/>
      <c r="T66" s="92"/>
      <c r="V66" s="109" t="s">
        <v>352</v>
      </c>
      <c r="W66" s="372" t="s">
        <v>344</v>
      </c>
      <c r="X66" s="373" t="s">
        <v>373</v>
      </c>
      <c r="Y66" s="3"/>
      <c r="Z66" s="66"/>
      <c r="AA66" s="29" t="s">
        <v>368</v>
      </c>
      <c r="AB66" s="372" t="s">
        <v>326</v>
      </c>
      <c r="AC66" s="109" t="s">
        <v>391</v>
      </c>
      <c r="AD66" s="92"/>
      <c r="AF66" s="92"/>
      <c r="AH66" s="109" t="s">
        <v>363</v>
      </c>
      <c r="AI66" s="372" t="s">
        <v>355</v>
      </c>
      <c r="AJ66" s="373" t="s">
        <v>317</v>
      </c>
      <c r="AK66" s="43"/>
      <c r="AL66" s="66"/>
      <c r="AM66" s="29" t="s">
        <v>384</v>
      </c>
      <c r="AN66" s="242" t="s">
        <v>393</v>
      </c>
      <c r="AO66" s="109" t="s">
        <v>401</v>
      </c>
      <c r="AP66" s="92"/>
      <c r="AR66" s="92"/>
      <c r="AT66" s="109" t="s">
        <v>343</v>
      </c>
      <c r="AU66" s="240" t="s">
        <v>366</v>
      </c>
      <c r="AV66" s="373" t="s">
        <v>346</v>
      </c>
      <c r="AW66" s="43"/>
      <c r="AX66" s="66"/>
      <c r="AY66" s="29" t="s">
        <v>403</v>
      </c>
      <c r="AZ66" s="372" t="s">
        <v>378</v>
      </c>
      <c r="BA66" s="109" t="s">
        <v>346</v>
      </c>
      <c r="BB66" s="92"/>
      <c r="BD66" s="92"/>
      <c r="BF66" s="109" t="s">
        <v>352</v>
      </c>
      <c r="BG66" s="372" t="s">
        <v>350</v>
      </c>
      <c r="BH66" s="373" t="s">
        <v>380</v>
      </c>
      <c r="BI66" s="43"/>
      <c r="BJ66" s="55"/>
      <c r="BK66" s="29" t="s">
        <v>322</v>
      </c>
      <c r="BL66" s="372" t="s">
        <v>386</v>
      </c>
      <c r="BM66" s="109" t="s">
        <v>377</v>
      </c>
      <c r="BN66" s="92"/>
      <c r="BP66" s="92"/>
      <c r="BR66" s="109" t="s">
        <v>384</v>
      </c>
      <c r="BS66" s="372" t="s">
        <v>349</v>
      </c>
      <c r="BT66" s="373" t="s">
        <v>404</v>
      </c>
      <c r="BU66" s="43"/>
      <c r="BV66" s="66"/>
      <c r="BW66" s="29"/>
      <c r="BX66" s="372"/>
      <c r="BY66" s="109"/>
      <c r="BZ66" s="92"/>
      <c r="CB66" s="92"/>
      <c r="CD66" s="109"/>
      <c r="CE66" s="372"/>
      <c r="CF66" s="373"/>
    </row>
    <row r="67">
      <c r="A67" s="3"/>
      <c r="B67" s="386"/>
      <c r="C67" s="387" t="s">
        <v>376</v>
      </c>
      <c r="D67" s="388" t="s">
        <v>388</v>
      </c>
      <c r="E67" s="389" t="s">
        <v>334</v>
      </c>
      <c r="F67" s="375"/>
      <c r="G67" s="374"/>
      <c r="H67" s="374"/>
      <c r="I67" s="386"/>
      <c r="J67" s="389" t="s">
        <v>396</v>
      </c>
      <c r="K67" s="388" t="s">
        <v>323</v>
      </c>
      <c r="L67" s="390" t="s">
        <v>371</v>
      </c>
      <c r="M67" s="3"/>
      <c r="N67" s="386"/>
      <c r="O67" s="387" t="s">
        <v>337</v>
      </c>
      <c r="P67" s="388" t="s">
        <v>326</v>
      </c>
      <c r="Q67" s="389" t="s">
        <v>391</v>
      </c>
      <c r="R67" s="375"/>
      <c r="S67" s="374"/>
      <c r="T67" s="375"/>
      <c r="U67" s="374"/>
      <c r="V67" s="389" t="s">
        <v>371</v>
      </c>
      <c r="W67" s="388" t="s">
        <v>316</v>
      </c>
      <c r="X67" s="390" t="s">
        <v>342</v>
      </c>
      <c r="Y67" s="3"/>
      <c r="Z67" s="134"/>
      <c r="AA67" s="387" t="s">
        <v>346</v>
      </c>
      <c r="AB67" s="388" t="s">
        <v>330</v>
      </c>
      <c r="AC67" s="389" t="s">
        <v>400</v>
      </c>
      <c r="AD67" s="375"/>
      <c r="AE67" s="374"/>
      <c r="AF67" s="375"/>
      <c r="AG67" s="374"/>
      <c r="AH67" s="389" t="s">
        <v>405</v>
      </c>
      <c r="AI67" s="388" t="s">
        <v>350</v>
      </c>
      <c r="AJ67" s="390" t="s">
        <v>331</v>
      </c>
      <c r="AK67" s="43"/>
      <c r="AL67" s="134"/>
      <c r="AM67" s="387" t="s">
        <v>328</v>
      </c>
      <c r="AN67" s="391" t="s">
        <v>351</v>
      </c>
      <c r="AO67" s="389" t="s">
        <v>387</v>
      </c>
      <c r="AP67" s="375"/>
      <c r="AQ67" s="374"/>
      <c r="AR67" s="375"/>
      <c r="AS67" s="374"/>
      <c r="AT67" s="389" t="s">
        <v>377</v>
      </c>
      <c r="AU67" s="392" t="s">
        <v>336</v>
      </c>
      <c r="AV67" s="390" t="s">
        <v>385</v>
      </c>
      <c r="AW67" s="43"/>
      <c r="AX67" s="134"/>
      <c r="AY67" s="387" t="s">
        <v>357</v>
      </c>
      <c r="AZ67" s="372" t="s">
        <v>349</v>
      </c>
      <c r="BA67" s="109" t="s">
        <v>377</v>
      </c>
      <c r="BB67" s="375"/>
      <c r="BC67" s="374"/>
      <c r="BD67" s="375"/>
      <c r="BE67" s="374"/>
      <c r="BF67" s="389" t="s">
        <v>400</v>
      </c>
      <c r="BG67" s="388" t="s">
        <v>364</v>
      </c>
      <c r="BH67" s="390" t="s">
        <v>384</v>
      </c>
      <c r="BI67" s="43"/>
      <c r="BJ67" s="386"/>
      <c r="BK67" s="387" t="s">
        <v>399</v>
      </c>
      <c r="BL67" s="388" t="s">
        <v>367</v>
      </c>
      <c r="BM67" s="389" t="s">
        <v>406</v>
      </c>
      <c r="BN67" s="375"/>
      <c r="BO67" s="374"/>
      <c r="BP67" s="375"/>
      <c r="BQ67" s="374"/>
      <c r="BR67" s="389" t="s">
        <v>346</v>
      </c>
      <c r="BS67" s="388" t="s">
        <v>378</v>
      </c>
      <c r="BT67" s="390" t="s">
        <v>352</v>
      </c>
      <c r="BU67" s="43"/>
      <c r="BV67" s="134"/>
      <c r="BW67" s="387"/>
      <c r="BX67" s="388"/>
      <c r="BY67" s="389"/>
      <c r="BZ67" s="375"/>
      <c r="CA67" s="374"/>
      <c r="CB67" s="375"/>
      <c r="CC67" s="374"/>
      <c r="CD67" s="389"/>
      <c r="CE67" s="388"/>
      <c r="CF67" s="390"/>
    </row>
    <row r="68">
      <c r="A68" s="3"/>
      <c r="B68" s="29">
        <v>3.0</v>
      </c>
      <c r="C68" s="29" t="s">
        <v>341</v>
      </c>
      <c r="D68" s="372" t="s">
        <v>316</v>
      </c>
      <c r="E68" s="109" t="s">
        <v>328</v>
      </c>
      <c r="F68" s="373" t="s">
        <v>318</v>
      </c>
      <c r="G68" s="380" t="s">
        <v>319</v>
      </c>
      <c r="H68" s="380" t="s">
        <v>320</v>
      </c>
      <c r="I68" s="29" t="s">
        <v>321</v>
      </c>
      <c r="J68" s="109" t="s">
        <v>315</v>
      </c>
      <c r="K68" s="372" t="s">
        <v>345</v>
      </c>
      <c r="L68" s="373" t="s">
        <v>327</v>
      </c>
      <c r="M68" s="3"/>
      <c r="N68" s="29">
        <v>3.0</v>
      </c>
      <c r="O68" s="29"/>
      <c r="P68" s="372"/>
      <c r="Q68" s="109"/>
      <c r="R68" s="373"/>
      <c r="S68" s="380"/>
      <c r="T68" s="393"/>
      <c r="U68" s="109"/>
      <c r="V68" s="109"/>
      <c r="W68" s="372"/>
      <c r="X68" s="373"/>
      <c r="Y68" s="3"/>
      <c r="Z68" s="371">
        <v>3.0</v>
      </c>
      <c r="AA68" s="29"/>
      <c r="AB68" s="372"/>
      <c r="AC68" s="109"/>
      <c r="AD68" s="373"/>
      <c r="AE68" s="380"/>
      <c r="AF68" s="393"/>
      <c r="AG68" s="109"/>
      <c r="AH68" s="109"/>
      <c r="AI68" s="372"/>
      <c r="AJ68" s="373"/>
      <c r="AK68" s="43"/>
      <c r="AL68" s="383">
        <v>3.0</v>
      </c>
      <c r="AM68" s="376" t="s">
        <v>331</v>
      </c>
      <c r="AN68" s="234" t="s">
        <v>335</v>
      </c>
      <c r="AO68" s="378" t="s">
        <v>325</v>
      </c>
      <c r="AP68" s="379" t="s">
        <v>321</v>
      </c>
      <c r="AQ68" s="381" t="s">
        <v>319</v>
      </c>
      <c r="AR68" s="382" t="s">
        <v>320</v>
      </c>
      <c r="AS68" s="378" t="s">
        <v>318</v>
      </c>
      <c r="AT68" s="378" t="s">
        <v>342</v>
      </c>
      <c r="AU68" s="385" t="s">
        <v>394</v>
      </c>
      <c r="AV68" s="379" t="s">
        <v>315</v>
      </c>
      <c r="AW68" s="43"/>
      <c r="AX68" s="383">
        <v>3.0</v>
      </c>
      <c r="AY68" s="376" t="s">
        <v>327</v>
      </c>
      <c r="AZ68" s="377" t="s">
        <v>338</v>
      </c>
      <c r="BA68" s="378" t="s">
        <v>332</v>
      </c>
      <c r="BB68" s="379" t="s">
        <v>321</v>
      </c>
      <c r="BC68" s="381" t="s">
        <v>320</v>
      </c>
      <c r="BD68" s="382" t="s">
        <v>319</v>
      </c>
      <c r="BE68" s="378" t="s">
        <v>318</v>
      </c>
      <c r="BF68" s="378" t="s">
        <v>317</v>
      </c>
      <c r="BG68" s="377" t="s">
        <v>364</v>
      </c>
      <c r="BH68" s="379" t="s">
        <v>315</v>
      </c>
      <c r="BI68" s="43"/>
      <c r="BJ68" s="376">
        <v>3.0</v>
      </c>
      <c r="BK68" s="29" t="s">
        <v>315</v>
      </c>
      <c r="BL68" s="372" t="s">
        <v>356</v>
      </c>
      <c r="BM68" s="109" t="s">
        <v>331</v>
      </c>
      <c r="BN68" s="373" t="s">
        <v>318</v>
      </c>
      <c r="BO68" s="381" t="s">
        <v>319</v>
      </c>
      <c r="BP68" s="382" t="s">
        <v>320</v>
      </c>
      <c r="BQ68" s="378" t="s">
        <v>321</v>
      </c>
      <c r="BR68" s="378" t="s">
        <v>374</v>
      </c>
      <c r="BS68" s="377" t="s">
        <v>326</v>
      </c>
      <c r="BT68" s="379" t="s">
        <v>327</v>
      </c>
      <c r="BU68" s="43"/>
      <c r="BV68" s="371">
        <v>3.0</v>
      </c>
      <c r="BW68" s="29"/>
      <c r="BX68" s="372"/>
      <c r="BY68" s="109"/>
      <c r="BZ68" s="373"/>
      <c r="CA68" s="380"/>
      <c r="CB68" s="393"/>
      <c r="CC68" s="109"/>
      <c r="CD68" s="109"/>
      <c r="CE68" s="372"/>
      <c r="CF68" s="373"/>
    </row>
    <row r="69">
      <c r="A69" s="3"/>
      <c r="B69" s="55"/>
      <c r="C69" s="29" t="s">
        <v>369</v>
      </c>
      <c r="D69" s="372" t="s">
        <v>344</v>
      </c>
      <c r="E69" s="109" t="s">
        <v>407</v>
      </c>
      <c r="F69" s="92"/>
      <c r="I69" s="55"/>
      <c r="J69" s="109" t="s">
        <v>317</v>
      </c>
      <c r="K69" s="372" t="s">
        <v>360</v>
      </c>
      <c r="L69" s="373" t="s">
        <v>324</v>
      </c>
      <c r="M69" s="3"/>
      <c r="N69" s="55"/>
      <c r="O69" s="29"/>
      <c r="P69" s="372"/>
      <c r="Q69" s="109"/>
      <c r="R69" s="92"/>
      <c r="T69" s="92"/>
      <c r="V69" s="109"/>
      <c r="W69" s="372"/>
      <c r="X69" s="373"/>
      <c r="Y69" s="3"/>
      <c r="Z69" s="66"/>
      <c r="AA69" s="29"/>
      <c r="AB69" s="372"/>
      <c r="AC69" s="109"/>
      <c r="AD69" s="92"/>
      <c r="AF69" s="92"/>
      <c r="AH69" s="109"/>
      <c r="AI69" s="372"/>
      <c r="AJ69" s="373"/>
      <c r="AK69" s="43"/>
      <c r="AL69" s="66"/>
      <c r="AM69" s="29" t="s">
        <v>317</v>
      </c>
      <c r="AN69" s="242" t="s">
        <v>365</v>
      </c>
      <c r="AO69" s="109" t="s">
        <v>327</v>
      </c>
      <c r="AP69" s="92"/>
      <c r="AR69" s="92"/>
      <c r="AT69" s="109" t="s">
        <v>332</v>
      </c>
      <c r="AU69" s="240" t="s">
        <v>383</v>
      </c>
      <c r="AV69" s="373" t="s">
        <v>357</v>
      </c>
      <c r="AW69" s="43"/>
      <c r="AX69" s="66"/>
      <c r="AY69" s="29" t="s">
        <v>324</v>
      </c>
      <c r="AZ69" s="372" t="s">
        <v>326</v>
      </c>
      <c r="BA69" s="109" t="s">
        <v>341</v>
      </c>
      <c r="BB69" s="92"/>
      <c r="BD69" s="92"/>
      <c r="BF69" s="109" t="s">
        <v>342</v>
      </c>
      <c r="BG69" s="372" t="s">
        <v>350</v>
      </c>
      <c r="BH69" s="373" t="s">
        <v>334</v>
      </c>
      <c r="BI69" s="43"/>
      <c r="BJ69" s="55"/>
      <c r="BK69" s="29" t="s">
        <v>341</v>
      </c>
      <c r="BL69" s="372" t="s">
        <v>367</v>
      </c>
      <c r="BM69" s="109" t="s">
        <v>337</v>
      </c>
      <c r="BN69" s="92"/>
      <c r="BP69" s="92"/>
      <c r="BR69" s="109" t="s">
        <v>346</v>
      </c>
      <c r="BS69" s="372" t="s">
        <v>378</v>
      </c>
      <c r="BT69" s="373" t="s">
        <v>342</v>
      </c>
      <c r="BU69" s="43"/>
      <c r="BV69" s="66"/>
      <c r="BW69" s="29"/>
      <c r="BX69" s="372"/>
      <c r="BY69" s="109"/>
      <c r="BZ69" s="92"/>
      <c r="CB69" s="92"/>
      <c r="CD69" s="109"/>
      <c r="CE69" s="372"/>
      <c r="CF69" s="373"/>
    </row>
    <row r="70">
      <c r="A70" s="3"/>
      <c r="B70" s="55"/>
      <c r="C70" s="29" t="s">
        <v>331</v>
      </c>
      <c r="D70" s="372" t="s">
        <v>358</v>
      </c>
      <c r="E70" s="109" t="s">
        <v>408</v>
      </c>
      <c r="F70" s="92"/>
      <c r="I70" s="55"/>
      <c r="J70" s="109" t="s">
        <v>384</v>
      </c>
      <c r="K70" s="372" t="s">
        <v>390</v>
      </c>
      <c r="L70" s="373" t="s">
        <v>342</v>
      </c>
      <c r="M70" s="3"/>
      <c r="N70" s="55"/>
      <c r="O70" s="29"/>
      <c r="P70" s="372"/>
      <c r="Q70" s="109"/>
      <c r="R70" s="92"/>
      <c r="T70" s="92"/>
      <c r="V70" s="109"/>
      <c r="W70" s="372"/>
      <c r="X70" s="373"/>
      <c r="Y70" s="3"/>
      <c r="Z70" s="66"/>
      <c r="AA70" s="29"/>
      <c r="AB70" s="372"/>
      <c r="AC70" s="109"/>
      <c r="AD70" s="92"/>
      <c r="AF70" s="92"/>
      <c r="AH70" s="109"/>
      <c r="AI70" s="372"/>
      <c r="AJ70" s="373"/>
      <c r="AK70" s="43"/>
      <c r="AL70" s="66"/>
      <c r="AM70" s="29" t="s">
        <v>352</v>
      </c>
      <c r="AN70" s="242" t="s">
        <v>381</v>
      </c>
      <c r="AO70" s="109" t="s">
        <v>324</v>
      </c>
      <c r="AP70" s="92"/>
      <c r="AR70" s="92"/>
      <c r="AT70" s="109" t="s">
        <v>374</v>
      </c>
      <c r="AU70" s="240" t="s">
        <v>353</v>
      </c>
      <c r="AV70" s="373" t="s">
        <v>337</v>
      </c>
      <c r="AW70" s="43"/>
      <c r="AX70" s="66"/>
      <c r="AY70" s="29" t="s">
        <v>337</v>
      </c>
      <c r="AZ70" s="372" t="s">
        <v>378</v>
      </c>
      <c r="BA70" s="109" t="s">
        <v>352</v>
      </c>
      <c r="BB70" s="92"/>
      <c r="BD70" s="92"/>
      <c r="BF70" s="109" t="s">
        <v>361</v>
      </c>
      <c r="BG70" s="372" t="s">
        <v>333</v>
      </c>
      <c r="BH70" s="373" t="s">
        <v>331</v>
      </c>
      <c r="BI70" s="43"/>
      <c r="BJ70" s="55"/>
      <c r="BK70" s="29" t="s">
        <v>334</v>
      </c>
      <c r="BL70" s="372" t="s">
        <v>397</v>
      </c>
      <c r="BM70" s="109" t="s">
        <v>324</v>
      </c>
      <c r="BN70" s="92"/>
      <c r="BP70" s="92"/>
      <c r="BR70" s="109" t="s">
        <v>332</v>
      </c>
      <c r="BS70" s="372" t="s">
        <v>338</v>
      </c>
      <c r="BT70" s="373" t="s">
        <v>317</v>
      </c>
      <c r="BU70" s="43"/>
      <c r="BV70" s="66"/>
      <c r="BW70" s="29"/>
      <c r="BX70" s="372"/>
      <c r="BY70" s="109"/>
      <c r="BZ70" s="92"/>
      <c r="CB70" s="92"/>
      <c r="CD70" s="109"/>
      <c r="CE70" s="372"/>
      <c r="CF70" s="373"/>
    </row>
    <row r="71">
      <c r="A71" s="3"/>
      <c r="B71" s="55"/>
      <c r="C71" s="29" t="s">
        <v>352</v>
      </c>
      <c r="D71" s="372" t="s">
        <v>370</v>
      </c>
      <c r="E71" s="109" t="s">
        <v>409</v>
      </c>
      <c r="F71" s="92"/>
      <c r="I71" s="55"/>
      <c r="J71" s="109" t="s">
        <v>332</v>
      </c>
      <c r="K71" s="372" t="s">
        <v>323</v>
      </c>
      <c r="L71" s="373" t="s">
        <v>410</v>
      </c>
      <c r="M71" s="3"/>
      <c r="N71" s="55"/>
      <c r="O71" s="29"/>
      <c r="P71" s="372"/>
      <c r="Q71" s="109"/>
      <c r="R71" s="92"/>
      <c r="T71" s="92"/>
      <c r="V71" s="109"/>
      <c r="W71" s="372"/>
      <c r="X71" s="373"/>
      <c r="Y71" s="3"/>
      <c r="Z71" s="66"/>
      <c r="AA71" s="29"/>
      <c r="AB71" s="372"/>
      <c r="AC71" s="109"/>
      <c r="AD71" s="92"/>
      <c r="AF71" s="92"/>
      <c r="AH71" s="109"/>
      <c r="AI71" s="372"/>
      <c r="AJ71" s="373"/>
      <c r="AK71" s="43"/>
      <c r="AL71" s="66"/>
      <c r="AM71" s="29" t="s">
        <v>343</v>
      </c>
      <c r="AN71" s="242" t="s">
        <v>393</v>
      </c>
      <c r="AO71" s="109" t="s">
        <v>384</v>
      </c>
      <c r="AP71" s="92"/>
      <c r="AR71" s="92"/>
      <c r="AT71" s="109" t="s">
        <v>411</v>
      </c>
      <c r="AU71" s="240" t="s">
        <v>366</v>
      </c>
      <c r="AV71" s="373" t="s">
        <v>385</v>
      </c>
      <c r="AW71" s="43"/>
      <c r="AX71" s="66"/>
      <c r="AY71" s="29" t="s">
        <v>373</v>
      </c>
      <c r="AZ71" s="372" t="s">
        <v>349</v>
      </c>
      <c r="BA71" s="109" t="s">
        <v>401</v>
      </c>
      <c r="BB71" s="92"/>
      <c r="BD71" s="92"/>
      <c r="BF71" s="109" t="s">
        <v>380</v>
      </c>
      <c r="BG71" s="372" t="s">
        <v>339</v>
      </c>
      <c r="BH71" s="373" t="s">
        <v>357</v>
      </c>
      <c r="BI71" s="43"/>
      <c r="BJ71" s="55"/>
      <c r="BK71" s="29" t="s">
        <v>343</v>
      </c>
      <c r="BL71" s="372" t="s">
        <v>386</v>
      </c>
      <c r="BM71" s="109" t="s">
        <v>328</v>
      </c>
      <c r="BN71" s="92"/>
      <c r="BP71" s="92"/>
      <c r="BR71" s="109" t="s">
        <v>377</v>
      </c>
      <c r="BS71" s="372" t="s">
        <v>349</v>
      </c>
      <c r="BT71" s="373" t="s">
        <v>373</v>
      </c>
      <c r="BU71" s="43"/>
      <c r="BV71" s="66"/>
      <c r="BW71" s="29"/>
      <c r="BX71" s="372"/>
      <c r="BY71" s="109"/>
      <c r="BZ71" s="92"/>
      <c r="CB71" s="92"/>
      <c r="CD71" s="109"/>
      <c r="CE71" s="372"/>
      <c r="CF71" s="373"/>
    </row>
    <row r="72">
      <c r="A72" s="3"/>
      <c r="B72" s="61"/>
      <c r="C72" s="394" t="s">
        <v>387</v>
      </c>
      <c r="D72" s="395" t="s">
        <v>388</v>
      </c>
      <c r="E72" s="132" t="s">
        <v>343</v>
      </c>
      <c r="F72" s="93"/>
      <c r="G72" s="22"/>
      <c r="H72" s="22"/>
      <c r="I72" s="61"/>
      <c r="J72" s="132" t="s">
        <v>346</v>
      </c>
      <c r="K72" s="395" t="s">
        <v>372</v>
      </c>
      <c r="L72" s="396" t="s">
        <v>322</v>
      </c>
      <c r="M72" s="3"/>
      <c r="N72" s="61"/>
      <c r="O72" s="394"/>
      <c r="P72" s="395"/>
      <c r="Q72" s="132"/>
      <c r="R72" s="93"/>
      <c r="S72" s="22"/>
      <c r="T72" s="93"/>
      <c r="U72" s="22"/>
      <c r="V72" s="132"/>
      <c r="W72" s="395"/>
      <c r="X72" s="396"/>
      <c r="Y72" s="3"/>
      <c r="Z72" s="94"/>
      <c r="AA72" s="394"/>
      <c r="AB72" s="395"/>
      <c r="AC72" s="132"/>
      <c r="AD72" s="93"/>
      <c r="AE72" s="22"/>
      <c r="AF72" s="93"/>
      <c r="AG72" s="22"/>
      <c r="AH72" s="132"/>
      <c r="AI72" s="395"/>
      <c r="AJ72" s="396"/>
      <c r="AK72" s="43"/>
      <c r="AL72" s="134"/>
      <c r="AM72" s="387" t="s">
        <v>328</v>
      </c>
      <c r="AN72" s="242" t="s">
        <v>351</v>
      </c>
      <c r="AO72" s="389" t="s">
        <v>405</v>
      </c>
      <c r="AP72" s="375"/>
      <c r="AQ72" s="374"/>
      <c r="AR72" s="375"/>
      <c r="AS72" s="374"/>
      <c r="AT72" s="389" t="s">
        <v>375</v>
      </c>
      <c r="AU72" s="392" t="s">
        <v>336</v>
      </c>
      <c r="AV72" s="390" t="s">
        <v>346</v>
      </c>
      <c r="AW72" s="43"/>
      <c r="AX72" s="134"/>
      <c r="AY72" s="387" t="s">
        <v>368</v>
      </c>
      <c r="AZ72" s="388" t="s">
        <v>330</v>
      </c>
      <c r="BA72" s="389" t="s">
        <v>400</v>
      </c>
      <c r="BB72" s="375"/>
      <c r="BC72" s="374"/>
      <c r="BD72" s="375"/>
      <c r="BE72" s="374"/>
      <c r="BF72" s="389" t="s">
        <v>348</v>
      </c>
      <c r="BG72" s="388" t="s">
        <v>355</v>
      </c>
      <c r="BH72" s="390" t="s">
        <v>325</v>
      </c>
      <c r="BI72" s="43"/>
      <c r="BJ72" s="386"/>
      <c r="BK72" s="29" t="s">
        <v>325</v>
      </c>
      <c r="BL72" s="372" t="s">
        <v>340</v>
      </c>
      <c r="BM72" s="109" t="s">
        <v>354</v>
      </c>
      <c r="BN72" s="92"/>
      <c r="BO72" s="374"/>
      <c r="BP72" s="375"/>
      <c r="BQ72" s="374"/>
      <c r="BR72" s="389" t="s">
        <v>400</v>
      </c>
      <c r="BS72" s="388" t="s">
        <v>330</v>
      </c>
      <c r="BT72" s="390" t="s">
        <v>391</v>
      </c>
      <c r="BU72" s="43"/>
      <c r="BV72" s="94"/>
      <c r="BW72" s="394"/>
      <c r="BX72" s="395"/>
      <c r="BY72" s="132"/>
      <c r="BZ72" s="93"/>
      <c r="CA72" s="22"/>
      <c r="CB72" s="93"/>
      <c r="CC72" s="22"/>
      <c r="CD72" s="132"/>
      <c r="CE72" s="395"/>
      <c r="CF72" s="396"/>
    </row>
    <row r="73">
      <c r="A73" s="3"/>
      <c r="B73" s="397"/>
      <c r="C73" s="397"/>
      <c r="D73" s="397"/>
      <c r="E73" s="397"/>
      <c r="F73" s="398"/>
      <c r="G73" s="399">
        <f t="shared" ref="G73:H73" si="1">COUNTIF(G58:G72, "W")</f>
        <v>2</v>
      </c>
      <c r="H73" s="400">
        <f t="shared" si="1"/>
        <v>1</v>
      </c>
      <c r="I73" s="398"/>
      <c r="J73" s="397"/>
      <c r="K73" s="397"/>
      <c r="L73" s="397"/>
      <c r="M73" s="3"/>
      <c r="N73" s="397"/>
      <c r="O73" s="397"/>
      <c r="P73" s="397"/>
      <c r="Q73" s="397"/>
      <c r="R73" s="398"/>
      <c r="S73" s="399">
        <f t="shared" ref="S73:T73" si="2">COUNTIF(S58:S72, "W")</f>
        <v>2</v>
      </c>
      <c r="T73" s="400">
        <f t="shared" si="2"/>
        <v>0</v>
      </c>
      <c r="U73" s="398"/>
      <c r="V73" s="397"/>
      <c r="W73" s="397"/>
      <c r="X73" s="397"/>
      <c r="Y73" s="3"/>
      <c r="Z73" s="397"/>
      <c r="AA73" s="397"/>
      <c r="AB73" s="397"/>
      <c r="AC73" s="397"/>
      <c r="AD73" s="398"/>
      <c r="AE73" s="399">
        <f t="shared" ref="AE73:AF73" si="3">COUNTIF(AE58:AE72, "W")</f>
        <v>0</v>
      </c>
      <c r="AF73" s="400">
        <f t="shared" si="3"/>
        <v>2</v>
      </c>
      <c r="AG73" s="398"/>
      <c r="AH73" s="397"/>
      <c r="AI73" s="397"/>
      <c r="AJ73" s="397"/>
      <c r="AK73" s="397"/>
      <c r="AL73" s="383">
        <v>4.0</v>
      </c>
      <c r="AM73" s="376" t="s">
        <v>331</v>
      </c>
      <c r="AN73" s="384" t="s">
        <v>335</v>
      </c>
      <c r="AO73" s="378" t="s">
        <v>343</v>
      </c>
      <c r="AP73" s="379" t="s">
        <v>321</v>
      </c>
      <c r="AQ73" s="381" t="s">
        <v>320</v>
      </c>
      <c r="AR73" s="382" t="s">
        <v>319</v>
      </c>
      <c r="AS73" s="378" t="s">
        <v>318</v>
      </c>
      <c r="AT73" s="378" t="s">
        <v>342</v>
      </c>
      <c r="AU73" s="385" t="s">
        <v>394</v>
      </c>
      <c r="AV73" s="379" t="s">
        <v>315</v>
      </c>
      <c r="AW73" s="397"/>
      <c r="AX73" s="383">
        <v>4.0</v>
      </c>
      <c r="AY73" s="376" t="s">
        <v>337</v>
      </c>
      <c r="AZ73" s="377" t="s">
        <v>378</v>
      </c>
      <c r="BA73" s="378" t="s">
        <v>342</v>
      </c>
      <c r="BB73" s="379" t="s">
        <v>318</v>
      </c>
      <c r="BC73" s="381" t="s">
        <v>320</v>
      </c>
      <c r="BD73" s="382" t="s">
        <v>319</v>
      </c>
      <c r="BE73" s="378" t="s">
        <v>321</v>
      </c>
      <c r="BF73" s="378" t="s">
        <v>328</v>
      </c>
      <c r="BG73" s="377" t="s">
        <v>339</v>
      </c>
      <c r="BH73" s="379" t="s">
        <v>327</v>
      </c>
      <c r="BI73" s="397"/>
      <c r="BJ73" s="376">
        <v>4.0</v>
      </c>
      <c r="BK73" s="376" t="s">
        <v>334</v>
      </c>
      <c r="BL73" s="377" t="s">
        <v>340</v>
      </c>
      <c r="BM73" s="378" t="s">
        <v>315</v>
      </c>
      <c r="BN73" s="379" t="s">
        <v>318</v>
      </c>
      <c r="BO73" s="381" t="s">
        <v>320</v>
      </c>
      <c r="BP73" s="382" t="s">
        <v>319</v>
      </c>
      <c r="BQ73" s="378" t="s">
        <v>321</v>
      </c>
      <c r="BR73" s="378" t="s">
        <v>332</v>
      </c>
      <c r="BS73" s="377" t="s">
        <v>338</v>
      </c>
      <c r="BT73" s="379" t="s">
        <v>342</v>
      </c>
      <c r="BU73" s="397"/>
      <c r="BV73" s="397"/>
      <c r="BW73" s="397"/>
      <c r="BX73" s="397"/>
      <c r="BY73" s="397"/>
      <c r="BZ73" s="398"/>
      <c r="CA73" s="399">
        <f t="shared" ref="CA73:CB73" si="4">COUNTIF(CA58:CA72, "W")</f>
        <v>0</v>
      </c>
      <c r="CB73" s="400">
        <f t="shared" si="4"/>
        <v>0</v>
      </c>
      <c r="CC73" s="398"/>
      <c r="CD73" s="397"/>
      <c r="CE73" s="397"/>
      <c r="CF73" s="397"/>
    </row>
    <row r="74">
      <c r="A74" s="3"/>
      <c r="B74" s="397"/>
      <c r="C74" s="397"/>
      <c r="D74" s="397"/>
      <c r="E74" s="397"/>
      <c r="F74" s="398"/>
      <c r="G74" s="397"/>
      <c r="H74" s="397"/>
      <c r="I74" s="397"/>
      <c r="J74" s="397"/>
      <c r="K74" s="397"/>
      <c r="L74" s="397"/>
      <c r="M74" s="3"/>
      <c r="N74" s="397"/>
      <c r="O74" s="397"/>
      <c r="P74" s="397"/>
      <c r="Q74" s="397"/>
      <c r="R74" s="398"/>
      <c r="S74" s="397"/>
      <c r="T74" s="397"/>
      <c r="U74" s="397"/>
      <c r="V74" s="397"/>
      <c r="W74" s="397"/>
      <c r="X74" s="397"/>
      <c r="Y74" s="3"/>
      <c r="Z74" s="397"/>
      <c r="AA74" s="397"/>
      <c r="AB74" s="397"/>
      <c r="AC74" s="397"/>
      <c r="AD74" s="398"/>
      <c r="AE74" s="397"/>
      <c r="AF74" s="397"/>
      <c r="AG74" s="397"/>
      <c r="AH74" s="397"/>
      <c r="AI74" s="397"/>
      <c r="AJ74" s="397"/>
      <c r="AK74" s="397"/>
      <c r="AL74" s="66"/>
      <c r="AM74" s="29" t="s">
        <v>317</v>
      </c>
      <c r="AN74" s="242" t="s">
        <v>365</v>
      </c>
      <c r="AO74" s="109" t="s">
        <v>327</v>
      </c>
      <c r="AP74" s="92"/>
      <c r="AR74" s="92"/>
      <c r="AT74" s="109" t="s">
        <v>412</v>
      </c>
      <c r="AU74" s="240" t="s">
        <v>366</v>
      </c>
      <c r="AV74" s="373" t="s">
        <v>357</v>
      </c>
      <c r="AW74" s="397"/>
      <c r="AX74" s="66"/>
      <c r="AY74" s="29" t="s">
        <v>317</v>
      </c>
      <c r="AZ74" s="372" t="s">
        <v>338</v>
      </c>
      <c r="BA74" s="109" t="s">
        <v>332</v>
      </c>
      <c r="BB74" s="92"/>
      <c r="BD74" s="92"/>
      <c r="BF74" s="109" t="s">
        <v>331</v>
      </c>
      <c r="BG74" s="372" t="s">
        <v>364</v>
      </c>
      <c r="BH74" s="373" t="s">
        <v>324</v>
      </c>
      <c r="BI74" s="397"/>
      <c r="BJ74" s="55"/>
      <c r="BK74" s="29" t="s">
        <v>341</v>
      </c>
      <c r="BL74" s="372" t="s">
        <v>367</v>
      </c>
      <c r="BM74" s="109" t="s">
        <v>352</v>
      </c>
      <c r="BN74" s="92"/>
      <c r="BP74" s="92"/>
      <c r="BR74" s="109" t="s">
        <v>337</v>
      </c>
      <c r="BS74" s="372" t="s">
        <v>378</v>
      </c>
      <c r="BT74" s="373" t="s">
        <v>327</v>
      </c>
      <c r="BU74" s="397"/>
      <c r="BV74" s="397"/>
      <c r="BW74" s="397"/>
      <c r="BX74" s="397"/>
      <c r="BY74" s="397"/>
      <c r="BZ74" s="397"/>
      <c r="CA74" s="397"/>
      <c r="CB74" s="397"/>
      <c r="CC74" s="397"/>
      <c r="CD74" s="397"/>
      <c r="CE74" s="397"/>
      <c r="CF74" s="397"/>
    </row>
    <row r="75">
      <c r="A75" s="3"/>
      <c r="B75" s="351" t="str">
        <f>'Schedule | CQ + Playoffs'!E5</f>
        <v>HARD GRIND</v>
      </c>
      <c r="C75" s="8"/>
      <c r="D75" s="8"/>
      <c r="E75" s="8"/>
      <c r="F75" s="8"/>
      <c r="G75" s="351" t="str">
        <f>'Schedule | CQ + Playoffs'!K5</f>
        <v>Match 2</v>
      </c>
      <c r="H75" s="68"/>
      <c r="I75" s="401" t="str">
        <f>'Schedule | CQ + Playoffs'!I5</f>
        <v>Dark Phoenix</v>
      </c>
      <c r="J75" s="8"/>
      <c r="K75" s="8"/>
      <c r="L75" s="68"/>
      <c r="M75" s="3"/>
      <c r="N75" s="351" t="str">
        <f>'Schedule | CQ + Playoffs'!E11</f>
        <v>CYBERHERO</v>
      </c>
      <c r="O75" s="8"/>
      <c r="P75" s="8"/>
      <c r="Q75" s="8"/>
      <c r="R75" s="8"/>
      <c r="S75" s="351" t="str">
        <f>'Schedule | CQ + Playoffs'!K11</f>
        <v>Match 6</v>
      </c>
      <c r="T75" s="68"/>
      <c r="U75" s="402" t="str">
        <f>'Schedule | CQ + Playoffs'!I11</f>
        <v>HARD GRIND</v>
      </c>
      <c r="V75" s="8"/>
      <c r="W75" s="8"/>
      <c r="X75" s="68"/>
      <c r="Y75" s="3"/>
      <c r="Z75" s="403" t="str">
        <f>'Schedule | CQ + Playoffs'!E17</f>
        <v>Omnix</v>
      </c>
      <c r="AA75" s="8"/>
      <c r="AB75" s="8"/>
      <c r="AC75" s="8"/>
      <c r="AD75" s="8"/>
      <c r="AE75" s="351" t="str">
        <f>'Schedule | CQ + Playoffs'!AJ5</f>
        <v/>
      </c>
      <c r="AF75" s="68"/>
      <c r="AG75" s="402" t="str">
        <f>'Schedule | CQ + Playoffs'!I17</f>
        <v>Aura Farmers</v>
      </c>
      <c r="AH75" s="8"/>
      <c r="AI75" s="8"/>
      <c r="AJ75" s="68"/>
      <c r="AK75" s="353"/>
      <c r="AL75" s="66"/>
      <c r="AM75" s="29" t="s">
        <v>325</v>
      </c>
      <c r="AN75" s="242" t="s">
        <v>351</v>
      </c>
      <c r="AO75" s="109" t="s">
        <v>337</v>
      </c>
      <c r="AP75" s="92"/>
      <c r="AR75" s="92"/>
      <c r="AT75" s="109" t="s">
        <v>341</v>
      </c>
      <c r="AU75" s="240" t="s">
        <v>353</v>
      </c>
      <c r="AV75" s="373" t="s">
        <v>324</v>
      </c>
      <c r="AW75" s="353"/>
      <c r="AX75" s="66"/>
      <c r="AY75" s="29" t="s">
        <v>341</v>
      </c>
      <c r="AZ75" s="372" t="s">
        <v>330</v>
      </c>
      <c r="BA75" s="109" t="s">
        <v>413</v>
      </c>
      <c r="BB75" s="92"/>
      <c r="BD75" s="92"/>
      <c r="BF75" s="109" t="s">
        <v>374</v>
      </c>
      <c r="BG75" s="372" t="s">
        <v>355</v>
      </c>
      <c r="BH75" s="373" t="s">
        <v>334</v>
      </c>
      <c r="BI75" s="353"/>
      <c r="BJ75" s="55"/>
      <c r="BK75" s="29" t="s">
        <v>324</v>
      </c>
      <c r="BL75" s="372" t="s">
        <v>397</v>
      </c>
      <c r="BM75" s="109" t="s">
        <v>382</v>
      </c>
      <c r="BN75" s="92"/>
      <c r="BP75" s="92"/>
      <c r="BR75" s="109" t="s">
        <v>413</v>
      </c>
      <c r="BS75" s="372" t="s">
        <v>330</v>
      </c>
      <c r="BT75" s="373" t="s">
        <v>331</v>
      </c>
      <c r="BU75" s="353"/>
      <c r="BV75" s="404"/>
      <c r="BW75" s="404"/>
      <c r="BX75" s="404"/>
      <c r="BY75" s="404"/>
      <c r="BZ75" s="404"/>
      <c r="CA75" s="404"/>
      <c r="CB75" s="404"/>
      <c r="CC75" s="404"/>
      <c r="CD75" s="404"/>
      <c r="CE75" s="404"/>
      <c r="CF75" s="404"/>
    </row>
    <row r="76">
      <c r="A76" s="3"/>
      <c r="B76" s="61"/>
      <c r="C76" s="22"/>
      <c r="D76" s="22"/>
      <c r="E76" s="22"/>
      <c r="F76" s="22"/>
      <c r="G76" s="61"/>
      <c r="H76" s="93"/>
      <c r="I76" s="22"/>
      <c r="J76" s="22"/>
      <c r="K76" s="22"/>
      <c r="L76" s="93"/>
      <c r="M76" s="3"/>
      <c r="N76" s="61"/>
      <c r="O76" s="22"/>
      <c r="P76" s="22"/>
      <c r="Q76" s="22"/>
      <c r="R76" s="22"/>
      <c r="S76" s="61"/>
      <c r="T76" s="93"/>
      <c r="U76" s="22"/>
      <c r="V76" s="22"/>
      <c r="W76" s="22"/>
      <c r="X76" s="93"/>
      <c r="Y76" s="3"/>
      <c r="Z76" s="61"/>
      <c r="AA76" s="22"/>
      <c r="AB76" s="22"/>
      <c r="AC76" s="22"/>
      <c r="AD76" s="22"/>
      <c r="AE76" s="61"/>
      <c r="AF76" s="93"/>
      <c r="AG76" s="22"/>
      <c r="AH76" s="22"/>
      <c r="AI76" s="22"/>
      <c r="AJ76" s="93"/>
      <c r="AK76" s="353"/>
      <c r="AL76" s="66"/>
      <c r="AM76" s="29" t="s">
        <v>328</v>
      </c>
      <c r="AN76" s="242" t="s">
        <v>381</v>
      </c>
      <c r="AO76" s="109" t="s">
        <v>361</v>
      </c>
      <c r="AP76" s="92"/>
      <c r="AR76" s="92"/>
      <c r="AT76" s="109" t="s">
        <v>395</v>
      </c>
      <c r="AU76" s="240" t="s">
        <v>383</v>
      </c>
      <c r="AV76" s="373" t="s">
        <v>332</v>
      </c>
      <c r="AW76" s="353"/>
      <c r="AX76" s="66"/>
      <c r="AY76" s="29" t="s">
        <v>395</v>
      </c>
      <c r="AZ76" s="372" t="s">
        <v>326</v>
      </c>
      <c r="BA76" s="109" t="s">
        <v>391</v>
      </c>
      <c r="BB76" s="92"/>
      <c r="BD76" s="92"/>
      <c r="BF76" s="109" t="s">
        <v>346</v>
      </c>
      <c r="BG76" s="372" t="s">
        <v>350</v>
      </c>
      <c r="BH76" s="373" t="s">
        <v>384</v>
      </c>
      <c r="BI76" s="353"/>
      <c r="BJ76" s="55"/>
      <c r="BK76" s="29" t="s">
        <v>384</v>
      </c>
      <c r="BL76" s="372" t="s">
        <v>386</v>
      </c>
      <c r="BM76" s="109" t="s">
        <v>377</v>
      </c>
      <c r="BN76" s="92"/>
      <c r="BP76" s="92"/>
      <c r="BR76" s="109" t="s">
        <v>328</v>
      </c>
      <c r="BS76" s="372" t="s">
        <v>349</v>
      </c>
      <c r="BT76" s="373" t="s">
        <v>317</v>
      </c>
      <c r="BU76" s="353"/>
      <c r="BV76" s="404"/>
      <c r="BW76" s="404"/>
      <c r="BX76" s="404"/>
      <c r="BY76" s="404"/>
      <c r="BZ76" s="404"/>
      <c r="CA76" s="404"/>
      <c r="CB76" s="404"/>
      <c r="CC76" s="404"/>
      <c r="CD76" s="404"/>
      <c r="CE76" s="404"/>
      <c r="CF76" s="404"/>
    </row>
    <row r="77">
      <c r="A77" s="3"/>
      <c r="B77" s="356" t="s">
        <v>307</v>
      </c>
      <c r="C77" s="357" t="s">
        <v>308</v>
      </c>
      <c r="D77" s="358" t="s">
        <v>309</v>
      </c>
      <c r="E77" s="358" t="s">
        <v>310</v>
      </c>
      <c r="F77" s="359" t="s">
        <v>311</v>
      </c>
      <c r="G77" s="360" t="s">
        <v>259</v>
      </c>
      <c r="H77" s="100"/>
      <c r="I77" s="361" t="s">
        <v>311</v>
      </c>
      <c r="J77" s="358" t="s">
        <v>312</v>
      </c>
      <c r="K77" s="358" t="s">
        <v>313</v>
      </c>
      <c r="L77" s="362" t="s">
        <v>314</v>
      </c>
      <c r="M77" s="3"/>
      <c r="N77" s="356" t="s">
        <v>307</v>
      </c>
      <c r="O77" s="357" t="s">
        <v>308</v>
      </c>
      <c r="P77" s="358" t="s">
        <v>309</v>
      </c>
      <c r="Q77" s="358" t="s">
        <v>310</v>
      </c>
      <c r="R77" s="359" t="s">
        <v>311</v>
      </c>
      <c r="S77" s="360" t="s">
        <v>259</v>
      </c>
      <c r="T77" s="100"/>
      <c r="U77" s="361" t="s">
        <v>311</v>
      </c>
      <c r="V77" s="358" t="s">
        <v>312</v>
      </c>
      <c r="W77" s="358" t="s">
        <v>313</v>
      </c>
      <c r="X77" s="362" t="s">
        <v>314</v>
      </c>
      <c r="Y77" s="3"/>
      <c r="Z77" s="356" t="s">
        <v>307</v>
      </c>
      <c r="AA77" s="357" t="s">
        <v>308</v>
      </c>
      <c r="AB77" s="358" t="s">
        <v>309</v>
      </c>
      <c r="AC77" s="358" t="s">
        <v>310</v>
      </c>
      <c r="AD77" s="359" t="s">
        <v>311</v>
      </c>
      <c r="AE77" s="360" t="s">
        <v>259</v>
      </c>
      <c r="AF77" s="100"/>
      <c r="AG77" s="361" t="s">
        <v>311</v>
      </c>
      <c r="AH77" s="358" t="s">
        <v>312</v>
      </c>
      <c r="AI77" s="358" t="s">
        <v>313</v>
      </c>
      <c r="AJ77" s="362" t="s">
        <v>314</v>
      </c>
      <c r="AK77" s="367"/>
      <c r="AL77" s="134"/>
      <c r="AM77" s="387" t="s">
        <v>369</v>
      </c>
      <c r="AN77" s="391" t="s">
        <v>393</v>
      </c>
      <c r="AO77" s="389" t="s">
        <v>414</v>
      </c>
      <c r="AP77" s="375"/>
      <c r="AQ77" s="374"/>
      <c r="AR77" s="375"/>
      <c r="AS77" s="374"/>
      <c r="AT77" s="389" t="s">
        <v>377</v>
      </c>
      <c r="AU77" s="392" t="s">
        <v>336</v>
      </c>
      <c r="AV77" s="390" t="s">
        <v>384</v>
      </c>
      <c r="AW77" s="367"/>
      <c r="AX77" s="134"/>
      <c r="AY77" s="387" t="s">
        <v>389</v>
      </c>
      <c r="AZ77" s="388" t="s">
        <v>349</v>
      </c>
      <c r="BA77" s="389" t="s">
        <v>375</v>
      </c>
      <c r="BB77" s="375"/>
      <c r="BC77" s="374"/>
      <c r="BD77" s="375"/>
      <c r="BE77" s="374"/>
      <c r="BF77" s="389" t="s">
        <v>398</v>
      </c>
      <c r="BG77" s="388" t="s">
        <v>333</v>
      </c>
      <c r="BH77" s="390" t="s">
        <v>377</v>
      </c>
      <c r="BI77" s="367"/>
      <c r="BJ77" s="386"/>
      <c r="BK77" s="387" t="s">
        <v>374</v>
      </c>
      <c r="BL77" s="388" t="s">
        <v>356</v>
      </c>
      <c r="BM77" s="389" t="s">
        <v>415</v>
      </c>
      <c r="BN77" s="375"/>
      <c r="BO77" s="374"/>
      <c r="BP77" s="375"/>
      <c r="BQ77" s="374"/>
      <c r="BR77" s="389" t="s">
        <v>348</v>
      </c>
      <c r="BS77" s="388" t="s">
        <v>326</v>
      </c>
      <c r="BT77" s="390" t="s">
        <v>416</v>
      </c>
      <c r="BU77" s="367"/>
      <c r="BV77" s="405"/>
      <c r="BW77" s="405"/>
      <c r="BX77" s="405"/>
      <c r="BY77" s="405"/>
      <c r="BZ77" s="405"/>
      <c r="CA77" s="405"/>
      <c r="CB77" s="405"/>
      <c r="CC77" s="405"/>
      <c r="CD77" s="405"/>
      <c r="CE77" s="405"/>
      <c r="CF77" s="405"/>
    </row>
    <row r="78">
      <c r="A78" s="3"/>
      <c r="B78" s="29">
        <v>1.0</v>
      </c>
      <c r="C78" s="169" t="s">
        <v>369</v>
      </c>
      <c r="D78" s="368" t="s">
        <v>417</v>
      </c>
      <c r="E78" s="14" t="s">
        <v>418</v>
      </c>
      <c r="F78" s="171" t="s">
        <v>318</v>
      </c>
      <c r="G78" s="369" t="s">
        <v>319</v>
      </c>
      <c r="H78" s="369" t="s">
        <v>320</v>
      </c>
      <c r="I78" s="169" t="s">
        <v>321</v>
      </c>
      <c r="J78" s="14" t="s">
        <v>400</v>
      </c>
      <c r="K78" s="368" t="s">
        <v>419</v>
      </c>
      <c r="L78" s="171" t="s">
        <v>324</v>
      </c>
      <c r="M78" s="3"/>
      <c r="N78" s="29">
        <v>1.0</v>
      </c>
      <c r="O78" s="169" t="s">
        <v>315</v>
      </c>
      <c r="P78" s="368" t="s">
        <v>364</v>
      </c>
      <c r="Q78" s="14" t="s">
        <v>317</v>
      </c>
      <c r="R78" s="171" t="s">
        <v>318</v>
      </c>
      <c r="S78" s="369" t="s">
        <v>319</v>
      </c>
      <c r="T78" s="369" t="s">
        <v>320</v>
      </c>
      <c r="U78" s="169" t="s">
        <v>321</v>
      </c>
      <c r="V78" s="14" t="s">
        <v>342</v>
      </c>
      <c r="W78" s="368" t="s">
        <v>420</v>
      </c>
      <c r="X78" s="171" t="s">
        <v>324</v>
      </c>
      <c r="Y78" s="3"/>
      <c r="Z78" s="29">
        <v>1.0</v>
      </c>
      <c r="AA78" s="169" t="s">
        <v>315</v>
      </c>
      <c r="AB78" s="368" t="s">
        <v>421</v>
      </c>
      <c r="AC78" s="14" t="s">
        <v>328</v>
      </c>
      <c r="AD78" s="171" t="s">
        <v>318</v>
      </c>
      <c r="AE78" s="369" t="s">
        <v>319</v>
      </c>
      <c r="AF78" s="369" t="s">
        <v>320</v>
      </c>
      <c r="AG78" s="169" t="s">
        <v>321</v>
      </c>
      <c r="AH78" s="14" t="s">
        <v>342</v>
      </c>
      <c r="AI78" s="368" t="s">
        <v>422</v>
      </c>
      <c r="AJ78" s="171" t="s">
        <v>324</v>
      </c>
      <c r="AK78" s="43"/>
      <c r="AL78" s="371">
        <v>5.0</v>
      </c>
      <c r="AM78" s="29" t="s">
        <v>315</v>
      </c>
      <c r="AN78" s="242" t="s">
        <v>365</v>
      </c>
      <c r="AO78" s="109" t="s">
        <v>327</v>
      </c>
      <c r="AP78" s="373" t="s">
        <v>318</v>
      </c>
      <c r="AQ78" s="380" t="s">
        <v>319</v>
      </c>
      <c r="AR78" s="393" t="s">
        <v>320</v>
      </c>
      <c r="AS78" s="109" t="s">
        <v>321</v>
      </c>
      <c r="AT78" s="109" t="s">
        <v>352</v>
      </c>
      <c r="AU78" s="385" t="s">
        <v>394</v>
      </c>
      <c r="AV78" s="373" t="s">
        <v>331</v>
      </c>
      <c r="AW78" s="43"/>
      <c r="AX78" s="371">
        <v>5.0</v>
      </c>
      <c r="AY78" s="29"/>
      <c r="AZ78" s="372" t="s">
        <v>330</v>
      </c>
      <c r="BA78" s="109" t="s">
        <v>331</v>
      </c>
      <c r="BB78" s="373" t="s">
        <v>318</v>
      </c>
      <c r="BC78" s="380" t="s">
        <v>319</v>
      </c>
      <c r="BD78" s="393" t="s">
        <v>320</v>
      </c>
      <c r="BE78" s="109" t="s">
        <v>321</v>
      </c>
      <c r="BF78" s="109" t="s">
        <v>332</v>
      </c>
      <c r="BG78" s="372" t="s">
        <v>333</v>
      </c>
      <c r="BH78" s="373" t="s">
        <v>327</v>
      </c>
      <c r="BI78" s="43"/>
      <c r="BJ78" s="29">
        <v>5.0</v>
      </c>
      <c r="BK78" s="29" t="s">
        <v>341</v>
      </c>
      <c r="BL78" s="372" t="s">
        <v>397</v>
      </c>
      <c r="BM78" s="109" t="s">
        <v>324</v>
      </c>
      <c r="BN78" s="373" t="s">
        <v>318</v>
      </c>
      <c r="BO78" s="380" t="s">
        <v>319</v>
      </c>
      <c r="BP78" s="393" t="s">
        <v>320</v>
      </c>
      <c r="BQ78" s="109" t="s">
        <v>321</v>
      </c>
      <c r="BR78" s="109" t="s">
        <v>331</v>
      </c>
      <c r="BS78" s="377" t="s">
        <v>330</v>
      </c>
      <c r="BT78" s="373" t="s">
        <v>342</v>
      </c>
      <c r="BU78" s="43"/>
      <c r="BV78" s="109"/>
      <c r="BW78" s="109"/>
      <c r="BX78" s="109"/>
      <c r="BY78" s="109"/>
      <c r="BZ78" s="109"/>
      <c r="CA78" s="109"/>
      <c r="CB78" s="109"/>
      <c r="CC78" s="109"/>
      <c r="CD78" s="109"/>
      <c r="CE78" s="109"/>
      <c r="CF78" s="109"/>
    </row>
    <row r="79">
      <c r="A79" s="3"/>
      <c r="B79" s="55"/>
      <c r="C79" s="29" t="s">
        <v>337</v>
      </c>
      <c r="D79" s="372" t="s">
        <v>423</v>
      </c>
      <c r="E79" s="109" t="s">
        <v>328</v>
      </c>
      <c r="F79" s="92"/>
      <c r="I79" s="55"/>
      <c r="J79" s="109" t="s">
        <v>346</v>
      </c>
      <c r="K79" s="372" t="s">
        <v>424</v>
      </c>
      <c r="L79" s="373" t="s">
        <v>315</v>
      </c>
      <c r="M79" s="3"/>
      <c r="N79" s="55"/>
      <c r="O79" s="29" t="s">
        <v>331</v>
      </c>
      <c r="P79" s="372" t="s">
        <v>355</v>
      </c>
      <c r="Q79" s="109" t="s">
        <v>322</v>
      </c>
      <c r="R79" s="92"/>
      <c r="U79" s="55"/>
      <c r="V79" s="109" t="s">
        <v>328</v>
      </c>
      <c r="W79" s="372" t="s">
        <v>423</v>
      </c>
      <c r="X79" s="373" t="s">
        <v>327</v>
      </c>
      <c r="Y79" s="3"/>
      <c r="Z79" s="55"/>
      <c r="AA79" s="29" t="s">
        <v>334</v>
      </c>
      <c r="AB79" s="372" t="s">
        <v>425</v>
      </c>
      <c r="AC79" s="109" t="s">
        <v>341</v>
      </c>
      <c r="AD79" s="92"/>
      <c r="AG79" s="55"/>
      <c r="AH79" s="109" t="s">
        <v>327</v>
      </c>
      <c r="AI79" s="372" t="s">
        <v>426</v>
      </c>
      <c r="AJ79" s="373" t="s">
        <v>354</v>
      </c>
      <c r="AK79" s="43"/>
      <c r="AL79" s="66"/>
      <c r="AM79" s="29" t="s">
        <v>325</v>
      </c>
      <c r="AN79" s="242" t="s">
        <v>335</v>
      </c>
      <c r="AO79" s="109" t="s">
        <v>343</v>
      </c>
      <c r="AP79" s="92"/>
      <c r="AR79" s="92"/>
      <c r="AT79" s="109" t="s">
        <v>341</v>
      </c>
      <c r="AU79" s="240" t="s">
        <v>353</v>
      </c>
      <c r="AV79" s="373" t="s">
        <v>317</v>
      </c>
      <c r="AW79" s="43"/>
      <c r="AX79" s="66"/>
      <c r="AY79" s="29" t="s">
        <v>337</v>
      </c>
      <c r="AZ79" s="372" t="s">
        <v>349</v>
      </c>
      <c r="BA79" s="109" t="s">
        <v>377</v>
      </c>
      <c r="BB79" s="92"/>
      <c r="BD79" s="92"/>
      <c r="BF79" s="109" t="s">
        <v>328</v>
      </c>
      <c r="BG79" s="372" t="s">
        <v>339</v>
      </c>
      <c r="BH79" s="373" t="s">
        <v>324</v>
      </c>
      <c r="BI79" s="43"/>
      <c r="BJ79" s="55"/>
      <c r="BK79" s="29" t="s">
        <v>334</v>
      </c>
      <c r="BL79" s="372" t="s">
        <v>386</v>
      </c>
      <c r="BM79" s="109" t="s">
        <v>328</v>
      </c>
      <c r="BN79" s="92"/>
      <c r="BP79" s="92"/>
      <c r="BR79" s="109" t="s">
        <v>346</v>
      </c>
      <c r="BS79" s="372" t="s">
        <v>378</v>
      </c>
      <c r="BT79" s="373" t="s">
        <v>327</v>
      </c>
      <c r="BU79" s="43"/>
      <c r="BV79" s="109"/>
      <c r="BW79" s="109"/>
      <c r="BX79" s="109"/>
      <c r="BY79" s="109"/>
      <c r="BZ79" s="109"/>
      <c r="CA79" s="109"/>
      <c r="CB79" s="109"/>
      <c r="CC79" s="109"/>
      <c r="CD79" s="109"/>
      <c r="CE79" s="109"/>
      <c r="CF79" s="109"/>
    </row>
    <row r="80">
      <c r="A80" s="3"/>
      <c r="B80" s="55"/>
      <c r="C80" s="29" t="s">
        <v>327</v>
      </c>
      <c r="D80" s="372" t="s">
        <v>427</v>
      </c>
      <c r="E80" s="109" t="s">
        <v>373</v>
      </c>
      <c r="F80" s="92"/>
      <c r="I80" s="55"/>
      <c r="J80" s="109" t="s">
        <v>401</v>
      </c>
      <c r="K80" s="372" t="s">
        <v>428</v>
      </c>
      <c r="L80" s="373" t="s">
        <v>342</v>
      </c>
      <c r="M80" s="3"/>
      <c r="N80" s="55"/>
      <c r="O80" s="29" t="s">
        <v>341</v>
      </c>
      <c r="P80" s="372" t="s">
        <v>350</v>
      </c>
      <c r="Q80" s="109" t="s">
        <v>337</v>
      </c>
      <c r="R80" s="92"/>
      <c r="U80" s="55"/>
      <c r="V80" s="109" t="s">
        <v>400</v>
      </c>
      <c r="W80" s="372" t="s">
        <v>429</v>
      </c>
      <c r="X80" s="373" t="s">
        <v>334</v>
      </c>
      <c r="Y80" s="3"/>
      <c r="Z80" s="55"/>
      <c r="AA80" s="29" t="s">
        <v>368</v>
      </c>
      <c r="AB80" s="372" t="s">
        <v>430</v>
      </c>
      <c r="AC80" s="109" t="s">
        <v>332</v>
      </c>
      <c r="AD80" s="92"/>
      <c r="AG80" s="55"/>
      <c r="AH80" s="109" t="s">
        <v>380</v>
      </c>
      <c r="AI80" s="372" t="s">
        <v>431</v>
      </c>
      <c r="AJ80" s="373" t="s">
        <v>379</v>
      </c>
      <c r="AK80" s="43"/>
      <c r="AL80" s="66"/>
      <c r="AM80" s="29" t="s">
        <v>342</v>
      </c>
      <c r="AN80" s="242" t="s">
        <v>393</v>
      </c>
      <c r="AO80" s="109" t="s">
        <v>328</v>
      </c>
      <c r="AP80" s="92"/>
      <c r="AR80" s="92"/>
      <c r="AT80" s="109" t="s">
        <v>412</v>
      </c>
      <c r="AU80" s="240" t="s">
        <v>366</v>
      </c>
      <c r="AV80" s="373" t="s">
        <v>357</v>
      </c>
      <c r="AW80" s="43"/>
      <c r="AX80" s="66"/>
      <c r="AY80" s="29" t="s">
        <v>315</v>
      </c>
      <c r="AZ80" s="372" t="s">
        <v>326</v>
      </c>
      <c r="BA80" s="109" t="s">
        <v>354</v>
      </c>
      <c r="BB80" s="92"/>
      <c r="BD80" s="92"/>
      <c r="BF80" s="109" t="s">
        <v>374</v>
      </c>
      <c r="BG80" s="372" t="s">
        <v>355</v>
      </c>
      <c r="BH80" s="373" t="s">
        <v>334</v>
      </c>
      <c r="BI80" s="43"/>
      <c r="BJ80" s="55"/>
      <c r="BK80" s="29" t="s">
        <v>315</v>
      </c>
      <c r="BL80" s="372" t="s">
        <v>356</v>
      </c>
      <c r="BM80" s="109" t="s">
        <v>357</v>
      </c>
      <c r="BN80" s="92"/>
      <c r="BP80" s="92"/>
      <c r="BR80" s="109" t="s">
        <v>377</v>
      </c>
      <c r="BS80" s="372" t="s">
        <v>349</v>
      </c>
      <c r="BT80" s="373" t="s">
        <v>337</v>
      </c>
      <c r="BU80" s="43"/>
      <c r="BV80" s="109"/>
      <c r="BW80" s="109"/>
      <c r="BX80" s="109"/>
      <c r="BY80" s="109"/>
      <c r="BZ80" s="109"/>
      <c r="CA80" s="109"/>
      <c r="CB80" s="109"/>
      <c r="CC80" s="109"/>
      <c r="CD80" s="109"/>
      <c r="CE80" s="109"/>
      <c r="CF80" s="109"/>
    </row>
    <row r="81">
      <c r="A81" s="3"/>
      <c r="B81" s="55"/>
      <c r="C81" s="29" t="s">
        <v>432</v>
      </c>
      <c r="D81" s="372" t="s">
        <v>429</v>
      </c>
      <c r="E81" s="109" t="s">
        <v>317</v>
      </c>
      <c r="F81" s="92"/>
      <c r="I81" s="55"/>
      <c r="J81" s="109" t="s">
        <v>341</v>
      </c>
      <c r="K81" s="372" t="s">
        <v>433</v>
      </c>
      <c r="L81" s="373" t="s">
        <v>382</v>
      </c>
      <c r="M81" s="3"/>
      <c r="N81" s="55"/>
      <c r="O81" s="29" t="s">
        <v>19</v>
      </c>
      <c r="P81" s="372" t="s">
        <v>339</v>
      </c>
      <c r="Q81" s="109" t="s">
        <v>401</v>
      </c>
      <c r="R81" s="92"/>
      <c r="U81" s="55"/>
      <c r="V81" s="109" t="s">
        <v>348</v>
      </c>
      <c r="W81" s="372" t="s">
        <v>427</v>
      </c>
      <c r="X81" s="373" t="s">
        <v>377</v>
      </c>
      <c r="Y81" s="3"/>
      <c r="Z81" s="55"/>
      <c r="AA81" s="29" t="s">
        <v>434</v>
      </c>
      <c r="AB81" s="372" t="s">
        <v>435</v>
      </c>
      <c r="AC81" s="109" t="s">
        <v>436</v>
      </c>
      <c r="AD81" s="92"/>
      <c r="AG81" s="55"/>
      <c r="AH81" s="109" t="s">
        <v>382</v>
      </c>
      <c r="AI81" s="372" t="s">
        <v>437</v>
      </c>
      <c r="AJ81" s="373" t="s">
        <v>346</v>
      </c>
      <c r="AK81" s="43"/>
      <c r="AL81" s="66"/>
      <c r="AM81" s="29" t="s">
        <v>377</v>
      </c>
      <c r="AN81" s="242" t="s">
        <v>351</v>
      </c>
      <c r="AO81" s="109" t="s">
        <v>406</v>
      </c>
      <c r="AP81" s="92"/>
      <c r="AR81" s="92"/>
      <c r="AT81" s="109" t="s">
        <v>376</v>
      </c>
      <c r="AU81" s="240" t="s">
        <v>383</v>
      </c>
      <c r="AV81" s="373" t="s">
        <v>332</v>
      </c>
      <c r="AW81" s="43"/>
      <c r="AX81" s="66"/>
      <c r="AY81" s="29" t="s">
        <v>342</v>
      </c>
      <c r="AZ81" s="372" t="s">
        <v>378</v>
      </c>
      <c r="BA81" s="109" t="s">
        <v>438</v>
      </c>
      <c r="BB81" s="92"/>
      <c r="BD81" s="92"/>
      <c r="BF81" s="109" t="s">
        <v>439</v>
      </c>
      <c r="BG81" s="372" t="s">
        <v>364</v>
      </c>
      <c r="BH81" s="373" t="s">
        <v>346</v>
      </c>
      <c r="BI81" s="43"/>
      <c r="BJ81" s="55"/>
      <c r="BK81" s="29" t="s">
        <v>399</v>
      </c>
      <c r="BL81" s="372" t="s">
        <v>340</v>
      </c>
      <c r="BM81" s="109" t="s">
        <v>374</v>
      </c>
      <c r="BN81" s="92"/>
      <c r="BP81" s="92"/>
      <c r="BR81" s="109" t="s">
        <v>354</v>
      </c>
      <c r="BS81" s="372" t="s">
        <v>326</v>
      </c>
      <c r="BT81" s="373" t="s">
        <v>348</v>
      </c>
      <c r="BU81" s="43"/>
      <c r="BV81" s="109"/>
      <c r="BW81" s="109"/>
      <c r="BX81" s="109"/>
      <c r="BY81" s="109"/>
      <c r="BZ81" s="109"/>
      <c r="CA81" s="109"/>
      <c r="CB81" s="109"/>
      <c r="CC81" s="109"/>
      <c r="CD81" s="109"/>
      <c r="CE81" s="109"/>
      <c r="CF81" s="109"/>
    </row>
    <row r="82">
      <c r="A82" s="3"/>
      <c r="B82" s="55"/>
      <c r="C82" s="29" t="s">
        <v>377</v>
      </c>
      <c r="D82" s="372" t="s">
        <v>420</v>
      </c>
      <c r="E82" s="109" t="s">
        <v>387</v>
      </c>
      <c r="F82" s="92"/>
      <c r="G82" s="374"/>
      <c r="H82" s="374"/>
      <c r="I82" s="55"/>
      <c r="J82" s="109" t="s">
        <v>434</v>
      </c>
      <c r="K82" s="372" t="s">
        <v>440</v>
      </c>
      <c r="L82" s="373" t="s">
        <v>332</v>
      </c>
      <c r="M82" s="3"/>
      <c r="N82" s="55"/>
      <c r="O82" s="29" t="s">
        <v>332</v>
      </c>
      <c r="P82" s="372" t="s">
        <v>333</v>
      </c>
      <c r="Q82" s="109" t="s">
        <v>374</v>
      </c>
      <c r="R82" s="92"/>
      <c r="S82" s="374"/>
      <c r="T82" s="374"/>
      <c r="U82" s="55"/>
      <c r="V82" s="109" t="s">
        <v>376</v>
      </c>
      <c r="W82" s="372" t="s">
        <v>417</v>
      </c>
      <c r="X82" s="373" t="s">
        <v>391</v>
      </c>
      <c r="Y82" s="3"/>
      <c r="Z82" s="55"/>
      <c r="AA82" s="29" t="s">
        <v>400</v>
      </c>
      <c r="AB82" s="372" t="s">
        <v>441</v>
      </c>
      <c r="AC82" s="109" t="s">
        <v>413</v>
      </c>
      <c r="AD82" s="92"/>
      <c r="AE82" s="374"/>
      <c r="AF82" s="374"/>
      <c r="AG82" s="55"/>
      <c r="AH82" s="109" t="s">
        <v>317</v>
      </c>
      <c r="AI82" s="372" t="s">
        <v>442</v>
      </c>
      <c r="AJ82" s="373" t="s">
        <v>387</v>
      </c>
      <c r="AK82" s="43"/>
      <c r="AL82" s="94"/>
      <c r="AM82" s="394" t="s">
        <v>384</v>
      </c>
      <c r="AN82" s="254" t="s">
        <v>381</v>
      </c>
      <c r="AO82" s="132" t="s">
        <v>382</v>
      </c>
      <c r="AP82" s="93"/>
      <c r="AQ82" s="22"/>
      <c r="AR82" s="93"/>
      <c r="AS82" s="22"/>
      <c r="AT82" s="132" t="s">
        <v>375</v>
      </c>
      <c r="AU82" s="252" t="s">
        <v>336</v>
      </c>
      <c r="AV82" s="396" t="s">
        <v>385</v>
      </c>
      <c r="AW82" s="43"/>
      <c r="AX82" s="94"/>
      <c r="AY82" s="394" t="s">
        <v>352</v>
      </c>
      <c r="AZ82" s="395" t="s">
        <v>338</v>
      </c>
      <c r="BA82" s="132" t="s">
        <v>395</v>
      </c>
      <c r="BB82" s="93"/>
      <c r="BC82" s="22"/>
      <c r="BD82" s="93"/>
      <c r="BE82" s="22"/>
      <c r="BF82" s="132" t="s">
        <v>411</v>
      </c>
      <c r="BG82" s="395" t="s">
        <v>350</v>
      </c>
      <c r="BH82" s="396" t="s">
        <v>398</v>
      </c>
      <c r="BI82" s="43"/>
      <c r="BJ82" s="61"/>
      <c r="BK82" s="394" t="s">
        <v>332</v>
      </c>
      <c r="BL82" s="395" t="s">
        <v>367</v>
      </c>
      <c r="BM82" s="132" t="s">
        <v>387</v>
      </c>
      <c r="BN82" s="93"/>
      <c r="BO82" s="22"/>
      <c r="BP82" s="93"/>
      <c r="BQ82" s="22"/>
      <c r="BR82" s="132" t="s">
        <v>398</v>
      </c>
      <c r="BS82" s="395" t="s">
        <v>338</v>
      </c>
      <c r="BT82" s="396" t="s">
        <v>368</v>
      </c>
      <c r="BU82" s="43"/>
      <c r="BV82" s="109"/>
      <c r="BW82" s="109"/>
      <c r="BX82" s="109"/>
      <c r="BY82" s="109"/>
      <c r="BZ82" s="109"/>
      <c r="CA82" s="109"/>
      <c r="CB82" s="109"/>
      <c r="CC82" s="109"/>
      <c r="CD82" s="109"/>
      <c r="CE82" s="109"/>
      <c r="CF82" s="109"/>
    </row>
    <row r="83">
      <c r="A83" s="3"/>
      <c r="B83" s="376">
        <v>2.0</v>
      </c>
      <c r="C83" s="376" t="s">
        <v>324</v>
      </c>
      <c r="D83" s="377" t="s">
        <v>417</v>
      </c>
      <c r="E83" s="378" t="s">
        <v>434</v>
      </c>
      <c r="F83" s="379" t="s">
        <v>321</v>
      </c>
      <c r="G83" s="380" t="s">
        <v>319</v>
      </c>
      <c r="H83" s="380" t="s">
        <v>320</v>
      </c>
      <c r="I83" s="376" t="s">
        <v>318</v>
      </c>
      <c r="J83" s="378" t="s">
        <v>317</v>
      </c>
      <c r="K83" s="377" t="s">
        <v>419</v>
      </c>
      <c r="L83" s="379" t="s">
        <v>337</v>
      </c>
      <c r="M83" s="3"/>
      <c r="N83" s="376">
        <v>2.0</v>
      </c>
      <c r="O83" s="376" t="s">
        <v>341</v>
      </c>
      <c r="P83" s="377" t="s">
        <v>350</v>
      </c>
      <c r="Q83" s="378" t="s">
        <v>352</v>
      </c>
      <c r="R83" s="379" t="s">
        <v>321</v>
      </c>
      <c r="S83" s="380" t="s">
        <v>319</v>
      </c>
      <c r="T83" s="380" t="s">
        <v>320</v>
      </c>
      <c r="U83" s="376" t="s">
        <v>318</v>
      </c>
      <c r="V83" s="378" t="s">
        <v>317</v>
      </c>
      <c r="W83" s="377" t="s">
        <v>429</v>
      </c>
      <c r="X83" s="379" t="s">
        <v>327</v>
      </c>
      <c r="Y83" s="3"/>
      <c r="Z83" s="376">
        <v>2.0</v>
      </c>
      <c r="AA83" s="376" t="s">
        <v>334</v>
      </c>
      <c r="AB83" s="377" t="s">
        <v>425</v>
      </c>
      <c r="AC83" s="378" t="s">
        <v>341</v>
      </c>
      <c r="AD83" s="379" t="s">
        <v>321</v>
      </c>
      <c r="AE83" s="380" t="s">
        <v>319</v>
      </c>
      <c r="AF83" s="380" t="s">
        <v>320</v>
      </c>
      <c r="AG83" s="376" t="s">
        <v>318</v>
      </c>
      <c r="AH83" s="378" t="s">
        <v>342</v>
      </c>
      <c r="AI83" s="377" t="s">
        <v>422</v>
      </c>
      <c r="AJ83" s="379" t="s">
        <v>379</v>
      </c>
      <c r="AK83" s="43"/>
      <c r="AL83" s="397"/>
      <c r="AM83" s="397"/>
      <c r="AN83" s="397"/>
      <c r="AO83" s="397"/>
      <c r="AP83" s="398"/>
      <c r="AQ83" s="399">
        <f t="shared" ref="AQ83:AR83" si="5">COUNTIF(AQ58:AQ82, "W")</f>
        <v>3</v>
      </c>
      <c r="AR83" s="400">
        <f t="shared" si="5"/>
        <v>2</v>
      </c>
      <c r="AS83" s="398"/>
      <c r="AT83" s="397"/>
      <c r="AU83" s="397"/>
      <c r="AV83" s="397"/>
      <c r="AW83" s="43"/>
      <c r="AX83" s="397"/>
      <c r="AY83" s="397"/>
      <c r="AZ83" s="397"/>
      <c r="BA83" s="397"/>
      <c r="BB83" s="398"/>
      <c r="BC83" s="399">
        <f t="shared" ref="BC83:BD83" si="6">COUNTIF(BC58:BC82, "W")</f>
        <v>3</v>
      </c>
      <c r="BD83" s="400">
        <f t="shared" si="6"/>
        <v>2</v>
      </c>
      <c r="BE83" s="398"/>
      <c r="BF83" s="397"/>
      <c r="BG83" s="397"/>
      <c r="BH83" s="397"/>
      <c r="BI83" s="43"/>
      <c r="BJ83" s="397"/>
      <c r="BK83" s="397"/>
      <c r="BL83" s="397"/>
      <c r="BM83" s="397"/>
      <c r="BN83" s="398"/>
      <c r="BO83" s="399">
        <f t="shared" ref="BO83:BP83" si="7">COUNTIF(BO58:BO82, "W")</f>
        <v>3</v>
      </c>
      <c r="BP83" s="400">
        <f t="shared" si="7"/>
        <v>2</v>
      </c>
      <c r="BQ83" s="398"/>
      <c r="BR83" s="397"/>
      <c r="BS83" s="397"/>
      <c r="BT83" s="397"/>
      <c r="BU83" s="43"/>
      <c r="BV83" s="109"/>
      <c r="BW83" s="109"/>
      <c r="BX83" s="109"/>
      <c r="BY83" s="109"/>
      <c r="BZ83" s="109"/>
      <c r="CA83" s="109"/>
      <c r="CB83" s="109"/>
      <c r="CC83" s="109"/>
      <c r="CD83" s="109"/>
      <c r="CE83" s="109"/>
      <c r="CF83" s="109"/>
    </row>
    <row r="84">
      <c r="A84" s="3"/>
      <c r="B84" s="55"/>
      <c r="C84" s="29" t="s">
        <v>342</v>
      </c>
      <c r="D84" s="372" t="s">
        <v>423</v>
      </c>
      <c r="E84" s="109" t="s">
        <v>328</v>
      </c>
      <c r="F84" s="92"/>
      <c r="I84" s="55"/>
      <c r="J84" s="109" t="s">
        <v>377</v>
      </c>
      <c r="K84" s="372" t="s">
        <v>428</v>
      </c>
      <c r="L84" s="373" t="s">
        <v>327</v>
      </c>
      <c r="M84" s="3"/>
      <c r="N84" s="55"/>
      <c r="O84" s="29" t="s">
        <v>324</v>
      </c>
      <c r="P84" s="372" t="s">
        <v>364</v>
      </c>
      <c r="Q84" s="109" t="s">
        <v>325</v>
      </c>
      <c r="R84" s="92"/>
      <c r="U84" s="55"/>
      <c r="V84" s="109" t="s">
        <v>377</v>
      </c>
      <c r="W84" s="372" t="s">
        <v>423</v>
      </c>
      <c r="X84" s="373" t="s">
        <v>337</v>
      </c>
      <c r="Y84" s="3"/>
      <c r="Z84" s="55"/>
      <c r="AA84" s="29" t="s">
        <v>328</v>
      </c>
      <c r="AB84" s="372" t="s">
        <v>430</v>
      </c>
      <c r="AC84" s="109" t="s">
        <v>332</v>
      </c>
      <c r="AD84" s="92"/>
      <c r="AG84" s="55"/>
      <c r="AH84" s="109" t="s">
        <v>368</v>
      </c>
      <c r="AI84" s="372" t="s">
        <v>426</v>
      </c>
      <c r="AJ84" s="373" t="s">
        <v>354</v>
      </c>
      <c r="AK84" s="43"/>
      <c r="AL84" s="2"/>
      <c r="AM84" s="2"/>
      <c r="AN84" s="2"/>
      <c r="AO84" s="2"/>
      <c r="AP84" s="2"/>
      <c r="AQ84" s="2"/>
      <c r="AR84" s="2"/>
      <c r="AS84" s="2"/>
      <c r="AT84" s="2"/>
      <c r="AU84" s="2"/>
      <c r="AV84" s="2"/>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3"/>
      <c r="BY84" s="43"/>
      <c r="BZ84" s="43"/>
      <c r="CA84" s="43"/>
      <c r="CB84" s="43"/>
      <c r="CC84" s="43"/>
      <c r="CD84" s="43"/>
      <c r="CE84" s="43"/>
      <c r="CF84" s="43"/>
    </row>
    <row r="85">
      <c r="A85" s="3"/>
      <c r="B85" s="55"/>
      <c r="C85" s="29"/>
      <c r="D85" s="372" t="s">
        <v>427</v>
      </c>
      <c r="E85" s="109" t="s">
        <v>341</v>
      </c>
      <c r="F85" s="92"/>
      <c r="I85" s="55"/>
      <c r="J85" s="109" t="s">
        <v>387</v>
      </c>
      <c r="K85" s="372" t="s">
        <v>424</v>
      </c>
      <c r="L85" s="373" t="s">
        <v>325</v>
      </c>
      <c r="M85" s="3"/>
      <c r="N85" s="55"/>
      <c r="O85" s="29" t="s">
        <v>342</v>
      </c>
      <c r="P85" s="372" t="s">
        <v>339</v>
      </c>
      <c r="Q85" s="109" t="s">
        <v>384</v>
      </c>
      <c r="R85" s="92"/>
      <c r="U85" s="55"/>
      <c r="V85" s="109" t="s">
        <v>315</v>
      </c>
      <c r="W85" s="372" t="s">
        <v>427</v>
      </c>
      <c r="X85" s="373" t="s">
        <v>334</v>
      </c>
      <c r="Y85" s="3"/>
      <c r="Z85" s="55"/>
      <c r="AA85" s="29" t="s">
        <v>315</v>
      </c>
      <c r="AB85" s="372" t="s">
        <v>435</v>
      </c>
      <c r="AC85" s="109" t="s">
        <v>443</v>
      </c>
      <c r="AD85" s="92"/>
      <c r="AG85" s="55"/>
      <c r="AH85" s="109" t="s">
        <v>19</v>
      </c>
      <c r="AI85" s="372" t="s">
        <v>437</v>
      </c>
      <c r="AJ85" s="373" t="s">
        <v>317</v>
      </c>
      <c r="AK85" s="43"/>
      <c r="AL85" s="351" t="s">
        <v>305</v>
      </c>
      <c r="AM85" s="8"/>
      <c r="AN85" s="8"/>
      <c r="AO85" s="8"/>
      <c r="AP85" s="68"/>
      <c r="AQ85" s="351" t="str">
        <f>'Schedule | CQ + Playoffs'!AV45</f>
        <v/>
      </c>
      <c r="AR85" s="68"/>
      <c r="AS85" s="406" t="s">
        <v>444</v>
      </c>
      <c r="AT85" s="8"/>
      <c r="AU85" s="8"/>
      <c r="AV85" s="68"/>
      <c r="AW85" s="43"/>
      <c r="AX85" s="352" t="s">
        <v>304</v>
      </c>
      <c r="AY85" s="8"/>
      <c r="AZ85" s="8"/>
      <c r="BA85" s="8"/>
      <c r="BB85" s="68"/>
      <c r="BC85" s="351" t="str">
        <f>'Schedule | CQ + Playoffs'!BH45</f>
        <v/>
      </c>
      <c r="BD85" s="68"/>
      <c r="BE85" s="354" t="s">
        <v>305</v>
      </c>
      <c r="BF85" s="8"/>
      <c r="BG85" s="8"/>
      <c r="BH85" s="68"/>
      <c r="BI85" s="43"/>
      <c r="BJ85" s="354" t="str">
        <f>'Schedule | CQ + Playoffs'!M5</f>
        <v>Verso Time</v>
      </c>
      <c r="BK85" s="8"/>
      <c r="BL85" s="8"/>
      <c r="BM85" s="8"/>
      <c r="BN85" s="68"/>
      <c r="BO85" s="351" t="str">
        <f>'Schedule | CQ + Playoffs'!T5</f>
        <v>Match 2</v>
      </c>
      <c r="BP85" s="68"/>
      <c r="BQ85" s="407" t="str">
        <f>'Schedule | CQ + Playoffs'!Q5</f>
        <v>Virtus.pro</v>
      </c>
      <c r="BR85" s="8"/>
      <c r="BS85" s="8"/>
      <c r="BT85" s="68"/>
      <c r="BU85" s="43"/>
      <c r="BV85" s="109"/>
      <c r="BW85" s="109"/>
      <c r="BX85" s="109"/>
      <c r="BY85" s="109"/>
      <c r="BZ85" s="109"/>
      <c r="CA85" s="109"/>
      <c r="CB85" s="109"/>
      <c r="CC85" s="109"/>
      <c r="CD85" s="109"/>
      <c r="CE85" s="109"/>
      <c r="CF85" s="109"/>
    </row>
    <row r="86">
      <c r="A86" s="3"/>
      <c r="B86" s="55"/>
      <c r="C86" s="29" t="s">
        <v>373</v>
      </c>
      <c r="D86" s="372" t="s">
        <v>429</v>
      </c>
      <c r="E86" s="109" t="s">
        <v>400</v>
      </c>
      <c r="F86" s="92"/>
      <c r="I86" s="55"/>
      <c r="J86" s="109" t="s">
        <v>374</v>
      </c>
      <c r="K86" s="372" t="s">
        <v>433</v>
      </c>
      <c r="L86" s="373" t="s">
        <v>405</v>
      </c>
      <c r="M86" s="3"/>
      <c r="N86" s="55"/>
      <c r="O86" s="29" t="s">
        <v>332</v>
      </c>
      <c r="P86" s="372" t="s">
        <v>333</v>
      </c>
      <c r="Q86" s="109" t="s">
        <v>322</v>
      </c>
      <c r="R86" s="92"/>
      <c r="U86" s="55"/>
      <c r="V86" s="109" t="s">
        <v>418</v>
      </c>
      <c r="W86" s="372" t="s">
        <v>417</v>
      </c>
      <c r="X86" s="373" t="s">
        <v>369</v>
      </c>
      <c r="Y86" s="3"/>
      <c r="Z86" s="55"/>
      <c r="AA86" s="29" t="s">
        <v>325</v>
      </c>
      <c r="AB86" s="372" t="s">
        <v>421</v>
      </c>
      <c r="AC86" s="109" t="s">
        <v>384</v>
      </c>
      <c r="AD86" s="92"/>
      <c r="AG86" s="55"/>
      <c r="AH86" s="109" t="s">
        <v>400</v>
      </c>
      <c r="AI86" s="372" t="s">
        <v>442</v>
      </c>
      <c r="AJ86" s="373" t="s">
        <v>331</v>
      </c>
      <c r="AK86" s="43"/>
      <c r="AL86" s="61"/>
      <c r="AM86" s="22"/>
      <c r="AN86" s="22"/>
      <c r="AO86" s="22"/>
      <c r="AP86" s="93"/>
      <c r="AQ86" s="61"/>
      <c r="AR86" s="93"/>
      <c r="AS86" s="61"/>
      <c r="AT86" s="22"/>
      <c r="AU86" s="22"/>
      <c r="AV86" s="93"/>
      <c r="AW86" s="43"/>
      <c r="AX86" s="61"/>
      <c r="AY86" s="22"/>
      <c r="AZ86" s="22"/>
      <c r="BA86" s="22"/>
      <c r="BB86" s="93"/>
      <c r="BC86" s="61"/>
      <c r="BD86" s="93"/>
      <c r="BE86" s="61"/>
      <c r="BF86" s="22"/>
      <c r="BG86" s="22"/>
      <c r="BH86" s="93"/>
      <c r="BI86" s="43"/>
      <c r="BJ86" s="61"/>
      <c r="BK86" s="22"/>
      <c r="BL86" s="22"/>
      <c r="BM86" s="22"/>
      <c r="BN86" s="93"/>
      <c r="BO86" s="61"/>
      <c r="BP86" s="93"/>
      <c r="BQ86" s="61"/>
      <c r="BR86" s="22"/>
      <c r="BS86" s="22"/>
      <c r="BT86" s="93"/>
      <c r="BU86" s="43"/>
      <c r="BV86" s="109"/>
      <c r="BW86" s="109"/>
      <c r="BX86" s="109"/>
      <c r="BY86" s="109"/>
      <c r="BZ86" s="109"/>
      <c r="CA86" s="109"/>
      <c r="CB86" s="109"/>
      <c r="CC86" s="109"/>
      <c r="CD86" s="109"/>
      <c r="CE86" s="109"/>
      <c r="CF86" s="109"/>
    </row>
    <row r="87">
      <c r="A87" s="3"/>
      <c r="B87" s="386"/>
      <c r="C87" s="387" t="s">
        <v>322</v>
      </c>
      <c r="D87" s="388" t="s">
        <v>420</v>
      </c>
      <c r="E87" s="389" t="s">
        <v>352</v>
      </c>
      <c r="F87" s="375"/>
      <c r="G87" s="374"/>
      <c r="H87" s="374"/>
      <c r="I87" s="386"/>
      <c r="J87" s="389" t="s">
        <v>332</v>
      </c>
      <c r="K87" s="388" t="s">
        <v>440</v>
      </c>
      <c r="L87" s="390" t="s">
        <v>445</v>
      </c>
      <c r="M87" s="3"/>
      <c r="N87" s="386"/>
      <c r="O87" s="387" t="s">
        <v>434</v>
      </c>
      <c r="P87" s="388" t="s">
        <v>355</v>
      </c>
      <c r="Q87" s="389" t="s">
        <v>374</v>
      </c>
      <c r="R87" s="375"/>
      <c r="S87" s="374"/>
      <c r="T87" s="374"/>
      <c r="U87" s="386"/>
      <c r="V87" s="389" t="s">
        <v>346</v>
      </c>
      <c r="W87" s="388" t="s">
        <v>420</v>
      </c>
      <c r="X87" s="390" t="s">
        <v>395</v>
      </c>
      <c r="Y87" s="3"/>
      <c r="Z87" s="386"/>
      <c r="AA87" s="387" t="s">
        <v>446</v>
      </c>
      <c r="AB87" s="388" t="s">
        <v>441</v>
      </c>
      <c r="AC87" s="389" t="s">
        <v>15</v>
      </c>
      <c r="AD87" s="375"/>
      <c r="AE87" s="374"/>
      <c r="AF87" s="374"/>
      <c r="AG87" s="386"/>
      <c r="AH87" s="389" t="s">
        <v>447</v>
      </c>
      <c r="AI87" s="388" t="s">
        <v>431</v>
      </c>
      <c r="AJ87" s="390" t="s">
        <v>412</v>
      </c>
      <c r="AK87" s="43"/>
      <c r="AL87" s="356" t="s">
        <v>307</v>
      </c>
      <c r="AM87" s="365" t="s">
        <v>308</v>
      </c>
      <c r="AN87" s="358" t="s">
        <v>309</v>
      </c>
      <c r="AO87" s="363" t="s">
        <v>310</v>
      </c>
      <c r="AP87" s="366" t="s">
        <v>311</v>
      </c>
      <c r="AQ87" s="360" t="s">
        <v>259</v>
      </c>
      <c r="AR87" s="100"/>
      <c r="AS87" s="360" t="s">
        <v>311</v>
      </c>
      <c r="AT87" s="363" t="s">
        <v>312</v>
      </c>
      <c r="AU87" s="358" t="s">
        <v>313</v>
      </c>
      <c r="AV87" s="364" t="s">
        <v>314</v>
      </c>
      <c r="AW87" s="43"/>
      <c r="AX87" s="356" t="s">
        <v>307</v>
      </c>
      <c r="AY87" s="365" t="s">
        <v>308</v>
      </c>
      <c r="AZ87" s="358" t="s">
        <v>309</v>
      </c>
      <c r="BA87" s="363" t="s">
        <v>310</v>
      </c>
      <c r="BB87" s="366" t="s">
        <v>311</v>
      </c>
      <c r="BC87" s="360" t="s">
        <v>259</v>
      </c>
      <c r="BD87" s="100"/>
      <c r="BE87" s="360" t="s">
        <v>311</v>
      </c>
      <c r="BF87" s="363" t="s">
        <v>312</v>
      </c>
      <c r="BG87" s="358" t="s">
        <v>313</v>
      </c>
      <c r="BH87" s="364" t="s">
        <v>314</v>
      </c>
      <c r="BI87" s="43"/>
      <c r="BJ87" s="356" t="s">
        <v>307</v>
      </c>
      <c r="BK87" s="357" t="s">
        <v>308</v>
      </c>
      <c r="BL87" s="358" t="s">
        <v>309</v>
      </c>
      <c r="BM87" s="358" t="s">
        <v>310</v>
      </c>
      <c r="BN87" s="359" t="s">
        <v>311</v>
      </c>
      <c r="BO87" s="360" t="s">
        <v>259</v>
      </c>
      <c r="BP87" s="100"/>
      <c r="BQ87" s="360" t="s">
        <v>311</v>
      </c>
      <c r="BR87" s="358" t="s">
        <v>312</v>
      </c>
      <c r="BS87" s="358" t="s">
        <v>313</v>
      </c>
      <c r="BT87" s="362" t="s">
        <v>314</v>
      </c>
      <c r="BU87" s="43"/>
      <c r="BV87" s="109"/>
      <c r="BW87" s="109"/>
      <c r="BX87" s="109"/>
      <c r="BY87" s="109"/>
      <c r="BZ87" s="109"/>
      <c r="CA87" s="109"/>
      <c r="CB87" s="109"/>
      <c r="CC87" s="109"/>
      <c r="CD87" s="109"/>
      <c r="CE87" s="109"/>
      <c r="CF87" s="109"/>
    </row>
    <row r="88">
      <c r="A88" s="3"/>
      <c r="B88" s="29">
        <v>3.0</v>
      </c>
      <c r="C88" s="29"/>
      <c r="D88" s="372"/>
      <c r="E88" s="109"/>
      <c r="F88" s="373"/>
      <c r="G88" s="380"/>
      <c r="H88" s="380"/>
      <c r="I88" s="29"/>
      <c r="J88" s="109"/>
      <c r="K88" s="372"/>
      <c r="L88" s="373"/>
      <c r="M88" s="3"/>
      <c r="N88" s="29">
        <v>3.0</v>
      </c>
      <c r="O88" s="29"/>
      <c r="P88" s="372"/>
      <c r="Q88" s="109"/>
      <c r="R88" s="373"/>
      <c r="S88" s="380"/>
      <c r="T88" s="380"/>
      <c r="U88" s="29"/>
      <c r="V88" s="109"/>
      <c r="W88" s="372"/>
      <c r="X88" s="373"/>
      <c r="Y88" s="3"/>
      <c r="Z88" s="29">
        <v>3.0</v>
      </c>
      <c r="AA88" s="29"/>
      <c r="AB88" s="372"/>
      <c r="AC88" s="109"/>
      <c r="AD88" s="373"/>
      <c r="AE88" s="380"/>
      <c r="AF88" s="380"/>
      <c r="AG88" s="29"/>
      <c r="AH88" s="109"/>
      <c r="AI88" s="372"/>
      <c r="AJ88" s="373"/>
      <c r="AK88" s="43"/>
      <c r="AL88" s="371">
        <v>1.0</v>
      </c>
      <c r="AM88" s="169" t="s">
        <v>315</v>
      </c>
      <c r="AN88" s="368" t="s">
        <v>326</v>
      </c>
      <c r="AO88" s="14" t="s">
        <v>341</v>
      </c>
      <c r="AP88" s="171" t="s">
        <v>318</v>
      </c>
      <c r="AQ88" s="369" t="s">
        <v>319</v>
      </c>
      <c r="AR88" s="370" t="s">
        <v>320</v>
      </c>
      <c r="AS88" s="14" t="s">
        <v>321</v>
      </c>
      <c r="AT88" s="14" t="s">
        <v>317</v>
      </c>
      <c r="AU88" s="368" t="s">
        <v>441</v>
      </c>
      <c r="AV88" s="171" t="s">
        <v>327</v>
      </c>
      <c r="AW88" s="43"/>
      <c r="AX88" s="371">
        <v>1.0</v>
      </c>
      <c r="AY88" s="169" t="s">
        <v>315</v>
      </c>
      <c r="AZ88" s="232" t="s">
        <v>353</v>
      </c>
      <c r="BA88" s="14" t="s">
        <v>341</v>
      </c>
      <c r="BB88" s="408" t="s">
        <v>318</v>
      </c>
      <c r="BC88" s="369" t="s">
        <v>320</v>
      </c>
      <c r="BD88" s="370" t="s">
        <v>319</v>
      </c>
      <c r="BE88" s="14" t="s">
        <v>321</v>
      </c>
      <c r="BF88" s="14" t="s">
        <v>328</v>
      </c>
      <c r="BG88" s="368" t="s">
        <v>349</v>
      </c>
      <c r="BH88" s="171" t="s">
        <v>327</v>
      </c>
      <c r="BI88" s="43"/>
      <c r="BJ88" s="29">
        <v>1.0</v>
      </c>
      <c r="BK88" s="169" t="s">
        <v>315</v>
      </c>
      <c r="BL88" s="368" t="s">
        <v>448</v>
      </c>
      <c r="BM88" s="14" t="s">
        <v>341</v>
      </c>
      <c r="BN88" s="171" t="s">
        <v>318</v>
      </c>
      <c r="BO88" s="369" t="s">
        <v>319</v>
      </c>
      <c r="BP88" s="370" t="s">
        <v>320</v>
      </c>
      <c r="BQ88" s="14" t="s">
        <v>321</v>
      </c>
      <c r="BR88" s="409" t="s">
        <v>352</v>
      </c>
      <c r="BS88" s="234" t="s">
        <v>351</v>
      </c>
      <c r="BT88" s="171" t="s">
        <v>327</v>
      </c>
      <c r="BU88" s="43"/>
      <c r="BV88" s="109"/>
      <c r="BW88" s="109"/>
      <c r="BX88" s="109"/>
      <c r="BY88" s="109"/>
      <c r="BZ88" s="109"/>
      <c r="CA88" s="109"/>
      <c r="CB88" s="109"/>
      <c r="CC88" s="109"/>
      <c r="CD88" s="109"/>
      <c r="CE88" s="109"/>
      <c r="CF88" s="109"/>
    </row>
    <row r="89">
      <c r="A89" s="3"/>
      <c r="B89" s="55"/>
      <c r="C89" s="29"/>
      <c r="D89" s="372"/>
      <c r="E89" s="109"/>
      <c r="F89" s="92"/>
      <c r="I89" s="55"/>
      <c r="J89" s="109"/>
      <c r="K89" s="372"/>
      <c r="L89" s="373"/>
      <c r="M89" s="3"/>
      <c r="N89" s="55"/>
      <c r="O89" s="29"/>
      <c r="P89" s="372"/>
      <c r="Q89" s="109"/>
      <c r="R89" s="92"/>
      <c r="U89" s="55"/>
      <c r="V89" s="109"/>
      <c r="W89" s="372"/>
      <c r="X89" s="373"/>
      <c r="Y89" s="3"/>
      <c r="Z89" s="55"/>
      <c r="AA89" s="29"/>
      <c r="AB89" s="372"/>
      <c r="AC89" s="109"/>
      <c r="AD89" s="92"/>
      <c r="AG89" s="55"/>
      <c r="AH89" s="109"/>
      <c r="AI89" s="372"/>
      <c r="AJ89" s="373"/>
      <c r="AK89" s="43"/>
      <c r="AL89" s="66"/>
      <c r="AM89" s="29" t="s">
        <v>337</v>
      </c>
      <c r="AN89" s="372" t="s">
        <v>338</v>
      </c>
      <c r="AO89" s="109" t="s">
        <v>395</v>
      </c>
      <c r="AP89" s="92"/>
      <c r="AR89" s="92"/>
      <c r="AT89" s="109" t="s">
        <v>332</v>
      </c>
      <c r="AU89" s="372" t="s">
        <v>430</v>
      </c>
      <c r="AV89" s="373" t="s">
        <v>331</v>
      </c>
      <c r="AW89" s="43"/>
      <c r="AX89" s="66"/>
      <c r="AY89" s="29" t="s">
        <v>331</v>
      </c>
      <c r="AZ89" s="240" t="s">
        <v>366</v>
      </c>
      <c r="BA89" s="109" t="s">
        <v>357</v>
      </c>
      <c r="BB89" s="92"/>
      <c r="BD89" s="92"/>
      <c r="BF89" s="109" t="s">
        <v>332</v>
      </c>
      <c r="BG89" s="372" t="s">
        <v>338</v>
      </c>
      <c r="BH89" s="373" t="s">
        <v>342</v>
      </c>
      <c r="BI89" s="43"/>
      <c r="BJ89" s="55"/>
      <c r="BK89" s="29" t="s">
        <v>328</v>
      </c>
      <c r="BL89" s="372" t="s">
        <v>449</v>
      </c>
      <c r="BM89" s="109" t="s">
        <v>398</v>
      </c>
      <c r="BN89" s="92"/>
      <c r="BP89" s="92"/>
      <c r="BR89" s="410" t="s">
        <v>357</v>
      </c>
      <c r="BS89" s="242" t="s">
        <v>335</v>
      </c>
      <c r="BT89" s="373" t="s">
        <v>342</v>
      </c>
      <c r="BU89" s="43"/>
      <c r="BV89" s="109"/>
      <c r="BW89" s="109"/>
      <c r="BX89" s="109"/>
      <c r="BY89" s="109"/>
      <c r="BZ89" s="109"/>
      <c r="CA89" s="109"/>
      <c r="CB89" s="109"/>
      <c r="CC89" s="109"/>
      <c r="CD89" s="109"/>
      <c r="CE89" s="109"/>
      <c r="CF89" s="109"/>
    </row>
    <row r="90">
      <c r="A90" s="3"/>
      <c r="B90" s="55"/>
      <c r="C90" s="29"/>
      <c r="D90" s="372"/>
      <c r="E90" s="109"/>
      <c r="F90" s="92"/>
      <c r="I90" s="55"/>
      <c r="J90" s="109"/>
      <c r="K90" s="372"/>
      <c r="L90" s="373"/>
      <c r="M90" s="3"/>
      <c r="N90" s="55"/>
      <c r="O90" s="29"/>
      <c r="P90" s="372"/>
      <c r="Q90" s="109"/>
      <c r="R90" s="92"/>
      <c r="U90" s="55"/>
      <c r="V90" s="109"/>
      <c r="W90" s="372"/>
      <c r="X90" s="373"/>
      <c r="Y90" s="3"/>
      <c r="Z90" s="55"/>
      <c r="AA90" s="29"/>
      <c r="AB90" s="372"/>
      <c r="AC90" s="109"/>
      <c r="AD90" s="92"/>
      <c r="AG90" s="55"/>
      <c r="AH90" s="109"/>
      <c r="AI90" s="372"/>
      <c r="AJ90" s="373"/>
      <c r="AK90" s="43"/>
      <c r="AL90" s="66"/>
      <c r="AM90" s="29" t="s">
        <v>328</v>
      </c>
      <c r="AN90" s="372" t="s">
        <v>330</v>
      </c>
      <c r="AO90" s="109" t="s">
        <v>334</v>
      </c>
      <c r="AP90" s="92"/>
      <c r="AR90" s="92"/>
      <c r="AT90" s="109" t="s">
        <v>374</v>
      </c>
      <c r="AU90" s="372" t="s">
        <v>425</v>
      </c>
      <c r="AV90" s="373" t="s">
        <v>342</v>
      </c>
      <c r="AW90" s="43"/>
      <c r="AX90" s="66"/>
      <c r="AY90" s="29" t="s">
        <v>317</v>
      </c>
      <c r="AZ90" s="240" t="s">
        <v>394</v>
      </c>
      <c r="BA90" s="109" t="s">
        <v>337</v>
      </c>
      <c r="BB90" s="92"/>
      <c r="BD90" s="92"/>
      <c r="BF90" s="109" t="s">
        <v>334</v>
      </c>
      <c r="BG90" s="372" t="s">
        <v>330</v>
      </c>
      <c r="BH90" s="373" t="s">
        <v>325</v>
      </c>
      <c r="BI90" s="43"/>
      <c r="BJ90" s="55"/>
      <c r="BK90" s="29" t="s">
        <v>337</v>
      </c>
      <c r="BL90" s="372" t="s">
        <v>450</v>
      </c>
      <c r="BM90" s="109" t="s">
        <v>412</v>
      </c>
      <c r="BN90" s="92"/>
      <c r="BP90" s="92"/>
      <c r="BR90" s="410" t="s">
        <v>384</v>
      </c>
      <c r="BS90" s="242" t="s">
        <v>393</v>
      </c>
      <c r="BT90" s="373" t="s">
        <v>331</v>
      </c>
      <c r="BU90" s="43"/>
      <c r="BV90" s="109"/>
      <c r="BW90" s="109"/>
      <c r="BX90" s="109"/>
      <c r="BY90" s="109"/>
      <c r="BZ90" s="109"/>
      <c r="CA90" s="109"/>
      <c r="CB90" s="109"/>
      <c r="CC90" s="109"/>
      <c r="CD90" s="109"/>
      <c r="CE90" s="109"/>
      <c r="CF90" s="109"/>
    </row>
    <row r="91">
      <c r="A91" s="3"/>
      <c r="B91" s="55"/>
      <c r="C91" s="29"/>
      <c r="D91" s="372"/>
      <c r="E91" s="109"/>
      <c r="F91" s="92"/>
      <c r="I91" s="55"/>
      <c r="J91" s="109"/>
      <c r="K91" s="372"/>
      <c r="L91" s="373"/>
      <c r="M91" s="3"/>
      <c r="N91" s="55"/>
      <c r="O91" s="29"/>
      <c r="P91" s="372"/>
      <c r="Q91" s="109"/>
      <c r="R91" s="92"/>
      <c r="U91" s="55"/>
      <c r="V91" s="109"/>
      <c r="W91" s="372"/>
      <c r="X91" s="373"/>
      <c r="Y91" s="3"/>
      <c r="Z91" s="55"/>
      <c r="AA91" s="29"/>
      <c r="AB91" s="372"/>
      <c r="AC91" s="109"/>
      <c r="AD91" s="92"/>
      <c r="AG91" s="55"/>
      <c r="AH91" s="109"/>
      <c r="AI91" s="372"/>
      <c r="AJ91" s="373"/>
      <c r="AK91" s="43"/>
      <c r="AL91" s="66"/>
      <c r="AM91" s="29" t="s">
        <v>401</v>
      </c>
      <c r="AN91" s="372" t="s">
        <v>378</v>
      </c>
      <c r="AO91" s="109" t="s">
        <v>451</v>
      </c>
      <c r="AP91" s="92"/>
      <c r="AR91" s="92"/>
      <c r="AT91" s="109" t="s">
        <v>377</v>
      </c>
      <c r="AU91" s="372" t="s">
        <v>421</v>
      </c>
      <c r="AV91" s="373" t="s">
        <v>352</v>
      </c>
      <c r="AW91" s="43"/>
      <c r="AX91" s="66"/>
      <c r="AY91" s="29" t="s">
        <v>352</v>
      </c>
      <c r="AZ91" s="240" t="s">
        <v>336</v>
      </c>
      <c r="BA91" s="109" t="s">
        <v>401</v>
      </c>
      <c r="BB91" s="92"/>
      <c r="BD91" s="92"/>
      <c r="BF91" s="109" t="s">
        <v>346</v>
      </c>
      <c r="BG91" s="372" t="s">
        <v>378</v>
      </c>
      <c r="BH91" s="373" t="s">
        <v>377</v>
      </c>
      <c r="BI91" s="43"/>
      <c r="BJ91" s="55"/>
      <c r="BK91" s="29" t="s">
        <v>324</v>
      </c>
      <c r="BL91" s="372" t="s">
        <v>452</v>
      </c>
      <c r="BM91" s="109" t="s">
        <v>380</v>
      </c>
      <c r="BN91" s="92"/>
      <c r="BP91" s="92"/>
      <c r="BR91" s="410" t="s">
        <v>373</v>
      </c>
      <c r="BS91" s="242" t="s">
        <v>365</v>
      </c>
      <c r="BT91" s="373" t="s">
        <v>414</v>
      </c>
      <c r="BU91" s="43"/>
      <c r="BV91" s="109"/>
      <c r="BW91" s="109"/>
      <c r="BX91" s="109"/>
      <c r="BY91" s="109"/>
      <c r="BZ91" s="109"/>
      <c r="CA91" s="109"/>
      <c r="CB91" s="109"/>
      <c r="CC91" s="109"/>
      <c r="CD91" s="109"/>
      <c r="CE91" s="109"/>
      <c r="CF91" s="109"/>
    </row>
    <row r="92">
      <c r="A92" s="3"/>
      <c r="B92" s="61"/>
      <c r="C92" s="394"/>
      <c r="D92" s="395"/>
      <c r="E92" s="132"/>
      <c r="F92" s="93"/>
      <c r="I92" s="61"/>
      <c r="J92" s="132"/>
      <c r="K92" s="395"/>
      <c r="L92" s="396"/>
      <c r="M92" s="3"/>
      <c r="N92" s="61"/>
      <c r="O92" s="394"/>
      <c r="P92" s="395"/>
      <c r="Q92" s="132"/>
      <c r="R92" s="93"/>
      <c r="U92" s="61"/>
      <c r="V92" s="132"/>
      <c r="W92" s="395"/>
      <c r="X92" s="396"/>
      <c r="Y92" s="3"/>
      <c r="Z92" s="61"/>
      <c r="AA92" s="394"/>
      <c r="AB92" s="395"/>
      <c r="AC92" s="132"/>
      <c r="AD92" s="93"/>
      <c r="AG92" s="61"/>
      <c r="AH92" s="132"/>
      <c r="AI92" s="395"/>
      <c r="AJ92" s="396"/>
      <c r="AK92" s="43"/>
      <c r="AL92" s="66"/>
      <c r="AM92" s="29" t="s">
        <v>379</v>
      </c>
      <c r="AN92" s="372" t="s">
        <v>349</v>
      </c>
      <c r="AO92" s="109" t="s">
        <v>380</v>
      </c>
      <c r="AP92" s="92"/>
      <c r="AQ92" s="374"/>
      <c r="AR92" s="375"/>
      <c r="AS92" s="374"/>
      <c r="AT92" s="109" t="s">
        <v>453</v>
      </c>
      <c r="AU92" s="372" t="s">
        <v>435</v>
      </c>
      <c r="AV92" s="373" t="s">
        <v>387</v>
      </c>
      <c r="AW92" s="43"/>
      <c r="AX92" s="66"/>
      <c r="AY92" s="29" t="s">
        <v>379</v>
      </c>
      <c r="AZ92" s="240" t="s">
        <v>383</v>
      </c>
      <c r="BA92" s="109" t="s">
        <v>395</v>
      </c>
      <c r="BB92" s="92"/>
      <c r="BC92" s="374"/>
      <c r="BD92" s="375"/>
      <c r="BE92" s="374"/>
      <c r="BF92" s="109" t="s">
        <v>374</v>
      </c>
      <c r="BG92" s="372" t="s">
        <v>326</v>
      </c>
      <c r="BH92" s="373" t="s">
        <v>434</v>
      </c>
      <c r="BI92" s="43"/>
      <c r="BJ92" s="55"/>
      <c r="BK92" s="29" t="s">
        <v>374</v>
      </c>
      <c r="BL92" s="372" t="s">
        <v>454</v>
      </c>
      <c r="BM92" s="109" t="s">
        <v>385</v>
      </c>
      <c r="BN92" s="92"/>
      <c r="BO92" s="374"/>
      <c r="BP92" s="375"/>
      <c r="BQ92" s="374"/>
      <c r="BR92" s="410" t="s">
        <v>376</v>
      </c>
      <c r="BS92" s="242" t="s">
        <v>381</v>
      </c>
      <c r="BT92" s="373" t="s">
        <v>346</v>
      </c>
      <c r="BU92" s="43"/>
      <c r="BV92" s="109"/>
      <c r="BW92" s="109"/>
      <c r="BX92" s="109"/>
      <c r="BY92" s="109"/>
      <c r="BZ92" s="109"/>
      <c r="CA92" s="109"/>
      <c r="CB92" s="109"/>
      <c r="CC92" s="109"/>
      <c r="CD92" s="109"/>
      <c r="CE92" s="109"/>
      <c r="CF92" s="109"/>
    </row>
    <row r="93">
      <c r="A93" s="3"/>
      <c r="B93" s="397"/>
      <c r="C93" s="397"/>
      <c r="D93" s="397"/>
      <c r="E93" s="397"/>
      <c r="F93" s="398"/>
      <c r="G93" s="399">
        <f t="shared" ref="G93:H93" si="8">COUNTIF(G78:G92, "W")</f>
        <v>2</v>
      </c>
      <c r="H93" s="400">
        <f t="shared" si="8"/>
        <v>0</v>
      </c>
      <c r="I93" s="398"/>
      <c r="J93" s="397"/>
      <c r="K93" s="397"/>
      <c r="L93" s="397"/>
      <c r="M93" s="3"/>
      <c r="N93" s="397"/>
      <c r="O93" s="397"/>
      <c r="P93" s="397"/>
      <c r="Q93" s="397"/>
      <c r="R93" s="398"/>
      <c r="S93" s="399">
        <f t="shared" ref="S93:T93" si="9">COUNTIF(S78:S92, "W")</f>
        <v>2</v>
      </c>
      <c r="T93" s="400">
        <f t="shared" si="9"/>
        <v>0</v>
      </c>
      <c r="U93" s="398"/>
      <c r="V93" s="397"/>
      <c r="W93" s="397"/>
      <c r="X93" s="397"/>
      <c r="Y93" s="3"/>
      <c r="Z93" s="397"/>
      <c r="AA93" s="397"/>
      <c r="AB93" s="397"/>
      <c r="AC93" s="397"/>
      <c r="AD93" s="398"/>
      <c r="AE93" s="399">
        <f t="shared" ref="AE93:AF93" si="10">COUNTIF(AE78:AE92, "W")</f>
        <v>2</v>
      </c>
      <c r="AF93" s="400">
        <f t="shared" si="10"/>
        <v>0</v>
      </c>
      <c r="AG93" s="398"/>
      <c r="AH93" s="397"/>
      <c r="AI93" s="397"/>
      <c r="AJ93" s="397"/>
      <c r="AK93" s="397"/>
      <c r="AL93" s="383">
        <v>2.0</v>
      </c>
      <c r="AM93" s="376" t="s">
        <v>327</v>
      </c>
      <c r="AN93" s="377" t="s">
        <v>338</v>
      </c>
      <c r="AO93" s="378" t="s">
        <v>369</v>
      </c>
      <c r="AP93" s="379" t="s">
        <v>321</v>
      </c>
      <c r="AQ93" s="381" t="s">
        <v>319</v>
      </c>
      <c r="AR93" s="382" t="s">
        <v>320</v>
      </c>
      <c r="AS93" s="378" t="s">
        <v>318</v>
      </c>
      <c r="AT93" s="378" t="s">
        <v>328</v>
      </c>
      <c r="AU93" s="377" t="s">
        <v>421</v>
      </c>
      <c r="AV93" s="379" t="s">
        <v>315</v>
      </c>
      <c r="AW93" s="397"/>
      <c r="AX93" s="383">
        <v>2.0</v>
      </c>
      <c r="AY93" s="376" t="s">
        <v>315</v>
      </c>
      <c r="AZ93" s="385" t="s">
        <v>394</v>
      </c>
      <c r="BA93" s="378" t="s">
        <v>337</v>
      </c>
      <c r="BB93" s="379" t="s">
        <v>318</v>
      </c>
      <c r="BC93" s="381" t="s">
        <v>319</v>
      </c>
      <c r="BD93" s="382" t="s">
        <v>320</v>
      </c>
      <c r="BE93" s="378" t="s">
        <v>321</v>
      </c>
      <c r="BF93" s="378" t="s">
        <v>328</v>
      </c>
      <c r="BG93" s="377" t="s">
        <v>349</v>
      </c>
      <c r="BH93" s="379" t="s">
        <v>327</v>
      </c>
      <c r="BI93" s="397"/>
      <c r="BJ93" s="376">
        <v>2.0</v>
      </c>
      <c r="BK93" s="376" t="s">
        <v>327</v>
      </c>
      <c r="BL93" s="377" t="s">
        <v>448</v>
      </c>
      <c r="BM93" s="378" t="s">
        <v>368</v>
      </c>
      <c r="BN93" s="379" t="s">
        <v>321</v>
      </c>
      <c r="BO93" s="380" t="s">
        <v>319</v>
      </c>
      <c r="BP93" s="393" t="s">
        <v>320</v>
      </c>
      <c r="BQ93" s="378" t="s">
        <v>318</v>
      </c>
      <c r="BR93" s="411" t="s">
        <v>384</v>
      </c>
      <c r="BS93" s="384" t="s">
        <v>393</v>
      </c>
      <c r="BT93" s="379" t="s">
        <v>315</v>
      </c>
      <c r="BU93" s="397"/>
      <c r="BV93" s="397"/>
      <c r="BW93" s="397"/>
      <c r="BX93" s="397"/>
      <c r="BY93" s="397"/>
      <c r="BZ93" s="397"/>
      <c r="CA93" s="397"/>
      <c r="CB93" s="397"/>
      <c r="CC93" s="397"/>
      <c r="CD93" s="397"/>
      <c r="CE93" s="397"/>
      <c r="CF93" s="397"/>
    </row>
    <row r="94">
      <c r="A94" s="3"/>
      <c r="B94" s="412"/>
      <c r="C94" s="412"/>
      <c r="D94" s="412"/>
      <c r="E94" s="412"/>
      <c r="F94" s="412"/>
      <c r="G94" s="412"/>
      <c r="H94" s="412"/>
      <c r="I94" s="412"/>
      <c r="J94" s="412"/>
      <c r="K94" s="412"/>
      <c r="L94" s="412"/>
      <c r="M94" s="3"/>
      <c r="N94" s="412"/>
      <c r="O94" s="412"/>
      <c r="P94" s="412"/>
      <c r="Q94" s="412"/>
      <c r="R94" s="412"/>
      <c r="S94" s="412"/>
      <c r="T94" s="412"/>
      <c r="U94" s="412"/>
      <c r="V94" s="412"/>
      <c r="W94" s="412"/>
      <c r="X94" s="412"/>
      <c r="Y94" s="3"/>
      <c r="Z94" s="412"/>
      <c r="AA94" s="412"/>
      <c r="AB94" s="412"/>
      <c r="AC94" s="412"/>
      <c r="AD94" s="412"/>
      <c r="AE94" s="412"/>
      <c r="AF94" s="412"/>
      <c r="AG94" s="412"/>
      <c r="AH94" s="412"/>
      <c r="AI94" s="412"/>
      <c r="AJ94" s="412"/>
      <c r="AK94" s="412"/>
      <c r="AL94" s="66"/>
      <c r="AM94" s="29" t="s">
        <v>341</v>
      </c>
      <c r="AN94" s="372" t="s">
        <v>330</v>
      </c>
      <c r="AO94" s="109" t="s">
        <v>400</v>
      </c>
      <c r="AP94" s="92"/>
      <c r="AR94" s="92"/>
      <c r="AT94" s="109" t="s">
        <v>382</v>
      </c>
      <c r="AU94" s="372" t="s">
        <v>430</v>
      </c>
      <c r="AV94" s="373" t="s">
        <v>334</v>
      </c>
      <c r="AW94" s="412"/>
      <c r="AX94" s="66"/>
      <c r="AY94" s="29" t="s">
        <v>331</v>
      </c>
      <c r="AZ94" s="240" t="s">
        <v>366</v>
      </c>
      <c r="BA94" s="109" t="s">
        <v>325</v>
      </c>
      <c r="BB94" s="92"/>
      <c r="BD94" s="92"/>
      <c r="BF94" s="109" t="s">
        <v>334</v>
      </c>
      <c r="BG94" s="372" t="s">
        <v>330</v>
      </c>
      <c r="BH94" s="373" t="s">
        <v>342</v>
      </c>
      <c r="BI94" s="412"/>
      <c r="BJ94" s="55"/>
      <c r="BK94" s="29" t="s">
        <v>341</v>
      </c>
      <c r="BL94" s="372" t="s">
        <v>450</v>
      </c>
      <c r="BM94" s="109" t="s">
        <v>331</v>
      </c>
      <c r="BN94" s="92"/>
      <c r="BP94" s="92"/>
      <c r="BR94" s="410" t="s">
        <v>352</v>
      </c>
      <c r="BS94" s="242" t="s">
        <v>351</v>
      </c>
      <c r="BT94" s="373" t="s">
        <v>337</v>
      </c>
      <c r="BU94" s="412"/>
      <c r="BV94" s="412"/>
      <c r="BW94" s="412"/>
      <c r="BX94" s="412"/>
      <c r="BY94" s="412"/>
      <c r="BZ94" s="412"/>
      <c r="CA94" s="412"/>
      <c r="CB94" s="412"/>
      <c r="CC94" s="412"/>
      <c r="CD94" s="412"/>
      <c r="CE94" s="412"/>
      <c r="CF94" s="412"/>
    </row>
    <row r="95">
      <c r="A95" s="3"/>
      <c r="B95" s="351" t="str">
        <f>'Schedule | CQ + Playoffs'!E6</f>
        <v>TSA White</v>
      </c>
      <c r="C95" s="8"/>
      <c r="D95" s="8"/>
      <c r="E95" s="8"/>
      <c r="F95" s="8"/>
      <c r="G95" s="351" t="str">
        <f>'Schedule | CQ + Playoffs'!K6</f>
        <v>Match 3</v>
      </c>
      <c r="H95" s="68"/>
      <c r="I95" s="401" t="str">
        <f>'Schedule | CQ + Playoffs'!I6</f>
        <v>Omnix</v>
      </c>
      <c r="J95" s="8"/>
      <c r="K95" s="8"/>
      <c r="L95" s="68"/>
      <c r="M95" s="3"/>
      <c r="N95" s="351" t="str">
        <f>'Schedule | CQ + Playoffs'!E12</f>
        <v>Magic</v>
      </c>
      <c r="O95" s="8"/>
      <c r="P95" s="8"/>
      <c r="Q95" s="8"/>
      <c r="R95" s="8"/>
      <c r="S95" s="351" t="str">
        <f>'Schedule | CQ + Playoffs'!K12</f>
        <v>Match 7</v>
      </c>
      <c r="T95" s="68"/>
      <c r="U95" s="401" t="str">
        <f>'Schedule | CQ + Playoffs'!I12</f>
        <v>Omnix</v>
      </c>
      <c r="V95" s="8"/>
      <c r="W95" s="8"/>
      <c r="X95" s="68"/>
      <c r="Y95" s="3"/>
      <c r="Z95" s="413" t="str">
        <f>'Schedule | CQ + Playoffs'!E18</f>
        <v>Virtus.pro</v>
      </c>
      <c r="AA95" s="8"/>
      <c r="AB95" s="8"/>
      <c r="AC95" s="8"/>
      <c r="AD95" s="8"/>
      <c r="AE95" s="351" t="str">
        <f>'Schedule | CQ + Playoffs'!AJ6</f>
        <v/>
      </c>
      <c r="AF95" s="68"/>
      <c r="AG95" s="352" t="str">
        <f>'Schedule | CQ + Playoffs'!I18</f>
        <v>CYBERHERO</v>
      </c>
      <c r="AH95" s="8"/>
      <c r="AI95" s="8"/>
      <c r="AJ95" s="68"/>
      <c r="AK95" s="353"/>
      <c r="AL95" s="66"/>
      <c r="AM95" s="29" t="s">
        <v>317</v>
      </c>
      <c r="AN95" s="372" t="s">
        <v>326</v>
      </c>
      <c r="AO95" s="109" t="s">
        <v>368</v>
      </c>
      <c r="AP95" s="92"/>
      <c r="AR95" s="92"/>
      <c r="AT95" s="109" t="s">
        <v>354</v>
      </c>
      <c r="AU95" s="372" t="s">
        <v>425</v>
      </c>
      <c r="AV95" s="373" t="s">
        <v>331</v>
      </c>
      <c r="AW95" s="353"/>
      <c r="AX95" s="66"/>
      <c r="AY95" s="29" t="s">
        <v>317</v>
      </c>
      <c r="AZ95" s="240" t="s">
        <v>353</v>
      </c>
      <c r="BA95" s="109" t="s">
        <v>374</v>
      </c>
      <c r="BB95" s="92"/>
      <c r="BD95" s="92"/>
      <c r="BF95" s="109" t="s">
        <v>332</v>
      </c>
      <c r="BG95" s="372" t="s">
        <v>338</v>
      </c>
      <c r="BH95" s="373" t="s">
        <v>341</v>
      </c>
      <c r="BI95" s="353"/>
      <c r="BJ95" s="55"/>
      <c r="BK95" s="29" t="s">
        <v>342</v>
      </c>
      <c r="BL95" s="372" t="s">
        <v>449</v>
      </c>
      <c r="BM95" s="109" t="s">
        <v>398</v>
      </c>
      <c r="BN95" s="92"/>
      <c r="BP95" s="92"/>
      <c r="BR95" s="410" t="s">
        <v>357</v>
      </c>
      <c r="BS95" s="242" t="s">
        <v>335</v>
      </c>
      <c r="BT95" s="373" t="s">
        <v>328</v>
      </c>
      <c r="BU95" s="353"/>
      <c r="BV95" s="404"/>
      <c r="BW95" s="404"/>
      <c r="BX95" s="404"/>
      <c r="BY95" s="404"/>
      <c r="BZ95" s="404"/>
      <c r="CA95" s="404"/>
      <c r="CB95" s="404"/>
      <c r="CC95" s="404"/>
      <c r="CD95" s="404"/>
      <c r="CE95" s="404"/>
      <c r="CF95" s="404"/>
    </row>
    <row r="96">
      <c r="A96" s="3"/>
      <c r="B96" s="61"/>
      <c r="C96" s="22"/>
      <c r="D96" s="22"/>
      <c r="E96" s="22"/>
      <c r="F96" s="22"/>
      <c r="G96" s="61"/>
      <c r="H96" s="93"/>
      <c r="I96" s="22"/>
      <c r="J96" s="22"/>
      <c r="K96" s="22"/>
      <c r="L96" s="93"/>
      <c r="M96" s="3"/>
      <c r="N96" s="61"/>
      <c r="O96" s="22"/>
      <c r="P96" s="22"/>
      <c r="Q96" s="22"/>
      <c r="R96" s="22"/>
      <c r="S96" s="61"/>
      <c r="T96" s="93"/>
      <c r="U96" s="22"/>
      <c r="V96" s="22"/>
      <c r="W96" s="22"/>
      <c r="X96" s="93"/>
      <c r="Y96" s="3"/>
      <c r="Z96" s="61"/>
      <c r="AA96" s="22"/>
      <c r="AB96" s="22"/>
      <c r="AC96" s="22"/>
      <c r="AD96" s="22"/>
      <c r="AE96" s="61"/>
      <c r="AF96" s="93"/>
      <c r="AG96" s="61"/>
      <c r="AH96" s="22"/>
      <c r="AI96" s="22"/>
      <c r="AJ96" s="93"/>
      <c r="AK96" s="353"/>
      <c r="AL96" s="66"/>
      <c r="AM96" s="29" t="s">
        <v>357</v>
      </c>
      <c r="AN96" s="372" t="s">
        <v>378</v>
      </c>
      <c r="AO96" s="109" t="s">
        <v>384</v>
      </c>
      <c r="AP96" s="92"/>
      <c r="AR96" s="92"/>
      <c r="AT96" s="109" t="s">
        <v>325</v>
      </c>
      <c r="AU96" s="372" t="s">
        <v>441</v>
      </c>
      <c r="AV96" s="373" t="s">
        <v>380</v>
      </c>
      <c r="AW96" s="353"/>
      <c r="AX96" s="66"/>
      <c r="AY96" s="29" t="s">
        <v>408</v>
      </c>
      <c r="AZ96" s="240" t="s">
        <v>336</v>
      </c>
      <c r="BA96" s="109" t="s">
        <v>401</v>
      </c>
      <c r="BB96" s="92"/>
      <c r="BD96" s="92"/>
      <c r="BF96" s="109" t="s">
        <v>379</v>
      </c>
      <c r="BG96" s="372" t="s">
        <v>378</v>
      </c>
      <c r="BH96" s="373" t="s">
        <v>377</v>
      </c>
      <c r="BI96" s="353"/>
      <c r="BJ96" s="55"/>
      <c r="BK96" s="29" t="s">
        <v>376</v>
      </c>
      <c r="BL96" s="372" t="s">
        <v>452</v>
      </c>
      <c r="BM96" s="109" t="s">
        <v>414</v>
      </c>
      <c r="BN96" s="92"/>
      <c r="BP96" s="92"/>
      <c r="BR96" s="410" t="s">
        <v>348</v>
      </c>
      <c r="BS96" s="242" t="s">
        <v>365</v>
      </c>
      <c r="BT96" s="373" t="s">
        <v>380</v>
      </c>
      <c r="BU96" s="353"/>
      <c r="BV96" s="404"/>
      <c r="BW96" s="404"/>
      <c r="BX96" s="404"/>
      <c r="BY96" s="404"/>
      <c r="BZ96" s="404"/>
      <c r="CA96" s="404"/>
      <c r="CB96" s="404"/>
      <c r="CC96" s="404"/>
      <c r="CD96" s="404"/>
      <c r="CE96" s="404"/>
      <c r="CF96" s="404"/>
    </row>
    <row r="97">
      <c r="A97" s="3"/>
      <c r="B97" s="356" t="s">
        <v>307</v>
      </c>
      <c r="C97" s="357" t="s">
        <v>308</v>
      </c>
      <c r="D97" s="358" t="s">
        <v>309</v>
      </c>
      <c r="E97" s="358" t="s">
        <v>310</v>
      </c>
      <c r="F97" s="359" t="s">
        <v>311</v>
      </c>
      <c r="G97" s="361" t="s">
        <v>259</v>
      </c>
      <c r="H97" s="68"/>
      <c r="I97" s="361" t="s">
        <v>311</v>
      </c>
      <c r="J97" s="358" t="s">
        <v>312</v>
      </c>
      <c r="K97" s="358" t="s">
        <v>313</v>
      </c>
      <c r="L97" s="362" t="s">
        <v>314</v>
      </c>
      <c r="M97" s="3"/>
      <c r="N97" s="356" t="s">
        <v>307</v>
      </c>
      <c r="O97" s="357" t="s">
        <v>308</v>
      </c>
      <c r="P97" s="358" t="s">
        <v>309</v>
      </c>
      <c r="Q97" s="358" t="s">
        <v>310</v>
      </c>
      <c r="R97" s="359" t="s">
        <v>311</v>
      </c>
      <c r="S97" s="360" t="s">
        <v>259</v>
      </c>
      <c r="T97" s="100"/>
      <c r="U97" s="361" t="s">
        <v>311</v>
      </c>
      <c r="V97" s="358" t="s">
        <v>312</v>
      </c>
      <c r="W97" s="358" t="s">
        <v>313</v>
      </c>
      <c r="X97" s="362" t="s">
        <v>314</v>
      </c>
      <c r="Y97" s="3"/>
      <c r="Z97" s="356" t="s">
        <v>307</v>
      </c>
      <c r="AA97" s="357" t="s">
        <v>308</v>
      </c>
      <c r="AB97" s="363" t="s">
        <v>455</v>
      </c>
      <c r="AC97" s="358" t="s">
        <v>310</v>
      </c>
      <c r="AD97" s="359" t="s">
        <v>311</v>
      </c>
      <c r="AE97" s="360" t="s">
        <v>259</v>
      </c>
      <c r="AF97" s="100"/>
      <c r="AG97" s="360" t="s">
        <v>311</v>
      </c>
      <c r="AH97" s="363" t="s">
        <v>312</v>
      </c>
      <c r="AI97" s="358" t="s">
        <v>313</v>
      </c>
      <c r="AJ97" s="364" t="s">
        <v>314</v>
      </c>
      <c r="AK97" s="367"/>
      <c r="AL97" s="134"/>
      <c r="AM97" s="387" t="s">
        <v>343</v>
      </c>
      <c r="AN97" s="388" t="s">
        <v>349</v>
      </c>
      <c r="AO97" s="389" t="s">
        <v>346</v>
      </c>
      <c r="AP97" s="375"/>
      <c r="AQ97" s="374"/>
      <c r="AR97" s="375"/>
      <c r="AS97" s="374"/>
      <c r="AT97" s="389" t="s">
        <v>456</v>
      </c>
      <c r="AU97" s="388" t="s">
        <v>435</v>
      </c>
      <c r="AV97" s="390" t="s">
        <v>377</v>
      </c>
      <c r="AW97" s="367"/>
      <c r="AX97" s="134"/>
      <c r="AY97" s="387" t="s">
        <v>346</v>
      </c>
      <c r="AZ97" s="392" t="s">
        <v>383</v>
      </c>
      <c r="BA97" s="389" t="s">
        <v>369</v>
      </c>
      <c r="BB97" s="375"/>
      <c r="BC97" s="374"/>
      <c r="BD97" s="375"/>
      <c r="BE97" s="374"/>
      <c r="BF97" s="389" t="s">
        <v>391</v>
      </c>
      <c r="BG97" s="388" t="s">
        <v>326</v>
      </c>
      <c r="BH97" s="390" t="s">
        <v>434</v>
      </c>
      <c r="BI97" s="367"/>
      <c r="BJ97" s="386"/>
      <c r="BK97" s="387" t="s">
        <v>374</v>
      </c>
      <c r="BL97" s="388" t="s">
        <v>454</v>
      </c>
      <c r="BM97" s="389" t="s">
        <v>385</v>
      </c>
      <c r="BN97" s="375"/>
      <c r="BO97" s="374"/>
      <c r="BP97" s="375"/>
      <c r="BQ97" s="374"/>
      <c r="BR97" s="414" t="s">
        <v>332</v>
      </c>
      <c r="BS97" s="391" t="s">
        <v>381</v>
      </c>
      <c r="BT97" s="390" t="s">
        <v>401</v>
      </c>
      <c r="BU97" s="367"/>
      <c r="BV97" s="405"/>
      <c r="BW97" s="405"/>
      <c r="BX97" s="405"/>
      <c r="BY97" s="405"/>
      <c r="BZ97" s="405"/>
      <c r="CA97" s="405"/>
      <c r="CB97" s="405"/>
      <c r="CC97" s="405"/>
      <c r="CD97" s="405"/>
      <c r="CE97" s="405"/>
      <c r="CF97" s="405"/>
    </row>
    <row r="98">
      <c r="A98" s="3"/>
      <c r="B98" s="29">
        <v>1.0</v>
      </c>
      <c r="C98" s="169" t="s">
        <v>315</v>
      </c>
      <c r="D98" s="368" t="s">
        <v>457</v>
      </c>
      <c r="E98" s="14" t="s">
        <v>369</v>
      </c>
      <c r="F98" s="14" t="s">
        <v>318</v>
      </c>
      <c r="G98" s="415" t="s">
        <v>320</v>
      </c>
      <c r="H98" s="370" t="s">
        <v>319</v>
      </c>
      <c r="I98" s="14" t="s">
        <v>321</v>
      </c>
      <c r="J98" s="14" t="s">
        <v>354</v>
      </c>
      <c r="K98" s="368" t="s">
        <v>425</v>
      </c>
      <c r="L98" s="171" t="s">
        <v>327</v>
      </c>
      <c r="M98" s="3"/>
      <c r="N98" s="29">
        <v>1.0</v>
      </c>
      <c r="O98" s="169" t="s">
        <v>317</v>
      </c>
      <c r="P98" s="368" t="s">
        <v>458</v>
      </c>
      <c r="Q98" s="14" t="s">
        <v>341</v>
      </c>
      <c r="R98" s="171" t="s">
        <v>318</v>
      </c>
      <c r="S98" s="369" t="s">
        <v>320</v>
      </c>
      <c r="T98" s="369" t="s">
        <v>319</v>
      </c>
      <c r="U98" s="169" t="s">
        <v>321</v>
      </c>
      <c r="V98" s="14" t="s">
        <v>342</v>
      </c>
      <c r="W98" s="368" t="s">
        <v>435</v>
      </c>
      <c r="X98" s="171" t="s">
        <v>327</v>
      </c>
      <c r="Y98" s="3"/>
      <c r="Z98" s="29">
        <v>1.0</v>
      </c>
      <c r="AA98" s="169" t="s">
        <v>315</v>
      </c>
      <c r="AB98" s="234" t="s">
        <v>351</v>
      </c>
      <c r="AC98" s="14" t="s">
        <v>342</v>
      </c>
      <c r="AD98" s="171" t="s">
        <v>318</v>
      </c>
      <c r="AE98" s="369" t="s">
        <v>319</v>
      </c>
      <c r="AF98" s="370" t="s">
        <v>320</v>
      </c>
      <c r="AG98" s="14" t="s">
        <v>321</v>
      </c>
      <c r="AH98" s="14" t="s">
        <v>363</v>
      </c>
      <c r="AI98" s="368" t="s">
        <v>355</v>
      </c>
      <c r="AJ98" s="171" t="s">
        <v>327</v>
      </c>
      <c r="AK98" s="43"/>
      <c r="AL98" s="383">
        <v>3.0</v>
      </c>
      <c r="AM98" s="376" t="s">
        <v>327</v>
      </c>
      <c r="AN98" s="368" t="s">
        <v>338</v>
      </c>
      <c r="AO98" s="378" t="s">
        <v>369</v>
      </c>
      <c r="AP98" s="379" t="s">
        <v>321</v>
      </c>
      <c r="AQ98" s="381" t="s">
        <v>320</v>
      </c>
      <c r="AR98" s="382" t="s">
        <v>319</v>
      </c>
      <c r="AS98" s="378" t="s">
        <v>318</v>
      </c>
      <c r="AT98" s="378" t="s">
        <v>328</v>
      </c>
      <c r="AU98" s="377" t="s">
        <v>421</v>
      </c>
      <c r="AV98" s="379" t="s">
        <v>315</v>
      </c>
      <c r="AW98" s="43"/>
      <c r="AX98" s="383">
        <v>3.0</v>
      </c>
      <c r="AY98" s="376" t="s">
        <v>315</v>
      </c>
      <c r="AZ98" s="232" t="s">
        <v>394</v>
      </c>
      <c r="BA98" s="378" t="s">
        <v>337</v>
      </c>
      <c r="BB98" s="379" t="s">
        <v>318</v>
      </c>
      <c r="BC98" s="381" t="s">
        <v>320</v>
      </c>
      <c r="BD98" s="382" t="s">
        <v>319</v>
      </c>
      <c r="BE98" s="378" t="s">
        <v>321</v>
      </c>
      <c r="BF98" s="378" t="s">
        <v>374</v>
      </c>
      <c r="BG98" s="377" t="s">
        <v>326</v>
      </c>
      <c r="BH98" s="379" t="s">
        <v>327</v>
      </c>
      <c r="BI98" s="43"/>
      <c r="BJ98" s="376">
        <v>3.0</v>
      </c>
      <c r="BK98" s="376" t="s">
        <v>327</v>
      </c>
      <c r="BL98" s="372" t="s">
        <v>450</v>
      </c>
      <c r="BM98" s="109" t="s">
        <v>331</v>
      </c>
      <c r="BN98" s="373" t="s">
        <v>321</v>
      </c>
      <c r="BO98" s="381" t="s">
        <v>319</v>
      </c>
      <c r="BP98" s="382" t="s">
        <v>320</v>
      </c>
      <c r="BQ98" s="378" t="s">
        <v>318</v>
      </c>
      <c r="BR98" s="411" t="s">
        <v>352</v>
      </c>
      <c r="BS98" s="242" t="s">
        <v>351</v>
      </c>
      <c r="BT98" s="373" t="s">
        <v>315</v>
      </c>
      <c r="BU98" s="43"/>
      <c r="BV98" s="109"/>
      <c r="BW98" s="109"/>
      <c r="BX98" s="109"/>
      <c r="BY98" s="109"/>
      <c r="BZ98" s="109"/>
      <c r="CA98" s="109"/>
      <c r="CB98" s="109"/>
      <c r="CC98" s="109"/>
      <c r="CD98" s="109"/>
      <c r="CE98" s="109"/>
      <c r="CF98" s="109"/>
    </row>
    <row r="99">
      <c r="A99" s="3"/>
      <c r="B99" s="55"/>
      <c r="C99" s="29" t="s">
        <v>325</v>
      </c>
      <c r="D99" s="372" t="s">
        <v>459</v>
      </c>
      <c r="E99" s="109" t="s">
        <v>322</v>
      </c>
      <c r="G99" s="55"/>
      <c r="H99" s="92"/>
      <c r="J99" s="109" t="s">
        <v>377</v>
      </c>
      <c r="K99" s="372" t="s">
        <v>421</v>
      </c>
      <c r="L99" s="373" t="s">
        <v>324</v>
      </c>
      <c r="M99" s="3"/>
      <c r="N99" s="55"/>
      <c r="O99" s="29" t="s">
        <v>331</v>
      </c>
      <c r="P99" s="372" t="s">
        <v>460</v>
      </c>
      <c r="Q99" s="109" t="s">
        <v>343</v>
      </c>
      <c r="R99" s="92"/>
      <c r="U99" s="55"/>
      <c r="V99" s="109" t="s">
        <v>328</v>
      </c>
      <c r="W99" s="372" t="s">
        <v>421</v>
      </c>
      <c r="X99" s="373" t="s">
        <v>324</v>
      </c>
      <c r="Y99" s="3"/>
      <c r="Z99" s="55"/>
      <c r="AA99" s="29" t="s">
        <v>325</v>
      </c>
      <c r="AB99" s="242" t="s">
        <v>335</v>
      </c>
      <c r="AC99" s="109" t="s">
        <v>343</v>
      </c>
      <c r="AD99" s="92"/>
      <c r="AF99" s="92"/>
      <c r="AH99" s="109" t="s">
        <v>352</v>
      </c>
      <c r="AI99" s="372" t="s">
        <v>350</v>
      </c>
      <c r="AJ99" s="373" t="s">
        <v>324</v>
      </c>
      <c r="AK99" s="43"/>
      <c r="AL99" s="66"/>
      <c r="AM99" s="29" t="s">
        <v>341</v>
      </c>
      <c r="AN99" s="372" t="s">
        <v>330</v>
      </c>
      <c r="AO99" s="109" t="s">
        <v>400</v>
      </c>
      <c r="AP99" s="92"/>
      <c r="AR99" s="92"/>
      <c r="AT99" s="109" t="s">
        <v>412</v>
      </c>
      <c r="AU99" s="372" t="s">
        <v>441</v>
      </c>
      <c r="AV99" s="373" t="s">
        <v>334</v>
      </c>
      <c r="AW99" s="43"/>
      <c r="AX99" s="66"/>
      <c r="AY99" s="29" t="s">
        <v>331</v>
      </c>
      <c r="AZ99" s="240" t="s">
        <v>366</v>
      </c>
      <c r="BA99" s="109" t="s">
        <v>325</v>
      </c>
      <c r="BB99" s="92"/>
      <c r="BD99" s="92"/>
      <c r="BF99" s="109" t="s">
        <v>328</v>
      </c>
      <c r="BG99" s="372" t="s">
        <v>349</v>
      </c>
      <c r="BH99" s="373" t="s">
        <v>342</v>
      </c>
      <c r="BI99" s="43"/>
      <c r="BJ99" s="55"/>
      <c r="BK99" s="29" t="s">
        <v>341</v>
      </c>
      <c r="BL99" s="372" t="s">
        <v>454</v>
      </c>
      <c r="BM99" s="109" t="s">
        <v>385</v>
      </c>
      <c r="BN99" s="92"/>
      <c r="BP99" s="92"/>
      <c r="BR99" s="410" t="s">
        <v>398</v>
      </c>
      <c r="BS99" s="242" t="s">
        <v>381</v>
      </c>
      <c r="BT99" s="373" t="s">
        <v>337</v>
      </c>
      <c r="BU99" s="43"/>
      <c r="BV99" s="109"/>
      <c r="BW99" s="109"/>
      <c r="BX99" s="109"/>
      <c r="BY99" s="109"/>
      <c r="BZ99" s="109"/>
      <c r="CA99" s="109"/>
      <c r="CB99" s="109"/>
      <c r="CC99" s="109"/>
      <c r="CD99" s="109"/>
      <c r="CE99" s="109"/>
      <c r="CF99" s="109"/>
    </row>
    <row r="100">
      <c r="A100" s="3"/>
      <c r="B100" s="55"/>
      <c r="C100" s="29" t="s">
        <v>342</v>
      </c>
      <c r="D100" s="372" t="s">
        <v>461</v>
      </c>
      <c r="E100" s="109" t="s">
        <v>317</v>
      </c>
      <c r="G100" s="55"/>
      <c r="H100" s="92"/>
      <c r="J100" s="109" t="s">
        <v>382</v>
      </c>
      <c r="K100" s="372" t="s">
        <v>430</v>
      </c>
      <c r="L100" s="373" t="s">
        <v>341</v>
      </c>
      <c r="M100" s="3"/>
      <c r="N100" s="55"/>
      <c r="O100" s="29" t="s">
        <v>315</v>
      </c>
      <c r="P100" s="372" t="s">
        <v>462</v>
      </c>
      <c r="Q100" s="109" t="s">
        <v>377</v>
      </c>
      <c r="R100" s="92"/>
      <c r="U100" s="55"/>
      <c r="V100" s="109" t="s">
        <v>354</v>
      </c>
      <c r="W100" s="372" t="s">
        <v>425</v>
      </c>
      <c r="X100" s="373" t="s">
        <v>334</v>
      </c>
      <c r="Y100" s="3"/>
      <c r="Z100" s="55"/>
      <c r="AA100" s="29" t="s">
        <v>331</v>
      </c>
      <c r="AB100" s="242" t="s">
        <v>393</v>
      </c>
      <c r="AC100" s="109" t="s">
        <v>328</v>
      </c>
      <c r="AD100" s="92"/>
      <c r="AF100" s="92"/>
      <c r="AH100" s="109" t="s">
        <v>332</v>
      </c>
      <c r="AI100" s="372" t="s">
        <v>333</v>
      </c>
      <c r="AJ100" s="373" t="s">
        <v>317</v>
      </c>
      <c r="AK100" s="43"/>
      <c r="AL100" s="66"/>
      <c r="AM100" s="29" t="s">
        <v>317</v>
      </c>
      <c r="AN100" s="372" t="s">
        <v>326</v>
      </c>
      <c r="AO100" s="109" t="s">
        <v>391</v>
      </c>
      <c r="AP100" s="92"/>
      <c r="AR100" s="92"/>
      <c r="AT100" s="109" t="s">
        <v>379</v>
      </c>
      <c r="AU100" s="372" t="s">
        <v>435</v>
      </c>
      <c r="AV100" s="373" t="s">
        <v>331</v>
      </c>
      <c r="AW100" s="43"/>
      <c r="AX100" s="66"/>
      <c r="AY100" s="29" t="s">
        <v>317</v>
      </c>
      <c r="AZ100" s="240" t="s">
        <v>383</v>
      </c>
      <c r="BA100" s="109" t="s">
        <v>369</v>
      </c>
      <c r="BB100" s="92"/>
      <c r="BD100" s="92"/>
      <c r="BF100" s="109" t="s">
        <v>334</v>
      </c>
      <c r="BG100" s="372" t="s">
        <v>330</v>
      </c>
      <c r="BH100" s="373" t="s">
        <v>341</v>
      </c>
      <c r="BI100" s="43"/>
      <c r="BJ100" s="55"/>
      <c r="BK100" s="29" t="s">
        <v>342</v>
      </c>
      <c r="BL100" s="372" t="s">
        <v>448</v>
      </c>
      <c r="BM100" s="109" t="s">
        <v>374</v>
      </c>
      <c r="BN100" s="92"/>
      <c r="BP100" s="92"/>
      <c r="BR100" s="410" t="s">
        <v>357</v>
      </c>
      <c r="BS100" s="242" t="s">
        <v>335</v>
      </c>
      <c r="BT100" s="373" t="s">
        <v>328</v>
      </c>
      <c r="BU100" s="43"/>
      <c r="BV100" s="109"/>
      <c r="BW100" s="109"/>
      <c r="BX100" s="109"/>
      <c r="BY100" s="109"/>
      <c r="BZ100" s="109"/>
      <c r="CA100" s="109"/>
      <c r="CB100" s="109"/>
      <c r="CC100" s="109"/>
      <c r="CD100" s="109"/>
      <c r="CE100" s="109"/>
      <c r="CF100" s="109"/>
    </row>
    <row r="101">
      <c r="A101" s="3"/>
      <c r="B101" s="55"/>
      <c r="C101" s="29" t="s">
        <v>343</v>
      </c>
      <c r="D101" s="372" t="s">
        <v>463</v>
      </c>
      <c r="E101" s="109" t="s">
        <v>375</v>
      </c>
      <c r="G101" s="55"/>
      <c r="H101" s="92"/>
      <c r="J101" s="109" t="s">
        <v>379</v>
      </c>
      <c r="K101" s="372" t="s">
        <v>435</v>
      </c>
      <c r="L101" s="373" t="s">
        <v>384</v>
      </c>
      <c r="M101" s="3"/>
      <c r="N101" s="55"/>
      <c r="O101" s="29" t="s">
        <v>412</v>
      </c>
      <c r="P101" s="372" t="s">
        <v>464</v>
      </c>
      <c r="Q101" s="109" t="s">
        <v>332</v>
      </c>
      <c r="R101" s="92"/>
      <c r="U101" s="55"/>
      <c r="V101" s="109" t="s">
        <v>382</v>
      </c>
      <c r="W101" s="372" t="s">
        <v>430</v>
      </c>
      <c r="X101" s="373" t="s">
        <v>337</v>
      </c>
      <c r="Y101" s="3"/>
      <c r="Z101" s="55"/>
      <c r="AA101" s="29" t="s">
        <v>401</v>
      </c>
      <c r="AB101" s="242" t="s">
        <v>381</v>
      </c>
      <c r="AC101" s="109" t="s">
        <v>361</v>
      </c>
      <c r="AD101" s="92"/>
      <c r="AF101" s="92"/>
      <c r="AH101" s="109" t="s">
        <v>380</v>
      </c>
      <c r="AI101" s="372" t="s">
        <v>339</v>
      </c>
      <c r="AJ101" s="373" t="s">
        <v>382</v>
      </c>
      <c r="AK101" s="43"/>
      <c r="AL101" s="66"/>
      <c r="AM101" s="29" t="s">
        <v>465</v>
      </c>
      <c r="AN101" s="372" t="s">
        <v>349</v>
      </c>
      <c r="AO101" s="109" t="s">
        <v>375</v>
      </c>
      <c r="AP101" s="92"/>
      <c r="AR101" s="92"/>
      <c r="AT101" s="109" t="s">
        <v>466</v>
      </c>
      <c r="AU101" s="372" t="s">
        <v>430</v>
      </c>
      <c r="AV101" s="373" t="s">
        <v>384</v>
      </c>
      <c r="AW101" s="43"/>
      <c r="AX101" s="66"/>
      <c r="AY101" s="29" t="s">
        <v>332</v>
      </c>
      <c r="AZ101" s="240" t="s">
        <v>353</v>
      </c>
      <c r="BA101" s="109" t="s">
        <v>368</v>
      </c>
      <c r="BB101" s="92"/>
      <c r="BD101" s="92"/>
      <c r="BF101" s="109" t="s">
        <v>324</v>
      </c>
      <c r="BG101" s="372" t="s">
        <v>338</v>
      </c>
      <c r="BH101" s="373" t="s">
        <v>377</v>
      </c>
      <c r="BI101" s="43"/>
      <c r="BJ101" s="55"/>
      <c r="BK101" s="29" t="s">
        <v>384</v>
      </c>
      <c r="BL101" s="372" t="s">
        <v>452</v>
      </c>
      <c r="BM101" s="109" t="s">
        <v>414</v>
      </c>
      <c r="BN101" s="92"/>
      <c r="BP101" s="92"/>
      <c r="BR101" s="410" t="s">
        <v>348</v>
      </c>
      <c r="BS101" s="242" t="s">
        <v>365</v>
      </c>
      <c r="BT101" s="373" t="s">
        <v>322</v>
      </c>
      <c r="BU101" s="43"/>
      <c r="BV101" s="109"/>
      <c r="BW101" s="109"/>
      <c r="BX101" s="109"/>
      <c r="BY101" s="109"/>
      <c r="BZ101" s="109"/>
      <c r="CA101" s="109"/>
      <c r="CB101" s="109"/>
      <c r="CC101" s="109"/>
      <c r="CD101" s="109"/>
      <c r="CE101" s="109"/>
      <c r="CF101" s="109"/>
    </row>
    <row r="102">
      <c r="A102" s="3"/>
      <c r="B102" s="55"/>
      <c r="C102" s="29" t="s">
        <v>331</v>
      </c>
      <c r="D102" s="372" t="s">
        <v>467</v>
      </c>
      <c r="E102" s="109" t="s">
        <v>352</v>
      </c>
      <c r="G102" s="55"/>
      <c r="H102" s="92"/>
      <c r="J102" s="109" t="s">
        <v>412</v>
      </c>
      <c r="K102" s="372" t="s">
        <v>441</v>
      </c>
      <c r="L102" s="373" t="s">
        <v>374</v>
      </c>
      <c r="M102" s="3"/>
      <c r="N102" s="55"/>
      <c r="O102" s="29" t="s">
        <v>325</v>
      </c>
      <c r="P102" s="372" t="s">
        <v>468</v>
      </c>
      <c r="Q102" s="109" t="s">
        <v>352</v>
      </c>
      <c r="R102" s="92"/>
      <c r="S102" s="374"/>
      <c r="T102" s="374"/>
      <c r="U102" s="55"/>
      <c r="V102" s="109" t="s">
        <v>357</v>
      </c>
      <c r="W102" s="372" t="s">
        <v>441</v>
      </c>
      <c r="X102" s="373" t="s">
        <v>387</v>
      </c>
      <c r="Y102" s="3"/>
      <c r="Z102" s="55"/>
      <c r="AA102" s="29" t="s">
        <v>334</v>
      </c>
      <c r="AB102" s="242" t="s">
        <v>351</v>
      </c>
      <c r="AC102" s="109" t="s">
        <v>348</v>
      </c>
      <c r="AD102" s="92"/>
      <c r="AE102" s="374"/>
      <c r="AF102" s="375"/>
      <c r="AG102" s="374"/>
      <c r="AH102" s="109" t="s">
        <v>400</v>
      </c>
      <c r="AI102" s="372" t="s">
        <v>364</v>
      </c>
      <c r="AJ102" s="373" t="s">
        <v>374</v>
      </c>
      <c r="AK102" s="43"/>
      <c r="AL102" s="134"/>
      <c r="AM102" s="387" t="s">
        <v>354</v>
      </c>
      <c r="AN102" s="372" t="s">
        <v>378</v>
      </c>
      <c r="AO102" s="389" t="s">
        <v>337</v>
      </c>
      <c r="AP102" s="375"/>
      <c r="AQ102" s="374"/>
      <c r="AR102" s="375"/>
      <c r="AS102" s="374"/>
      <c r="AT102" s="389" t="s">
        <v>374</v>
      </c>
      <c r="AU102" s="388" t="s">
        <v>425</v>
      </c>
      <c r="AV102" s="390" t="s">
        <v>380</v>
      </c>
      <c r="AW102" s="43"/>
      <c r="AX102" s="134"/>
      <c r="AY102" s="387" t="s">
        <v>346</v>
      </c>
      <c r="AZ102" s="240" t="s">
        <v>336</v>
      </c>
      <c r="BA102" s="389" t="s">
        <v>384</v>
      </c>
      <c r="BB102" s="375"/>
      <c r="BC102" s="374"/>
      <c r="BD102" s="375"/>
      <c r="BE102" s="374"/>
      <c r="BF102" s="389" t="s">
        <v>379</v>
      </c>
      <c r="BG102" s="388" t="s">
        <v>378</v>
      </c>
      <c r="BH102" s="390" t="s">
        <v>401</v>
      </c>
      <c r="BI102" s="43"/>
      <c r="BJ102" s="386"/>
      <c r="BK102" s="29" t="s">
        <v>368</v>
      </c>
      <c r="BL102" s="372" t="s">
        <v>449</v>
      </c>
      <c r="BM102" s="109" t="s">
        <v>469</v>
      </c>
      <c r="BN102" s="92"/>
      <c r="BO102" s="374"/>
      <c r="BP102" s="375"/>
      <c r="BQ102" s="374"/>
      <c r="BR102" s="414" t="s">
        <v>401</v>
      </c>
      <c r="BS102" s="242" t="s">
        <v>393</v>
      </c>
      <c r="BT102" s="373" t="s">
        <v>376</v>
      </c>
      <c r="BU102" s="43"/>
      <c r="BV102" s="109"/>
      <c r="BW102" s="109"/>
      <c r="BX102" s="109"/>
      <c r="BY102" s="109"/>
      <c r="BZ102" s="109"/>
      <c r="CA102" s="109"/>
      <c r="CB102" s="109"/>
      <c r="CC102" s="109"/>
      <c r="CD102" s="109"/>
      <c r="CE102" s="109"/>
      <c r="CF102" s="109"/>
    </row>
    <row r="103">
      <c r="A103" s="3"/>
      <c r="B103" s="376">
        <v>2.0</v>
      </c>
      <c r="C103" s="376" t="s">
        <v>412</v>
      </c>
      <c r="D103" s="377" t="s">
        <v>457</v>
      </c>
      <c r="E103" s="378" t="s">
        <v>322</v>
      </c>
      <c r="F103" s="378" t="s">
        <v>318</v>
      </c>
      <c r="G103" s="416" t="s">
        <v>320</v>
      </c>
      <c r="H103" s="393" t="s">
        <v>319</v>
      </c>
      <c r="I103" s="378" t="s">
        <v>321</v>
      </c>
      <c r="J103" s="378" t="s">
        <v>342</v>
      </c>
      <c r="K103" s="377" t="s">
        <v>435</v>
      </c>
      <c r="L103" s="379" t="s">
        <v>327</v>
      </c>
      <c r="M103" s="3"/>
      <c r="N103" s="376">
        <v>2.0</v>
      </c>
      <c r="O103" s="376" t="s">
        <v>324</v>
      </c>
      <c r="P103" s="377" t="s">
        <v>462</v>
      </c>
      <c r="Q103" s="378" t="s">
        <v>377</v>
      </c>
      <c r="R103" s="379" t="s">
        <v>321</v>
      </c>
      <c r="S103" s="380" t="s">
        <v>320</v>
      </c>
      <c r="T103" s="380" t="s">
        <v>319</v>
      </c>
      <c r="U103" s="376" t="s">
        <v>318</v>
      </c>
      <c r="V103" s="378" t="s">
        <v>327</v>
      </c>
      <c r="W103" s="377" t="s">
        <v>425</v>
      </c>
      <c r="X103" s="379" t="s">
        <v>315</v>
      </c>
      <c r="Y103" s="3"/>
      <c r="Z103" s="376">
        <v>2.0</v>
      </c>
      <c r="AA103" s="376" t="s">
        <v>331</v>
      </c>
      <c r="AB103" s="384" t="s">
        <v>351</v>
      </c>
      <c r="AC103" s="378" t="s">
        <v>352</v>
      </c>
      <c r="AD103" s="379" t="s">
        <v>321</v>
      </c>
      <c r="AE103" s="380" t="s">
        <v>319</v>
      </c>
      <c r="AF103" s="393" t="s">
        <v>320</v>
      </c>
      <c r="AG103" s="378" t="s">
        <v>318</v>
      </c>
      <c r="AH103" s="378" t="s">
        <v>328</v>
      </c>
      <c r="AI103" s="377" t="s">
        <v>339</v>
      </c>
      <c r="AJ103" s="379" t="s">
        <v>315</v>
      </c>
      <c r="AK103" s="43"/>
      <c r="AL103" s="383">
        <v>4.0</v>
      </c>
      <c r="AM103" s="376" t="s">
        <v>315</v>
      </c>
      <c r="AN103" s="377" t="s">
        <v>330</v>
      </c>
      <c r="AO103" s="378" t="s">
        <v>331</v>
      </c>
      <c r="AP103" s="379" t="s">
        <v>318</v>
      </c>
      <c r="AQ103" s="381" t="s">
        <v>320</v>
      </c>
      <c r="AR103" s="382" t="s">
        <v>319</v>
      </c>
      <c r="AS103" s="378" t="s">
        <v>321</v>
      </c>
      <c r="AT103" s="378" t="s">
        <v>384</v>
      </c>
      <c r="AU103" s="377" t="s">
        <v>421</v>
      </c>
      <c r="AV103" s="379" t="s">
        <v>327</v>
      </c>
      <c r="AW103" s="43"/>
      <c r="AX103" s="383">
        <v>4.0</v>
      </c>
      <c r="AY103" s="376" t="s">
        <v>331</v>
      </c>
      <c r="AZ103" s="385" t="s">
        <v>353</v>
      </c>
      <c r="BA103" s="378" t="s">
        <v>327</v>
      </c>
      <c r="BB103" s="379" t="s">
        <v>321</v>
      </c>
      <c r="BC103" s="381" t="s">
        <v>319</v>
      </c>
      <c r="BD103" s="382" t="s">
        <v>320</v>
      </c>
      <c r="BE103" s="378" t="s">
        <v>318</v>
      </c>
      <c r="BF103" s="378" t="s">
        <v>328</v>
      </c>
      <c r="BG103" s="377" t="s">
        <v>349</v>
      </c>
      <c r="BH103" s="379" t="s">
        <v>342</v>
      </c>
      <c r="BI103" s="43"/>
      <c r="BJ103" s="376">
        <v>4.0</v>
      </c>
      <c r="BK103" s="376"/>
      <c r="BL103" s="377"/>
      <c r="BM103" s="378"/>
      <c r="BN103" s="379"/>
      <c r="BO103" s="380"/>
      <c r="BP103" s="393"/>
      <c r="BQ103" s="378"/>
      <c r="BR103" s="411"/>
      <c r="BS103" s="384"/>
      <c r="BT103" s="379"/>
      <c r="BU103" s="43"/>
      <c r="BV103" s="109"/>
      <c r="BW103" s="109"/>
      <c r="BX103" s="109"/>
      <c r="BY103" s="109"/>
      <c r="BZ103" s="109"/>
      <c r="CA103" s="109"/>
      <c r="CB103" s="109"/>
      <c r="CC103" s="109"/>
      <c r="CD103" s="109"/>
      <c r="CE103" s="109"/>
      <c r="CF103" s="109"/>
    </row>
    <row r="104">
      <c r="A104" s="3"/>
      <c r="B104" s="55"/>
      <c r="C104" s="29" t="s">
        <v>354</v>
      </c>
      <c r="D104" s="372" t="s">
        <v>459</v>
      </c>
      <c r="E104" s="109" t="s">
        <v>341</v>
      </c>
      <c r="G104" s="55"/>
      <c r="H104" s="92"/>
      <c r="J104" s="109" t="s">
        <v>395</v>
      </c>
      <c r="K104" s="372" t="s">
        <v>430</v>
      </c>
      <c r="L104" s="373" t="s">
        <v>324</v>
      </c>
      <c r="M104" s="3"/>
      <c r="N104" s="55"/>
      <c r="O104" s="29" t="s">
        <v>342</v>
      </c>
      <c r="P104" s="372" t="s">
        <v>458</v>
      </c>
      <c r="Q104" s="109" t="s">
        <v>341</v>
      </c>
      <c r="R104" s="92"/>
      <c r="U104" s="55"/>
      <c r="V104" s="109" t="s">
        <v>354</v>
      </c>
      <c r="W104" s="372" t="s">
        <v>421</v>
      </c>
      <c r="X104" s="373" t="s">
        <v>317</v>
      </c>
      <c r="Y104" s="3"/>
      <c r="Z104" s="55"/>
      <c r="AA104" s="29" t="s">
        <v>327</v>
      </c>
      <c r="AB104" s="242" t="s">
        <v>365</v>
      </c>
      <c r="AC104" s="109" t="s">
        <v>363</v>
      </c>
      <c r="AD104" s="92"/>
      <c r="AF104" s="92"/>
      <c r="AH104" s="109" t="s">
        <v>343</v>
      </c>
      <c r="AI104" s="372" t="s">
        <v>364</v>
      </c>
      <c r="AJ104" s="373" t="s">
        <v>325</v>
      </c>
      <c r="AK104" s="43"/>
      <c r="AL104" s="66"/>
      <c r="AM104" s="29" t="s">
        <v>337</v>
      </c>
      <c r="AN104" s="372" t="s">
        <v>378</v>
      </c>
      <c r="AO104" s="109" t="s">
        <v>352</v>
      </c>
      <c r="AP104" s="92"/>
      <c r="AR104" s="92"/>
      <c r="AT104" s="109" t="s">
        <v>332</v>
      </c>
      <c r="AU104" s="372" t="s">
        <v>430</v>
      </c>
      <c r="AV104" s="373" t="s">
        <v>334</v>
      </c>
      <c r="AW104" s="43"/>
      <c r="AX104" s="66"/>
      <c r="AY104" s="29" t="s">
        <v>324</v>
      </c>
      <c r="AZ104" s="240" t="s">
        <v>394</v>
      </c>
      <c r="BA104" s="109" t="s">
        <v>337</v>
      </c>
      <c r="BB104" s="92"/>
      <c r="BD104" s="92"/>
      <c r="BF104" s="109" t="s">
        <v>315</v>
      </c>
      <c r="BG104" s="372" t="s">
        <v>326</v>
      </c>
      <c r="BH104" s="373" t="s">
        <v>317</v>
      </c>
      <c r="BI104" s="43"/>
      <c r="BJ104" s="55"/>
      <c r="BK104" s="29"/>
      <c r="BL104" s="372"/>
      <c r="BM104" s="109"/>
      <c r="BN104" s="92"/>
      <c r="BP104" s="92"/>
      <c r="BR104" s="410"/>
      <c r="BS104" s="242"/>
      <c r="BT104" s="373"/>
      <c r="BU104" s="43"/>
      <c r="BV104" s="109"/>
      <c r="BW104" s="109"/>
      <c r="BX104" s="109"/>
      <c r="BY104" s="109"/>
      <c r="BZ104" s="109"/>
      <c r="CA104" s="109"/>
      <c r="CB104" s="109"/>
      <c r="CC104" s="109"/>
      <c r="CD104" s="109"/>
      <c r="CE104" s="109"/>
      <c r="CF104" s="109"/>
    </row>
    <row r="105">
      <c r="A105" s="3"/>
      <c r="B105" s="55"/>
      <c r="C105" s="29" t="s">
        <v>377</v>
      </c>
      <c r="D105" s="372" t="s">
        <v>461</v>
      </c>
      <c r="E105" s="109" t="s">
        <v>400</v>
      </c>
      <c r="G105" s="55"/>
      <c r="H105" s="92"/>
      <c r="J105" s="109" t="s">
        <v>317</v>
      </c>
      <c r="K105" s="372" t="s">
        <v>441</v>
      </c>
      <c r="L105" s="373" t="s">
        <v>315</v>
      </c>
      <c r="M105" s="3"/>
      <c r="N105" s="55"/>
      <c r="O105" s="29" t="s">
        <v>331</v>
      </c>
      <c r="P105" s="372" t="s">
        <v>468</v>
      </c>
      <c r="Q105" s="109" t="s">
        <v>337</v>
      </c>
      <c r="R105" s="92"/>
      <c r="U105" s="55"/>
      <c r="V105" s="109" t="s">
        <v>412</v>
      </c>
      <c r="W105" s="372" t="s">
        <v>441</v>
      </c>
      <c r="X105" s="373" t="s">
        <v>328</v>
      </c>
      <c r="Y105" s="3"/>
      <c r="Z105" s="55"/>
      <c r="AA105" s="29" t="s">
        <v>317</v>
      </c>
      <c r="AB105" s="242" t="s">
        <v>335</v>
      </c>
      <c r="AC105" s="109" t="s">
        <v>357</v>
      </c>
      <c r="AD105" s="92"/>
      <c r="AF105" s="92"/>
      <c r="AH105" s="109" t="s">
        <v>342</v>
      </c>
      <c r="AI105" s="372" t="s">
        <v>350</v>
      </c>
      <c r="AJ105" s="373" t="s">
        <v>324</v>
      </c>
      <c r="AK105" s="43"/>
      <c r="AL105" s="66"/>
      <c r="AM105" s="29" t="s">
        <v>328</v>
      </c>
      <c r="AN105" s="372" t="s">
        <v>326</v>
      </c>
      <c r="AO105" s="109" t="s">
        <v>354</v>
      </c>
      <c r="AP105" s="92"/>
      <c r="AR105" s="92"/>
      <c r="AT105" s="109" t="s">
        <v>413</v>
      </c>
      <c r="AU105" s="372" t="s">
        <v>441</v>
      </c>
      <c r="AV105" s="373" t="s">
        <v>341</v>
      </c>
      <c r="AW105" s="43"/>
      <c r="AX105" s="66"/>
      <c r="AY105" s="29" t="s">
        <v>334</v>
      </c>
      <c r="AZ105" s="240" t="s">
        <v>366</v>
      </c>
      <c r="BA105" s="109" t="s">
        <v>357</v>
      </c>
      <c r="BB105" s="92"/>
      <c r="BD105" s="92"/>
      <c r="BF105" s="109" t="s">
        <v>343</v>
      </c>
      <c r="BG105" s="372" t="s">
        <v>330</v>
      </c>
      <c r="BH105" s="373" t="s">
        <v>325</v>
      </c>
      <c r="BI105" s="43"/>
      <c r="BJ105" s="55"/>
      <c r="BK105" s="29"/>
      <c r="BL105" s="372"/>
      <c r="BM105" s="109"/>
      <c r="BN105" s="92"/>
      <c r="BP105" s="92"/>
      <c r="BR105" s="410"/>
      <c r="BS105" s="242"/>
      <c r="BT105" s="373"/>
      <c r="BU105" s="43"/>
      <c r="BV105" s="109"/>
      <c r="BW105" s="109"/>
      <c r="BX105" s="109"/>
      <c r="BY105" s="109"/>
      <c r="BZ105" s="109"/>
      <c r="CA105" s="109"/>
      <c r="CB105" s="109"/>
      <c r="CC105" s="109"/>
      <c r="CD105" s="109"/>
      <c r="CE105" s="109"/>
      <c r="CF105" s="109"/>
    </row>
    <row r="106">
      <c r="A106" s="3"/>
      <c r="B106" s="55"/>
      <c r="C106" s="29" t="s">
        <v>396</v>
      </c>
      <c r="D106" s="372" t="s">
        <v>463</v>
      </c>
      <c r="E106" s="109" t="s">
        <v>328</v>
      </c>
      <c r="G106" s="55"/>
      <c r="H106" s="92"/>
      <c r="J106" s="109" t="s">
        <v>414</v>
      </c>
      <c r="K106" s="372" t="s">
        <v>421</v>
      </c>
      <c r="L106" s="373" t="s">
        <v>382</v>
      </c>
      <c r="M106" s="3"/>
      <c r="N106" s="55"/>
      <c r="O106" s="29" t="s">
        <v>405</v>
      </c>
      <c r="P106" s="372" t="s">
        <v>464</v>
      </c>
      <c r="Q106" s="109" t="s">
        <v>361</v>
      </c>
      <c r="R106" s="92"/>
      <c r="U106" s="55"/>
      <c r="V106" s="109" t="s">
        <v>376</v>
      </c>
      <c r="W106" s="372" t="s">
        <v>430</v>
      </c>
      <c r="X106" s="373" t="s">
        <v>382</v>
      </c>
      <c r="Y106" s="3"/>
      <c r="Z106" s="55"/>
      <c r="AA106" s="29" t="s">
        <v>361</v>
      </c>
      <c r="AB106" s="242" t="s">
        <v>381</v>
      </c>
      <c r="AC106" s="109" t="s">
        <v>376</v>
      </c>
      <c r="AD106" s="92"/>
      <c r="AF106" s="92"/>
      <c r="AH106" s="109" t="s">
        <v>348</v>
      </c>
      <c r="AI106" s="372" t="s">
        <v>355</v>
      </c>
      <c r="AJ106" s="373" t="s">
        <v>401</v>
      </c>
      <c r="AK106" s="43"/>
      <c r="AL106" s="66"/>
      <c r="AM106" s="29" t="s">
        <v>346</v>
      </c>
      <c r="AN106" s="372" t="s">
        <v>338</v>
      </c>
      <c r="AO106" s="109" t="s">
        <v>19</v>
      </c>
      <c r="AP106" s="92"/>
      <c r="AR106" s="92"/>
      <c r="AT106" s="109" t="s">
        <v>443</v>
      </c>
      <c r="AU106" s="372" t="s">
        <v>435</v>
      </c>
      <c r="AV106" s="373" t="s">
        <v>380</v>
      </c>
      <c r="AW106" s="43"/>
      <c r="AX106" s="66"/>
      <c r="AY106" s="29" t="s">
        <v>346</v>
      </c>
      <c r="AZ106" s="240" t="s">
        <v>383</v>
      </c>
      <c r="BA106" s="109" t="s">
        <v>19</v>
      </c>
      <c r="BB106" s="92"/>
      <c r="BD106" s="92"/>
      <c r="BF106" s="109" t="s">
        <v>352</v>
      </c>
      <c r="BG106" s="372" t="s">
        <v>378</v>
      </c>
      <c r="BH106" s="373" t="s">
        <v>377</v>
      </c>
      <c r="BI106" s="43"/>
      <c r="BJ106" s="55"/>
      <c r="BK106" s="29"/>
      <c r="BL106" s="372"/>
      <c r="BM106" s="109"/>
      <c r="BN106" s="92"/>
      <c r="BP106" s="92"/>
      <c r="BR106" s="410"/>
      <c r="BS106" s="242"/>
      <c r="BT106" s="373"/>
      <c r="BU106" s="43"/>
      <c r="BV106" s="109"/>
      <c r="BW106" s="109"/>
      <c r="BX106" s="109"/>
      <c r="BY106" s="109"/>
      <c r="BZ106" s="109"/>
      <c r="CA106" s="109"/>
      <c r="CB106" s="109"/>
      <c r="CC106" s="109"/>
      <c r="CD106" s="109"/>
      <c r="CE106" s="109"/>
      <c r="CF106" s="109"/>
    </row>
    <row r="107">
      <c r="A107" s="3"/>
      <c r="B107" s="386"/>
      <c r="C107" s="387" t="s">
        <v>369</v>
      </c>
      <c r="D107" s="388" t="s">
        <v>467</v>
      </c>
      <c r="E107" s="389" t="s">
        <v>352</v>
      </c>
      <c r="F107" s="374"/>
      <c r="G107" s="386"/>
      <c r="H107" s="375"/>
      <c r="I107" s="374"/>
      <c r="J107" s="389" t="s">
        <v>408</v>
      </c>
      <c r="K107" s="388" t="s">
        <v>425</v>
      </c>
      <c r="L107" s="390" t="s">
        <v>332</v>
      </c>
      <c r="M107" s="3"/>
      <c r="N107" s="386"/>
      <c r="O107" s="387" t="s">
        <v>379</v>
      </c>
      <c r="P107" s="388" t="s">
        <v>460</v>
      </c>
      <c r="Q107" s="389" t="s">
        <v>400</v>
      </c>
      <c r="R107" s="375"/>
      <c r="S107" s="374"/>
      <c r="T107" s="374"/>
      <c r="U107" s="386"/>
      <c r="V107" s="389" t="s">
        <v>346</v>
      </c>
      <c r="W107" s="388" t="s">
        <v>435</v>
      </c>
      <c r="X107" s="390" t="s">
        <v>332</v>
      </c>
      <c r="Y107" s="3"/>
      <c r="Z107" s="386"/>
      <c r="AA107" s="387" t="s">
        <v>369</v>
      </c>
      <c r="AB107" s="391" t="s">
        <v>393</v>
      </c>
      <c r="AC107" s="389" t="s">
        <v>384</v>
      </c>
      <c r="AD107" s="375"/>
      <c r="AE107" s="374"/>
      <c r="AF107" s="375"/>
      <c r="AG107" s="374"/>
      <c r="AH107" s="389" t="s">
        <v>332</v>
      </c>
      <c r="AI107" s="388" t="s">
        <v>333</v>
      </c>
      <c r="AJ107" s="390" t="s">
        <v>382</v>
      </c>
      <c r="AK107" s="43"/>
      <c r="AL107" s="134"/>
      <c r="AM107" s="387" t="s">
        <v>342</v>
      </c>
      <c r="AN107" s="388" t="s">
        <v>349</v>
      </c>
      <c r="AO107" s="389" t="s">
        <v>401</v>
      </c>
      <c r="AP107" s="375"/>
      <c r="AQ107" s="374"/>
      <c r="AR107" s="375"/>
      <c r="AS107" s="374"/>
      <c r="AT107" s="389" t="s">
        <v>470</v>
      </c>
      <c r="AU107" s="388" t="s">
        <v>425</v>
      </c>
      <c r="AV107" s="390" t="s">
        <v>377</v>
      </c>
      <c r="AW107" s="43"/>
      <c r="AX107" s="134"/>
      <c r="AY107" s="387" t="s">
        <v>332</v>
      </c>
      <c r="AZ107" s="392" t="s">
        <v>336</v>
      </c>
      <c r="BA107" s="389" t="s">
        <v>384</v>
      </c>
      <c r="BB107" s="375"/>
      <c r="BC107" s="374"/>
      <c r="BD107" s="375"/>
      <c r="BE107" s="374"/>
      <c r="BF107" s="389" t="s">
        <v>471</v>
      </c>
      <c r="BG107" s="388" t="s">
        <v>338</v>
      </c>
      <c r="BH107" s="390" t="s">
        <v>398</v>
      </c>
      <c r="BI107" s="43"/>
      <c r="BJ107" s="386"/>
      <c r="BK107" s="387"/>
      <c r="BL107" s="388"/>
      <c r="BM107" s="389"/>
      <c r="BN107" s="375"/>
      <c r="BO107" s="374"/>
      <c r="BP107" s="375"/>
      <c r="BQ107" s="374"/>
      <c r="BR107" s="414"/>
      <c r="BS107" s="391"/>
      <c r="BT107" s="390"/>
      <c r="BU107" s="43"/>
      <c r="BV107" s="109"/>
      <c r="BW107" s="109"/>
      <c r="BX107" s="109"/>
      <c r="BY107" s="109"/>
      <c r="BZ107" s="109"/>
      <c r="CA107" s="109"/>
      <c r="CB107" s="109"/>
      <c r="CC107" s="109"/>
      <c r="CD107" s="109"/>
      <c r="CE107" s="109"/>
      <c r="CF107" s="109"/>
    </row>
    <row r="108">
      <c r="A108" s="3"/>
      <c r="B108" s="29">
        <v>3.0</v>
      </c>
      <c r="C108" s="29"/>
      <c r="D108" s="372"/>
      <c r="E108" s="109"/>
      <c r="F108" s="109"/>
      <c r="G108" s="417"/>
      <c r="H108" s="382"/>
      <c r="I108" s="109"/>
      <c r="J108" s="109"/>
      <c r="K108" s="372"/>
      <c r="L108" s="373"/>
      <c r="M108" s="3"/>
      <c r="N108" s="29">
        <v>3.0</v>
      </c>
      <c r="O108" s="29"/>
      <c r="P108" s="372"/>
      <c r="Q108" s="109"/>
      <c r="R108" s="373"/>
      <c r="S108" s="380"/>
      <c r="T108" s="380"/>
      <c r="U108" s="29"/>
      <c r="V108" s="109"/>
      <c r="W108" s="372"/>
      <c r="X108" s="373"/>
      <c r="Y108" s="3"/>
      <c r="Z108" s="29">
        <v>3.0</v>
      </c>
      <c r="AA108" s="29"/>
      <c r="AB108" s="242"/>
      <c r="AC108" s="109"/>
      <c r="AD108" s="373"/>
      <c r="AE108" s="380"/>
      <c r="AF108" s="393"/>
      <c r="AG108" s="378"/>
      <c r="AH108" s="109"/>
      <c r="AI108" s="372"/>
      <c r="AJ108" s="373"/>
      <c r="AK108" s="43"/>
      <c r="AL108" s="371">
        <v>5.0</v>
      </c>
      <c r="AM108" s="29" t="s">
        <v>328</v>
      </c>
      <c r="AN108" s="372" t="s">
        <v>338</v>
      </c>
      <c r="AO108" s="109" t="s">
        <v>332</v>
      </c>
      <c r="AP108" s="373" t="s">
        <v>318</v>
      </c>
      <c r="AQ108" s="380" t="s">
        <v>319</v>
      </c>
      <c r="AR108" s="393" t="s">
        <v>320</v>
      </c>
      <c r="AS108" s="109" t="s">
        <v>321</v>
      </c>
      <c r="AT108" s="109" t="s">
        <v>315</v>
      </c>
      <c r="AU108" s="372" t="s">
        <v>425</v>
      </c>
      <c r="AV108" s="379" t="s">
        <v>327</v>
      </c>
      <c r="AW108" s="43"/>
      <c r="AX108" s="383">
        <v>5.0</v>
      </c>
      <c r="AY108" s="376" t="s">
        <v>315</v>
      </c>
      <c r="AZ108" s="385" t="s">
        <v>336</v>
      </c>
      <c r="BA108" s="378" t="s">
        <v>328</v>
      </c>
      <c r="BB108" s="379" t="s">
        <v>318</v>
      </c>
      <c r="BC108" s="381" t="s">
        <v>320</v>
      </c>
      <c r="BD108" s="382" t="s">
        <v>319</v>
      </c>
      <c r="BE108" s="378" t="s">
        <v>321</v>
      </c>
      <c r="BF108" s="378" t="s">
        <v>374</v>
      </c>
      <c r="BG108" s="377" t="s">
        <v>326</v>
      </c>
      <c r="BH108" s="379" t="s">
        <v>327</v>
      </c>
      <c r="BI108" s="43"/>
      <c r="BJ108" s="29">
        <v>5.0</v>
      </c>
      <c r="BK108" s="29"/>
      <c r="BL108" s="372"/>
      <c r="BM108" s="109"/>
      <c r="BN108" s="373"/>
      <c r="BO108" s="380"/>
      <c r="BP108" s="393"/>
      <c r="BQ108" s="109"/>
      <c r="BR108" s="410"/>
      <c r="BS108" s="242"/>
      <c r="BT108" s="373"/>
      <c r="BU108" s="43"/>
      <c r="BV108" s="109"/>
      <c r="BW108" s="109"/>
      <c r="BX108" s="109"/>
      <c r="BY108" s="109"/>
      <c r="BZ108" s="109"/>
      <c r="CA108" s="109"/>
      <c r="CB108" s="109"/>
      <c r="CC108" s="109"/>
      <c r="CD108" s="109"/>
      <c r="CE108" s="109"/>
      <c r="CF108" s="109"/>
    </row>
    <row r="109">
      <c r="A109" s="3"/>
      <c r="B109" s="55"/>
      <c r="C109" s="29"/>
      <c r="D109" s="372"/>
      <c r="E109" s="109"/>
      <c r="G109" s="55"/>
      <c r="H109" s="92"/>
      <c r="J109" s="109"/>
      <c r="K109" s="372"/>
      <c r="L109" s="373"/>
      <c r="M109" s="3"/>
      <c r="N109" s="55"/>
      <c r="O109" s="29"/>
      <c r="P109" s="372"/>
      <c r="Q109" s="109"/>
      <c r="R109" s="92"/>
      <c r="U109" s="55"/>
      <c r="V109" s="109"/>
      <c r="W109" s="372"/>
      <c r="X109" s="373"/>
      <c r="Y109" s="3"/>
      <c r="Z109" s="55"/>
      <c r="AA109" s="29"/>
      <c r="AB109" s="242"/>
      <c r="AC109" s="109"/>
      <c r="AD109" s="92"/>
      <c r="AF109" s="92"/>
      <c r="AH109" s="109"/>
      <c r="AI109" s="372"/>
      <c r="AJ109" s="373"/>
      <c r="AK109" s="43"/>
      <c r="AL109" s="66"/>
      <c r="AM109" s="29" t="s">
        <v>317</v>
      </c>
      <c r="AN109" s="372" t="s">
        <v>330</v>
      </c>
      <c r="AO109" s="109" t="s">
        <v>413</v>
      </c>
      <c r="AP109" s="92"/>
      <c r="AR109" s="92"/>
      <c r="AT109" s="109" t="s">
        <v>382</v>
      </c>
      <c r="AU109" s="372" t="s">
        <v>430</v>
      </c>
      <c r="AV109" s="373" t="s">
        <v>334</v>
      </c>
      <c r="AW109" s="43"/>
      <c r="AX109" s="66"/>
      <c r="AY109" s="29" t="s">
        <v>331</v>
      </c>
      <c r="AZ109" s="240" t="s">
        <v>366</v>
      </c>
      <c r="BA109" s="109" t="s">
        <v>357</v>
      </c>
      <c r="BB109" s="92"/>
      <c r="BD109" s="92"/>
      <c r="BF109" s="109" t="s">
        <v>324</v>
      </c>
      <c r="BG109" s="372" t="s">
        <v>338</v>
      </c>
      <c r="BH109" s="373" t="s">
        <v>342</v>
      </c>
      <c r="BI109" s="43"/>
      <c r="BJ109" s="55"/>
      <c r="BK109" s="29"/>
      <c r="BL109" s="372"/>
      <c r="BM109" s="109"/>
      <c r="BN109" s="92"/>
      <c r="BP109" s="92"/>
      <c r="BR109" s="410"/>
      <c r="BS109" s="242"/>
      <c r="BT109" s="373"/>
      <c r="BU109" s="43"/>
      <c r="BV109" s="109"/>
      <c r="BW109" s="109"/>
      <c r="BX109" s="109"/>
      <c r="BY109" s="109"/>
      <c r="BZ109" s="109"/>
      <c r="CA109" s="109"/>
      <c r="CB109" s="109"/>
      <c r="CC109" s="109"/>
      <c r="CD109" s="109"/>
      <c r="CE109" s="109"/>
      <c r="CF109" s="109"/>
    </row>
    <row r="110">
      <c r="A110" s="3"/>
      <c r="B110" s="55"/>
      <c r="C110" s="29"/>
      <c r="D110" s="372"/>
      <c r="E110" s="109"/>
      <c r="G110" s="55"/>
      <c r="H110" s="92"/>
      <c r="J110" s="109"/>
      <c r="K110" s="372"/>
      <c r="L110" s="373"/>
      <c r="M110" s="3"/>
      <c r="N110" s="55"/>
      <c r="O110" s="29"/>
      <c r="P110" s="372"/>
      <c r="Q110" s="109"/>
      <c r="R110" s="92"/>
      <c r="U110" s="55"/>
      <c r="V110" s="109"/>
      <c r="W110" s="372"/>
      <c r="X110" s="373"/>
      <c r="Y110" s="3"/>
      <c r="Z110" s="55"/>
      <c r="AA110" s="29"/>
      <c r="AB110" s="242"/>
      <c r="AC110" s="109"/>
      <c r="AD110" s="92"/>
      <c r="AF110" s="92"/>
      <c r="AH110" s="109"/>
      <c r="AI110" s="372"/>
      <c r="AJ110" s="373"/>
      <c r="AK110" s="43"/>
      <c r="AL110" s="66"/>
      <c r="AM110" s="29" t="s">
        <v>342</v>
      </c>
      <c r="AN110" s="372" t="s">
        <v>326</v>
      </c>
      <c r="AO110" s="109" t="s">
        <v>391</v>
      </c>
      <c r="AP110" s="92"/>
      <c r="AR110" s="92"/>
      <c r="AT110" s="109" t="s">
        <v>384</v>
      </c>
      <c r="AU110" s="372" t="s">
        <v>421</v>
      </c>
      <c r="AV110" s="373" t="s">
        <v>341</v>
      </c>
      <c r="AW110" s="43"/>
      <c r="AX110" s="66"/>
      <c r="AY110" s="29" t="s">
        <v>317</v>
      </c>
      <c r="AZ110" s="240" t="s">
        <v>394</v>
      </c>
      <c r="BA110" s="109" t="s">
        <v>352</v>
      </c>
      <c r="BB110" s="92"/>
      <c r="BD110" s="92"/>
      <c r="BF110" s="109" t="s">
        <v>346</v>
      </c>
      <c r="BG110" s="372" t="s">
        <v>378</v>
      </c>
      <c r="BH110" s="373" t="s">
        <v>341</v>
      </c>
      <c r="BI110" s="43"/>
      <c r="BJ110" s="55"/>
      <c r="BK110" s="29"/>
      <c r="BL110" s="372"/>
      <c r="BM110" s="109"/>
      <c r="BN110" s="92"/>
      <c r="BP110" s="92"/>
      <c r="BR110" s="410"/>
      <c r="BS110" s="242"/>
      <c r="BT110" s="373"/>
      <c r="BU110" s="43"/>
      <c r="BV110" s="109"/>
      <c r="BW110" s="109"/>
      <c r="BX110" s="109"/>
      <c r="BY110" s="109"/>
      <c r="BZ110" s="109"/>
      <c r="CA110" s="109"/>
      <c r="CB110" s="109"/>
      <c r="CC110" s="109"/>
      <c r="CD110" s="109"/>
      <c r="CE110" s="109"/>
      <c r="CF110" s="109"/>
    </row>
    <row r="111">
      <c r="A111" s="3"/>
      <c r="B111" s="55"/>
      <c r="C111" s="29"/>
      <c r="D111" s="372"/>
      <c r="E111" s="109"/>
      <c r="G111" s="55"/>
      <c r="H111" s="92"/>
      <c r="J111" s="109"/>
      <c r="K111" s="372"/>
      <c r="L111" s="373"/>
      <c r="M111" s="3"/>
      <c r="N111" s="55"/>
      <c r="O111" s="29"/>
      <c r="P111" s="372"/>
      <c r="Q111" s="109"/>
      <c r="R111" s="92"/>
      <c r="U111" s="55"/>
      <c r="V111" s="109"/>
      <c r="W111" s="372"/>
      <c r="X111" s="373"/>
      <c r="Y111" s="3"/>
      <c r="Z111" s="55"/>
      <c r="AA111" s="29"/>
      <c r="AB111" s="242"/>
      <c r="AC111" s="109"/>
      <c r="AD111" s="92"/>
      <c r="AF111" s="92"/>
      <c r="AH111" s="109"/>
      <c r="AI111" s="372"/>
      <c r="AJ111" s="373"/>
      <c r="AK111" s="43"/>
      <c r="AL111" s="66"/>
      <c r="AM111" s="29" t="s">
        <v>392</v>
      </c>
      <c r="AN111" s="372" t="s">
        <v>349</v>
      </c>
      <c r="AO111" s="109" t="s">
        <v>377</v>
      </c>
      <c r="AP111" s="92"/>
      <c r="AR111" s="92"/>
      <c r="AT111" s="109" t="s">
        <v>387</v>
      </c>
      <c r="AU111" s="372" t="s">
        <v>435</v>
      </c>
      <c r="AV111" s="373" t="s">
        <v>380</v>
      </c>
      <c r="AW111" s="43"/>
      <c r="AX111" s="66"/>
      <c r="AY111" s="29" t="s">
        <v>379</v>
      </c>
      <c r="AZ111" s="240" t="s">
        <v>353</v>
      </c>
      <c r="BA111" s="109" t="s">
        <v>470</v>
      </c>
      <c r="BB111" s="92"/>
      <c r="BD111" s="92"/>
      <c r="BF111" s="109" t="s">
        <v>377</v>
      </c>
      <c r="BG111" s="372" t="s">
        <v>349</v>
      </c>
      <c r="BH111" s="373" t="s">
        <v>368</v>
      </c>
      <c r="BI111" s="43"/>
      <c r="BJ111" s="55"/>
      <c r="BK111" s="29"/>
      <c r="BL111" s="372"/>
      <c r="BM111" s="109"/>
      <c r="BN111" s="92"/>
      <c r="BP111" s="92"/>
      <c r="BR111" s="410"/>
      <c r="BS111" s="242"/>
      <c r="BT111" s="373"/>
      <c r="BU111" s="43"/>
      <c r="BV111" s="109"/>
      <c r="BW111" s="109"/>
      <c r="BX111" s="109"/>
      <c r="BY111" s="109"/>
      <c r="BZ111" s="109"/>
      <c r="CA111" s="109"/>
      <c r="CB111" s="109"/>
      <c r="CC111" s="109"/>
      <c r="CD111" s="109"/>
      <c r="CE111" s="109"/>
      <c r="CF111" s="109"/>
    </row>
    <row r="112">
      <c r="A112" s="3"/>
      <c r="B112" s="61"/>
      <c r="C112" s="394"/>
      <c r="D112" s="395"/>
      <c r="E112" s="132"/>
      <c r="F112" s="22"/>
      <c r="G112" s="61"/>
      <c r="H112" s="93"/>
      <c r="I112" s="22"/>
      <c r="J112" s="132"/>
      <c r="K112" s="395"/>
      <c r="L112" s="396"/>
      <c r="M112" s="3"/>
      <c r="N112" s="61"/>
      <c r="O112" s="394"/>
      <c r="P112" s="395"/>
      <c r="Q112" s="132"/>
      <c r="R112" s="93"/>
      <c r="U112" s="61"/>
      <c r="V112" s="132"/>
      <c r="W112" s="395"/>
      <c r="X112" s="396"/>
      <c r="Y112" s="3"/>
      <c r="Z112" s="61"/>
      <c r="AA112" s="394"/>
      <c r="AB112" s="254"/>
      <c r="AC112" s="132"/>
      <c r="AD112" s="93"/>
      <c r="AF112" s="92"/>
      <c r="AG112" s="22"/>
      <c r="AH112" s="132"/>
      <c r="AI112" s="395"/>
      <c r="AJ112" s="396"/>
      <c r="AK112" s="43"/>
      <c r="AL112" s="94"/>
      <c r="AM112" s="394" t="s">
        <v>411</v>
      </c>
      <c r="AN112" s="395" t="s">
        <v>378</v>
      </c>
      <c r="AO112" s="132" t="s">
        <v>337</v>
      </c>
      <c r="AP112" s="93"/>
      <c r="AQ112" s="22"/>
      <c r="AR112" s="93"/>
      <c r="AS112" s="22"/>
      <c r="AT112" s="132" t="s">
        <v>403</v>
      </c>
      <c r="AU112" s="395" t="s">
        <v>441</v>
      </c>
      <c r="AV112" s="396" t="s">
        <v>346</v>
      </c>
      <c r="AW112" s="43"/>
      <c r="AX112" s="134"/>
      <c r="AY112" s="387" t="s">
        <v>375</v>
      </c>
      <c r="AZ112" s="392" t="s">
        <v>383</v>
      </c>
      <c r="BA112" s="389" t="s">
        <v>398</v>
      </c>
      <c r="BB112" s="375"/>
      <c r="BC112" s="374"/>
      <c r="BD112" s="375"/>
      <c r="BE112" s="374"/>
      <c r="BF112" s="389" t="s">
        <v>334</v>
      </c>
      <c r="BG112" s="388" t="s">
        <v>330</v>
      </c>
      <c r="BH112" s="390" t="s">
        <v>434</v>
      </c>
      <c r="BI112" s="43"/>
      <c r="BJ112" s="61"/>
      <c r="BK112" s="394"/>
      <c r="BL112" s="395"/>
      <c r="BM112" s="132"/>
      <c r="BN112" s="93"/>
      <c r="BO112" s="22"/>
      <c r="BP112" s="93"/>
      <c r="BQ112" s="22"/>
      <c r="BR112" s="418"/>
      <c r="BS112" s="254"/>
      <c r="BT112" s="396"/>
      <c r="BU112" s="43"/>
      <c r="BV112" s="109"/>
      <c r="BW112" s="109"/>
      <c r="BX112" s="109"/>
      <c r="BY112" s="109"/>
      <c r="BZ112" s="109"/>
      <c r="CA112" s="109"/>
      <c r="CB112" s="109"/>
      <c r="CC112" s="109"/>
      <c r="CD112" s="109"/>
      <c r="CE112" s="109"/>
      <c r="CF112" s="109"/>
    </row>
    <row r="113">
      <c r="A113" s="3"/>
      <c r="B113" s="397"/>
      <c r="C113" s="397"/>
      <c r="D113" s="397"/>
      <c r="E113" s="397"/>
      <c r="F113" s="398"/>
      <c r="G113" s="419">
        <f t="shared" ref="G113:H113" si="11">COUNTIF(G98:G112, "W")</f>
        <v>0</v>
      </c>
      <c r="H113" s="420">
        <f t="shared" si="11"/>
        <v>2</v>
      </c>
      <c r="I113" s="398"/>
      <c r="J113" s="397"/>
      <c r="K113" s="397"/>
      <c r="L113" s="397"/>
      <c r="M113" s="3"/>
      <c r="N113" s="397"/>
      <c r="O113" s="397"/>
      <c r="P113" s="397"/>
      <c r="Q113" s="397"/>
      <c r="R113" s="398"/>
      <c r="S113" s="399">
        <f t="shared" ref="S113:T113" si="12">COUNTIF(S98:S112, "W")</f>
        <v>0</v>
      </c>
      <c r="T113" s="400">
        <f t="shared" si="12"/>
        <v>2</v>
      </c>
      <c r="U113" s="398"/>
      <c r="V113" s="397"/>
      <c r="W113" s="397"/>
      <c r="X113" s="397"/>
      <c r="Y113" s="3"/>
      <c r="Z113" s="397"/>
      <c r="AA113" s="397"/>
      <c r="AB113" s="397"/>
      <c r="AC113" s="397"/>
      <c r="AD113" s="398"/>
      <c r="AE113" s="399">
        <f t="shared" ref="AE113:AF113" si="13">COUNTIF(AE98:AE112, "W")</f>
        <v>2</v>
      </c>
      <c r="AF113" s="400">
        <f t="shared" si="13"/>
        <v>0</v>
      </c>
      <c r="AG113" s="398"/>
      <c r="AH113" s="397"/>
      <c r="AI113" s="397"/>
      <c r="AJ113" s="397"/>
      <c r="AK113" s="397"/>
      <c r="AL113" s="397"/>
      <c r="AM113" s="397"/>
      <c r="AN113" s="397"/>
      <c r="AO113" s="397"/>
      <c r="AP113" s="398"/>
      <c r="AQ113" s="399">
        <f t="shared" ref="AQ113:AR113" si="14">COUNTIF(AQ88:AQ112, "W")</f>
        <v>3</v>
      </c>
      <c r="AR113" s="400">
        <f t="shared" si="14"/>
        <v>2</v>
      </c>
      <c r="AS113" s="398"/>
      <c r="AT113" s="397"/>
      <c r="AU113" s="397"/>
      <c r="AV113" s="397"/>
      <c r="AW113" s="397"/>
      <c r="AX113" s="383">
        <v>6.0</v>
      </c>
      <c r="AY113" s="376" t="s">
        <v>334</v>
      </c>
      <c r="AZ113" s="385" t="s">
        <v>383</v>
      </c>
      <c r="BA113" s="378" t="s">
        <v>324</v>
      </c>
      <c r="BB113" s="379" t="s">
        <v>318</v>
      </c>
      <c r="BC113" s="381" t="s">
        <v>320</v>
      </c>
      <c r="BD113" s="382" t="s">
        <v>319</v>
      </c>
      <c r="BE113" s="378" t="s">
        <v>321</v>
      </c>
      <c r="BF113" s="378" t="s">
        <v>341</v>
      </c>
      <c r="BG113" s="377" t="s">
        <v>326</v>
      </c>
      <c r="BH113" s="379" t="s">
        <v>342</v>
      </c>
      <c r="BI113" s="397"/>
      <c r="BJ113" s="397"/>
      <c r="BK113" s="397"/>
      <c r="BL113" s="397"/>
      <c r="BM113" s="397"/>
      <c r="BN113" s="398"/>
      <c r="BO113" s="399">
        <f t="shared" ref="BO113:BP113" si="15">COUNTIF(BO88:BO112, "W")</f>
        <v>3</v>
      </c>
      <c r="BP113" s="400">
        <f t="shared" si="15"/>
        <v>0</v>
      </c>
      <c r="BQ113" s="398"/>
      <c r="BR113" s="397"/>
      <c r="BS113" s="397"/>
      <c r="BT113" s="397"/>
      <c r="BU113" s="397"/>
      <c r="BV113" s="397"/>
      <c r="BW113" s="397"/>
      <c r="BX113" s="397"/>
      <c r="BY113" s="397"/>
      <c r="BZ113" s="397"/>
      <c r="CA113" s="397"/>
      <c r="CB113" s="397"/>
      <c r="CC113" s="397"/>
      <c r="CD113" s="397"/>
      <c r="CE113" s="397"/>
      <c r="CF113" s="397"/>
    </row>
    <row r="114">
      <c r="A114" s="3"/>
      <c r="B114" s="412"/>
      <c r="C114" s="412"/>
      <c r="D114" s="412"/>
      <c r="E114" s="412"/>
      <c r="F114" s="412"/>
      <c r="G114" s="412"/>
      <c r="H114" s="412"/>
      <c r="I114" s="412"/>
      <c r="J114" s="412"/>
      <c r="K114" s="412"/>
      <c r="L114" s="412"/>
      <c r="M114" s="3"/>
      <c r="N114" s="412"/>
      <c r="O114" s="412"/>
      <c r="P114" s="412"/>
      <c r="Q114" s="412"/>
      <c r="R114" s="412"/>
      <c r="S114" s="412"/>
      <c r="T114" s="412"/>
      <c r="U114" s="412"/>
      <c r="V114" s="412"/>
      <c r="W114" s="412"/>
      <c r="X114" s="412"/>
      <c r="Y114" s="3"/>
      <c r="Z114" s="412"/>
      <c r="AA114" s="412"/>
      <c r="AB114" s="412"/>
      <c r="AC114" s="412"/>
      <c r="AD114" s="412"/>
      <c r="AE114" s="412"/>
      <c r="AF114" s="412"/>
      <c r="AG114" s="412"/>
      <c r="AH114" s="412"/>
      <c r="AI114" s="412"/>
      <c r="AJ114" s="412"/>
      <c r="AK114" s="412"/>
      <c r="AL114" s="412"/>
      <c r="AM114" s="412"/>
      <c r="AN114" s="412"/>
      <c r="AO114" s="412"/>
      <c r="AP114" s="412"/>
      <c r="AQ114" s="412"/>
      <c r="AR114" s="412"/>
      <c r="AS114" s="412"/>
      <c r="AT114" s="412"/>
      <c r="AU114" s="412"/>
      <c r="AV114" s="412"/>
      <c r="AW114" s="412"/>
      <c r="AX114" s="66"/>
      <c r="AY114" s="29" t="s">
        <v>317</v>
      </c>
      <c r="AZ114" s="240" t="s">
        <v>353</v>
      </c>
      <c r="BA114" s="109" t="s">
        <v>374</v>
      </c>
      <c r="BB114" s="92"/>
      <c r="BD114" s="92"/>
      <c r="BF114" s="109" t="s">
        <v>346</v>
      </c>
      <c r="BG114" s="372" t="s">
        <v>378</v>
      </c>
      <c r="BH114" s="373" t="s">
        <v>327</v>
      </c>
      <c r="BI114" s="412"/>
      <c r="BJ114" s="43"/>
      <c r="BK114" s="43"/>
      <c r="BL114" s="43"/>
      <c r="BM114" s="43"/>
      <c r="BN114" s="43"/>
      <c r="BO114" s="43"/>
      <c r="BP114" s="43"/>
      <c r="BQ114" s="43"/>
      <c r="BR114" s="43"/>
      <c r="BS114" s="43"/>
      <c r="BT114" s="43"/>
      <c r="BU114" s="412"/>
      <c r="BV114" s="412"/>
      <c r="BW114" s="412"/>
      <c r="BX114" s="412"/>
      <c r="BY114" s="412"/>
      <c r="BZ114" s="412"/>
      <c r="CA114" s="412"/>
      <c r="CB114" s="412"/>
      <c r="CC114" s="412"/>
      <c r="CD114" s="412"/>
      <c r="CE114" s="412"/>
      <c r="CF114" s="412"/>
    </row>
    <row r="115">
      <c r="A115" s="3"/>
      <c r="B115" s="351" t="str">
        <f>'Schedule | CQ + Playoffs'!E7</f>
        <v>INVISION</v>
      </c>
      <c r="C115" s="8"/>
      <c r="D115" s="8"/>
      <c r="E115" s="8"/>
      <c r="F115" s="8"/>
      <c r="G115" s="351" t="str">
        <f>'Schedule | CQ + Playoffs'!K7</f>
        <v>Match 4</v>
      </c>
      <c r="H115" s="68"/>
      <c r="I115" s="421" t="str">
        <f>'Schedule | CQ + Playoffs'!I7</f>
        <v>Aterion Esports</v>
      </c>
      <c r="J115" s="8"/>
      <c r="K115" s="8"/>
      <c r="L115" s="68"/>
      <c r="M115" s="3"/>
      <c r="N115" s="351" t="str">
        <f>'Schedule | CQ + Playoffs'!E13</f>
        <v>Aura Farmers</v>
      </c>
      <c r="O115" s="8"/>
      <c r="P115" s="8"/>
      <c r="Q115" s="8"/>
      <c r="R115" s="8"/>
      <c r="S115" s="351" t="str">
        <f>'Schedule | CQ + Playoffs'!K13</f>
        <v>Match 8</v>
      </c>
      <c r="T115" s="68"/>
      <c r="U115" s="421" t="str">
        <f>'Schedule | CQ + Playoffs'!I13</f>
        <v>Aterion Esports</v>
      </c>
      <c r="V115" s="8"/>
      <c r="W115" s="8"/>
      <c r="X115" s="68"/>
      <c r="Y115" s="3"/>
      <c r="Z115" s="351" t="str">
        <f>'Schedule | CQ + Playoffs'!E19</f>
        <v>Team Yandex</v>
      </c>
      <c r="AA115" s="8"/>
      <c r="AB115" s="8"/>
      <c r="AC115" s="8"/>
      <c r="AD115" s="8"/>
      <c r="AE115" s="351" t="str">
        <f>'Schedule | CQ + Playoffs'!AJ7</f>
        <v/>
      </c>
      <c r="AF115" s="68"/>
      <c r="AG115" s="421" t="str">
        <f>'Schedule | CQ + Playoffs'!I19</f>
        <v>Omnix</v>
      </c>
      <c r="AH115" s="8"/>
      <c r="AI115" s="8"/>
      <c r="AJ115" s="68"/>
      <c r="AK115" s="422"/>
      <c r="AL115" s="351" t="s">
        <v>472</v>
      </c>
      <c r="AM115" s="8"/>
      <c r="AN115" s="8"/>
      <c r="AO115" s="8"/>
      <c r="AP115" s="68"/>
      <c r="AQ115" s="351" t="str">
        <f>'Schedule | CQ + Playoffs'!AV75</f>
        <v/>
      </c>
      <c r="AR115" s="68"/>
      <c r="AS115" s="352" t="s">
        <v>306</v>
      </c>
      <c r="AT115" s="8"/>
      <c r="AU115" s="8"/>
      <c r="AV115" s="68"/>
      <c r="AW115" s="422"/>
      <c r="AX115" s="66"/>
      <c r="AY115" s="29" t="s">
        <v>315</v>
      </c>
      <c r="AZ115" s="240" t="s">
        <v>336</v>
      </c>
      <c r="BA115" s="109" t="s">
        <v>328</v>
      </c>
      <c r="BB115" s="92"/>
      <c r="BD115" s="92"/>
      <c r="BF115" s="109" t="s">
        <v>377</v>
      </c>
      <c r="BG115" s="372" t="s">
        <v>349</v>
      </c>
      <c r="BH115" s="373" t="s">
        <v>331</v>
      </c>
      <c r="BI115" s="422"/>
      <c r="BJ115" s="354" t="str">
        <f>'Schedule | CQ + Playoffs'!M6</f>
        <v>Team Spirit</v>
      </c>
      <c r="BK115" s="8"/>
      <c r="BL115" s="8"/>
      <c r="BM115" s="8"/>
      <c r="BN115" s="68"/>
      <c r="BO115" s="351" t="str">
        <f>'Schedule | CQ + Playoffs'!T6</f>
        <v>Match 3</v>
      </c>
      <c r="BP115" s="68"/>
      <c r="BQ115" s="406" t="str">
        <f>'Schedule | CQ + Playoffs'!Q6</f>
        <v>Verso Time</v>
      </c>
      <c r="BR115" s="8"/>
      <c r="BS115" s="8"/>
      <c r="BT115" s="68"/>
      <c r="BU115" s="422"/>
      <c r="BV115" s="423"/>
      <c r="BW115" s="423"/>
      <c r="BX115" s="423"/>
      <c r="BY115" s="423"/>
      <c r="BZ115" s="423"/>
      <c r="CA115" s="423"/>
      <c r="CB115" s="423"/>
      <c r="CC115" s="423"/>
      <c r="CD115" s="423"/>
      <c r="CE115" s="423"/>
      <c r="CF115" s="423"/>
    </row>
    <row r="116">
      <c r="A116" s="3"/>
      <c r="B116" s="61"/>
      <c r="C116" s="22"/>
      <c r="D116" s="22"/>
      <c r="E116" s="22"/>
      <c r="F116" s="22"/>
      <c r="G116" s="61"/>
      <c r="H116" s="93"/>
      <c r="I116" s="22"/>
      <c r="J116" s="22"/>
      <c r="K116" s="22"/>
      <c r="L116" s="93"/>
      <c r="M116" s="3"/>
      <c r="N116" s="61"/>
      <c r="O116" s="22"/>
      <c r="P116" s="22"/>
      <c r="Q116" s="22"/>
      <c r="R116" s="22"/>
      <c r="S116" s="61"/>
      <c r="T116" s="93"/>
      <c r="U116" s="22"/>
      <c r="V116" s="22"/>
      <c r="W116" s="22"/>
      <c r="X116" s="93"/>
      <c r="Y116" s="3"/>
      <c r="Z116" s="61"/>
      <c r="AA116" s="22"/>
      <c r="AB116" s="22"/>
      <c r="AC116" s="22"/>
      <c r="AD116" s="22"/>
      <c r="AE116" s="61"/>
      <c r="AF116" s="93"/>
      <c r="AG116" s="22"/>
      <c r="AH116" s="22"/>
      <c r="AI116" s="22"/>
      <c r="AJ116" s="93"/>
      <c r="AK116" s="422"/>
      <c r="AL116" s="61"/>
      <c r="AM116" s="22"/>
      <c r="AN116" s="22"/>
      <c r="AO116" s="22"/>
      <c r="AP116" s="93"/>
      <c r="AQ116" s="61"/>
      <c r="AR116" s="93"/>
      <c r="AS116" s="61"/>
      <c r="AT116" s="22"/>
      <c r="AU116" s="22"/>
      <c r="AV116" s="93"/>
      <c r="AW116" s="422"/>
      <c r="AX116" s="66"/>
      <c r="AY116" s="29" t="s">
        <v>322</v>
      </c>
      <c r="AZ116" s="240" t="s">
        <v>366</v>
      </c>
      <c r="BA116" s="109" t="s">
        <v>412</v>
      </c>
      <c r="BB116" s="92"/>
      <c r="BD116" s="92"/>
      <c r="BF116" s="109" t="s">
        <v>343</v>
      </c>
      <c r="BG116" s="372" t="s">
        <v>330</v>
      </c>
      <c r="BH116" s="373" t="s">
        <v>325</v>
      </c>
      <c r="BI116" s="422"/>
      <c r="BJ116" s="61"/>
      <c r="BK116" s="22"/>
      <c r="BL116" s="22"/>
      <c r="BM116" s="22"/>
      <c r="BN116" s="93"/>
      <c r="BO116" s="61"/>
      <c r="BP116" s="93"/>
      <c r="BQ116" s="61"/>
      <c r="BR116" s="22"/>
      <c r="BS116" s="22"/>
      <c r="BT116" s="93"/>
      <c r="BU116" s="422"/>
      <c r="BV116" s="423"/>
      <c r="BW116" s="423"/>
      <c r="BX116" s="423"/>
      <c r="BY116" s="423"/>
      <c r="BZ116" s="423"/>
      <c r="CA116" s="423"/>
      <c r="CB116" s="423"/>
      <c r="CC116" s="423"/>
      <c r="CD116" s="423"/>
      <c r="CE116" s="423"/>
      <c r="CF116" s="423"/>
    </row>
    <row r="117">
      <c r="A117" s="3"/>
      <c r="B117" s="356" t="s">
        <v>307</v>
      </c>
      <c r="C117" s="357" t="s">
        <v>308</v>
      </c>
      <c r="D117" s="358" t="s">
        <v>309</v>
      </c>
      <c r="E117" s="358" t="s">
        <v>310</v>
      </c>
      <c r="F117" s="359" t="s">
        <v>311</v>
      </c>
      <c r="G117" s="361" t="s">
        <v>259</v>
      </c>
      <c r="H117" s="68"/>
      <c r="I117" s="361" t="s">
        <v>311</v>
      </c>
      <c r="J117" s="358" t="s">
        <v>312</v>
      </c>
      <c r="K117" s="358" t="s">
        <v>313</v>
      </c>
      <c r="L117" s="362" t="s">
        <v>314</v>
      </c>
      <c r="M117" s="3"/>
      <c r="N117" s="356" t="s">
        <v>307</v>
      </c>
      <c r="O117" s="357" t="s">
        <v>308</v>
      </c>
      <c r="P117" s="358" t="s">
        <v>309</v>
      </c>
      <c r="Q117" s="358" t="s">
        <v>310</v>
      </c>
      <c r="R117" s="359" t="s">
        <v>311</v>
      </c>
      <c r="S117" s="360" t="s">
        <v>259</v>
      </c>
      <c r="T117" s="100"/>
      <c r="U117" s="361" t="s">
        <v>311</v>
      </c>
      <c r="V117" s="358" t="s">
        <v>312</v>
      </c>
      <c r="W117" s="358" t="s">
        <v>313</v>
      </c>
      <c r="X117" s="362" t="s">
        <v>314</v>
      </c>
      <c r="Y117" s="3"/>
      <c r="Z117" s="356" t="s">
        <v>307</v>
      </c>
      <c r="AA117" s="357" t="s">
        <v>308</v>
      </c>
      <c r="AB117" s="358" t="s">
        <v>309</v>
      </c>
      <c r="AC117" s="358" t="s">
        <v>310</v>
      </c>
      <c r="AD117" s="359" t="s">
        <v>311</v>
      </c>
      <c r="AE117" s="360" t="s">
        <v>259</v>
      </c>
      <c r="AF117" s="100"/>
      <c r="AG117" s="361" t="s">
        <v>311</v>
      </c>
      <c r="AH117" s="358" t="s">
        <v>312</v>
      </c>
      <c r="AI117" s="358" t="s">
        <v>313</v>
      </c>
      <c r="AJ117" s="362" t="s">
        <v>314</v>
      </c>
      <c r="AK117" s="367"/>
      <c r="AL117" s="356" t="s">
        <v>307</v>
      </c>
      <c r="AM117" s="365" t="s">
        <v>308</v>
      </c>
      <c r="AN117" s="358" t="s">
        <v>309</v>
      </c>
      <c r="AO117" s="363" t="s">
        <v>310</v>
      </c>
      <c r="AP117" s="366" t="s">
        <v>311</v>
      </c>
      <c r="AQ117" s="360" t="s">
        <v>259</v>
      </c>
      <c r="AR117" s="100"/>
      <c r="AS117" s="360" t="s">
        <v>311</v>
      </c>
      <c r="AT117" s="363" t="s">
        <v>312</v>
      </c>
      <c r="AU117" s="358" t="s">
        <v>313</v>
      </c>
      <c r="AV117" s="364" t="s">
        <v>314</v>
      </c>
      <c r="AW117" s="367"/>
      <c r="AX117" s="134"/>
      <c r="AY117" s="387" t="s">
        <v>332</v>
      </c>
      <c r="AZ117" s="392" t="s">
        <v>394</v>
      </c>
      <c r="BA117" s="389" t="s">
        <v>337</v>
      </c>
      <c r="BB117" s="375"/>
      <c r="BC117" s="374"/>
      <c r="BD117" s="375"/>
      <c r="BE117" s="374"/>
      <c r="BF117" s="389" t="s">
        <v>399</v>
      </c>
      <c r="BG117" s="388" t="s">
        <v>338</v>
      </c>
      <c r="BH117" s="390" t="s">
        <v>357</v>
      </c>
      <c r="BI117" s="367"/>
      <c r="BJ117" s="356" t="s">
        <v>307</v>
      </c>
      <c r="BK117" s="365" t="s">
        <v>308</v>
      </c>
      <c r="BL117" s="358" t="s">
        <v>309</v>
      </c>
      <c r="BM117" s="363" t="s">
        <v>310</v>
      </c>
      <c r="BN117" s="366" t="s">
        <v>311</v>
      </c>
      <c r="BO117" s="360" t="s">
        <v>259</v>
      </c>
      <c r="BP117" s="100"/>
      <c r="BQ117" s="360" t="s">
        <v>311</v>
      </c>
      <c r="BR117" s="363" t="s">
        <v>312</v>
      </c>
      <c r="BS117" s="358" t="s">
        <v>313</v>
      </c>
      <c r="BT117" s="364" t="s">
        <v>314</v>
      </c>
      <c r="BU117" s="367"/>
      <c r="BV117" s="405"/>
      <c r="BW117" s="405"/>
      <c r="BX117" s="405"/>
      <c r="BY117" s="405"/>
      <c r="BZ117" s="405"/>
      <c r="CA117" s="405"/>
      <c r="CB117" s="405"/>
      <c r="CC117" s="405"/>
      <c r="CD117" s="405"/>
      <c r="CE117" s="405"/>
      <c r="CF117" s="405"/>
    </row>
    <row r="118">
      <c r="A118" s="3"/>
      <c r="B118" s="29">
        <v>1.0</v>
      </c>
      <c r="C118" s="169" t="s">
        <v>337</v>
      </c>
      <c r="D118" s="368" t="s">
        <v>473</v>
      </c>
      <c r="E118" s="14" t="s">
        <v>382</v>
      </c>
      <c r="F118" s="14" t="s">
        <v>318</v>
      </c>
      <c r="G118" s="415" t="s">
        <v>319</v>
      </c>
      <c r="H118" s="370" t="s">
        <v>320</v>
      </c>
      <c r="I118" s="14" t="s">
        <v>321</v>
      </c>
      <c r="J118" s="14" t="s">
        <v>315</v>
      </c>
      <c r="K118" s="368" t="s">
        <v>474</v>
      </c>
      <c r="L118" s="171" t="s">
        <v>324</v>
      </c>
      <c r="M118" s="3"/>
      <c r="N118" s="29">
        <v>1.0</v>
      </c>
      <c r="O118" s="169" t="s">
        <v>331</v>
      </c>
      <c r="P118" s="368" t="s">
        <v>431</v>
      </c>
      <c r="Q118" s="14" t="s">
        <v>328</v>
      </c>
      <c r="R118" s="171" t="s">
        <v>318</v>
      </c>
      <c r="S118" s="369" t="s">
        <v>320</v>
      </c>
      <c r="T118" s="369" t="s">
        <v>319</v>
      </c>
      <c r="U118" s="169" t="s">
        <v>321</v>
      </c>
      <c r="V118" s="14" t="s">
        <v>368</v>
      </c>
      <c r="W118" s="368" t="s">
        <v>474</v>
      </c>
      <c r="X118" s="171" t="s">
        <v>324</v>
      </c>
      <c r="Y118" s="3"/>
      <c r="Z118" s="29">
        <v>1.0</v>
      </c>
      <c r="AA118" s="169" t="s">
        <v>331</v>
      </c>
      <c r="AB118" s="232" t="s">
        <v>366</v>
      </c>
      <c r="AC118" s="14" t="s">
        <v>325</v>
      </c>
      <c r="AD118" s="171" t="s">
        <v>318</v>
      </c>
      <c r="AE118" s="369" t="s">
        <v>320</v>
      </c>
      <c r="AF118" s="369" t="s">
        <v>319</v>
      </c>
      <c r="AG118" s="169" t="s">
        <v>321</v>
      </c>
      <c r="AH118" s="14" t="s">
        <v>332</v>
      </c>
      <c r="AI118" s="368" t="s">
        <v>430</v>
      </c>
      <c r="AJ118" s="171" t="s">
        <v>327</v>
      </c>
      <c r="AK118" s="43"/>
      <c r="AL118" s="371">
        <v>1.0</v>
      </c>
      <c r="AM118" s="169" t="s">
        <v>341</v>
      </c>
      <c r="AN118" s="368"/>
      <c r="AO118" s="14" t="s">
        <v>328</v>
      </c>
      <c r="AP118" s="171" t="s">
        <v>318</v>
      </c>
      <c r="AQ118" s="369" t="s">
        <v>319</v>
      </c>
      <c r="AR118" s="370" t="s">
        <v>320</v>
      </c>
      <c r="AS118" s="14" t="s">
        <v>321</v>
      </c>
      <c r="AT118" s="14" t="s">
        <v>342</v>
      </c>
      <c r="AU118" s="368" t="s">
        <v>350</v>
      </c>
      <c r="AV118" s="171" t="s">
        <v>334</v>
      </c>
      <c r="AW118" s="43"/>
      <c r="AX118" s="371">
        <v>7.0</v>
      </c>
      <c r="AY118" s="29"/>
      <c r="AZ118" s="385"/>
      <c r="BA118" s="109"/>
      <c r="BB118" s="373"/>
      <c r="BC118" s="380"/>
      <c r="BD118" s="393"/>
      <c r="BE118" s="109"/>
      <c r="BF118" s="109"/>
      <c r="BG118" s="372"/>
      <c r="BH118" s="373"/>
      <c r="BI118" s="43"/>
      <c r="BJ118" s="371">
        <v>1.0</v>
      </c>
      <c r="BK118" s="169" t="s">
        <v>374</v>
      </c>
      <c r="BL118" s="368" t="s">
        <v>386</v>
      </c>
      <c r="BM118" s="14" t="s">
        <v>328</v>
      </c>
      <c r="BN118" s="171" t="s">
        <v>318</v>
      </c>
      <c r="BO118" s="369" t="s">
        <v>320</v>
      </c>
      <c r="BP118" s="370" t="s">
        <v>319</v>
      </c>
      <c r="BQ118" s="14" t="s">
        <v>321</v>
      </c>
      <c r="BR118" s="14" t="s">
        <v>352</v>
      </c>
      <c r="BS118" s="368" t="s">
        <v>454</v>
      </c>
      <c r="BT118" s="171" t="s">
        <v>385</v>
      </c>
      <c r="BU118" s="43"/>
      <c r="BV118" s="109"/>
      <c r="BW118" s="109"/>
      <c r="BX118" s="109"/>
      <c r="BY118" s="109"/>
      <c r="BZ118" s="109"/>
      <c r="CA118" s="109"/>
      <c r="CB118" s="109"/>
      <c r="CC118" s="109"/>
      <c r="CD118" s="109"/>
      <c r="CE118" s="109"/>
      <c r="CF118" s="109"/>
    </row>
    <row r="119">
      <c r="A119" s="3"/>
      <c r="B119" s="55"/>
      <c r="C119" s="29" t="s">
        <v>341</v>
      </c>
      <c r="D119" s="372" t="s">
        <v>475</v>
      </c>
      <c r="E119" s="109" t="s">
        <v>400</v>
      </c>
      <c r="G119" s="55"/>
      <c r="H119" s="92"/>
      <c r="J119" s="109" t="s">
        <v>331</v>
      </c>
      <c r="K119" s="372" t="s">
        <v>476</v>
      </c>
      <c r="L119" s="373" t="s">
        <v>343</v>
      </c>
      <c r="M119" s="3"/>
      <c r="N119" s="55"/>
      <c r="O119" s="29" t="s">
        <v>315</v>
      </c>
      <c r="P119" s="372" t="s">
        <v>422</v>
      </c>
      <c r="Q119" s="109" t="s">
        <v>352</v>
      </c>
      <c r="R119" s="92"/>
      <c r="U119" s="55"/>
      <c r="V119" s="109" t="s">
        <v>412</v>
      </c>
      <c r="W119" s="372" t="s">
        <v>476</v>
      </c>
      <c r="X119" s="373" t="s">
        <v>334</v>
      </c>
      <c r="Y119" s="3"/>
      <c r="Z119" s="55"/>
      <c r="AA119" s="29" t="s">
        <v>315</v>
      </c>
      <c r="AB119" s="240" t="s">
        <v>394</v>
      </c>
      <c r="AC119" s="109" t="s">
        <v>352</v>
      </c>
      <c r="AD119" s="92"/>
      <c r="AG119" s="55"/>
      <c r="AH119" s="109" t="s">
        <v>328</v>
      </c>
      <c r="AI119" s="372" t="s">
        <v>421</v>
      </c>
      <c r="AJ119" s="373" t="s">
        <v>342</v>
      </c>
      <c r="AK119" s="43"/>
      <c r="AL119" s="66"/>
      <c r="AM119" s="29" t="s">
        <v>317</v>
      </c>
      <c r="AN119" s="372" t="s">
        <v>437</v>
      </c>
      <c r="AO119" s="109" t="s">
        <v>332</v>
      </c>
      <c r="AP119" s="92"/>
      <c r="AR119" s="92"/>
      <c r="AT119" s="109" t="s">
        <v>325</v>
      </c>
      <c r="AU119" s="372" t="s">
        <v>364</v>
      </c>
      <c r="AV119" s="373" t="s">
        <v>327</v>
      </c>
      <c r="AW119" s="43"/>
      <c r="AX119" s="66"/>
      <c r="AY119" s="29"/>
      <c r="AZ119" s="240"/>
      <c r="BA119" s="109"/>
      <c r="BB119" s="92"/>
      <c r="BD119" s="92"/>
      <c r="BF119" s="109"/>
      <c r="BG119" s="372"/>
      <c r="BH119" s="373"/>
      <c r="BI119" s="43"/>
      <c r="BJ119" s="66"/>
      <c r="BK119" s="29" t="s">
        <v>341</v>
      </c>
      <c r="BL119" s="372" t="s">
        <v>340</v>
      </c>
      <c r="BM119" s="109" t="s">
        <v>315</v>
      </c>
      <c r="BN119" s="92"/>
      <c r="BP119" s="92"/>
      <c r="BR119" s="109" t="s">
        <v>357</v>
      </c>
      <c r="BS119" s="372" t="s">
        <v>450</v>
      </c>
      <c r="BT119" s="373" t="s">
        <v>346</v>
      </c>
      <c r="BU119" s="43"/>
      <c r="BV119" s="109"/>
      <c r="BW119" s="109"/>
      <c r="BX119" s="109"/>
      <c r="BY119" s="109"/>
      <c r="BZ119" s="109"/>
      <c r="CA119" s="109"/>
      <c r="CB119" s="109"/>
      <c r="CC119" s="109"/>
      <c r="CD119" s="109"/>
      <c r="CE119" s="109"/>
      <c r="CF119" s="109"/>
    </row>
    <row r="120">
      <c r="A120" s="3"/>
      <c r="B120" s="55"/>
      <c r="C120" s="29" t="s">
        <v>317</v>
      </c>
      <c r="D120" s="372" t="s">
        <v>477</v>
      </c>
      <c r="E120" s="109" t="s">
        <v>373</v>
      </c>
      <c r="G120" s="55"/>
      <c r="H120" s="92"/>
      <c r="J120" s="109" t="s">
        <v>377</v>
      </c>
      <c r="K120" s="372" t="s">
        <v>478</v>
      </c>
      <c r="L120" s="373" t="s">
        <v>325</v>
      </c>
      <c r="M120" s="3"/>
      <c r="N120" s="55"/>
      <c r="O120" s="29" t="s">
        <v>341</v>
      </c>
      <c r="P120" s="372" t="s">
        <v>437</v>
      </c>
      <c r="Q120" s="109" t="s">
        <v>369</v>
      </c>
      <c r="R120" s="92"/>
      <c r="U120" s="55"/>
      <c r="V120" s="109" t="s">
        <v>327</v>
      </c>
      <c r="W120" s="372" t="s">
        <v>478</v>
      </c>
      <c r="X120" s="373" t="s">
        <v>342</v>
      </c>
      <c r="Y120" s="3"/>
      <c r="Z120" s="55"/>
      <c r="AA120" s="29" t="s">
        <v>324</v>
      </c>
      <c r="AB120" s="240" t="s">
        <v>353</v>
      </c>
      <c r="AC120" s="109" t="s">
        <v>341</v>
      </c>
      <c r="AD120" s="92"/>
      <c r="AG120" s="55"/>
      <c r="AH120" s="109" t="s">
        <v>354</v>
      </c>
      <c r="AI120" s="372" t="s">
        <v>425</v>
      </c>
      <c r="AJ120" s="373" t="s">
        <v>317</v>
      </c>
      <c r="AK120" s="43"/>
      <c r="AL120" s="66"/>
      <c r="AM120" s="29" t="s">
        <v>324</v>
      </c>
      <c r="AN120" s="372" t="s">
        <v>442</v>
      </c>
      <c r="AO120" s="109" t="s">
        <v>446</v>
      </c>
      <c r="AP120" s="92"/>
      <c r="AR120" s="92"/>
      <c r="AT120" s="109" t="s">
        <v>382</v>
      </c>
      <c r="AU120" s="372" t="s">
        <v>333</v>
      </c>
      <c r="AV120" s="373" t="s">
        <v>331</v>
      </c>
      <c r="AW120" s="43"/>
      <c r="AX120" s="66"/>
      <c r="AY120" s="29"/>
      <c r="AZ120" s="240"/>
      <c r="BA120" s="109"/>
      <c r="BB120" s="92"/>
      <c r="BD120" s="92"/>
      <c r="BF120" s="109"/>
      <c r="BG120" s="372"/>
      <c r="BH120" s="373"/>
      <c r="BI120" s="43"/>
      <c r="BJ120" s="66"/>
      <c r="BK120" s="29" t="s">
        <v>337</v>
      </c>
      <c r="BL120" s="372" t="s">
        <v>397</v>
      </c>
      <c r="BM120" s="109" t="s">
        <v>324</v>
      </c>
      <c r="BN120" s="92"/>
      <c r="BP120" s="92"/>
      <c r="BR120" s="109" t="s">
        <v>398</v>
      </c>
      <c r="BS120" s="372" t="s">
        <v>449</v>
      </c>
      <c r="BT120" s="373" t="s">
        <v>342</v>
      </c>
      <c r="BU120" s="43"/>
      <c r="BV120" s="109"/>
      <c r="BW120" s="109"/>
      <c r="BX120" s="109"/>
      <c r="BY120" s="109"/>
      <c r="BZ120" s="109"/>
      <c r="CA120" s="109"/>
      <c r="CB120" s="109"/>
      <c r="CC120" s="109"/>
      <c r="CD120" s="109"/>
      <c r="CE120" s="109"/>
      <c r="CF120" s="109"/>
    </row>
    <row r="121">
      <c r="A121" s="3"/>
      <c r="B121" s="55"/>
      <c r="C121" s="29" t="s">
        <v>346</v>
      </c>
      <c r="D121" s="372" t="s">
        <v>479</v>
      </c>
      <c r="E121" s="109" t="s">
        <v>384</v>
      </c>
      <c r="G121" s="55"/>
      <c r="H121" s="92"/>
      <c r="J121" s="109" t="s">
        <v>369</v>
      </c>
      <c r="K121" s="372" t="s">
        <v>480</v>
      </c>
      <c r="L121" s="373" t="s">
        <v>332</v>
      </c>
      <c r="M121" s="3"/>
      <c r="N121" s="55"/>
      <c r="O121" s="29" t="s">
        <v>346</v>
      </c>
      <c r="P121" s="372" t="s">
        <v>442</v>
      </c>
      <c r="Q121" s="109" t="s">
        <v>446</v>
      </c>
      <c r="R121" s="92"/>
      <c r="U121" s="55"/>
      <c r="V121" s="109" t="s">
        <v>445</v>
      </c>
      <c r="W121" s="372" t="s">
        <v>481</v>
      </c>
      <c r="X121" s="373" t="s">
        <v>325</v>
      </c>
      <c r="Y121" s="3"/>
      <c r="Z121" s="55"/>
      <c r="AA121" s="29" t="s">
        <v>379</v>
      </c>
      <c r="AB121" s="240" t="s">
        <v>336</v>
      </c>
      <c r="AC121" s="109" t="s">
        <v>401</v>
      </c>
      <c r="AD121" s="92"/>
      <c r="AG121" s="55"/>
      <c r="AH121" s="109" t="s">
        <v>436</v>
      </c>
      <c r="AI121" s="372" t="s">
        <v>435</v>
      </c>
      <c r="AJ121" s="373" t="s">
        <v>380</v>
      </c>
      <c r="AK121" s="43"/>
      <c r="AL121" s="66"/>
      <c r="AM121" s="29" t="s">
        <v>380</v>
      </c>
      <c r="AN121" s="372" t="s">
        <v>422</v>
      </c>
      <c r="AO121" s="109" t="s">
        <v>346</v>
      </c>
      <c r="AP121" s="92"/>
      <c r="AR121" s="92"/>
      <c r="AT121" s="109" t="s">
        <v>384</v>
      </c>
      <c r="AU121" s="372" t="s">
        <v>339</v>
      </c>
      <c r="AV121" s="373" t="s">
        <v>374</v>
      </c>
      <c r="AW121" s="43"/>
      <c r="AX121" s="66"/>
      <c r="AY121" s="29"/>
      <c r="AZ121" s="240"/>
      <c r="BA121" s="109"/>
      <c r="BB121" s="92"/>
      <c r="BD121" s="92"/>
      <c r="BF121" s="109"/>
      <c r="BG121" s="372"/>
      <c r="BH121" s="373"/>
      <c r="BI121" s="43"/>
      <c r="BJ121" s="66"/>
      <c r="BK121" s="29" t="s">
        <v>414</v>
      </c>
      <c r="BL121" s="372" t="s">
        <v>356</v>
      </c>
      <c r="BM121" s="109" t="s">
        <v>413</v>
      </c>
      <c r="BN121" s="92"/>
      <c r="BP121" s="92"/>
      <c r="BR121" s="109" t="s">
        <v>401</v>
      </c>
      <c r="BS121" s="372" t="s">
        <v>452</v>
      </c>
      <c r="BT121" s="373" t="s">
        <v>331</v>
      </c>
      <c r="BU121" s="43"/>
      <c r="BV121" s="109"/>
      <c r="BW121" s="109"/>
      <c r="BX121" s="109"/>
      <c r="BY121" s="109"/>
      <c r="BZ121" s="109"/>
      <c r="CA121" s="109"/>
      <c r="CB121" s="109"/>
      <c r="CC121" s="109"/>
      <c r="CD121" s="109"/>
      <c r="CE121" s="109"/>
      <c r="CF121" s="109"/>
    </row>
    <row r="122">
      <c r="A122" s="3"/>
      <c r="B122" s="55"/>
      <c r="C122" s="29" t="s">
        <v>387</v>
      </c>
      <c r="D122" s="372" t="s">
        <v>482</v>
      </c>
      <c r="E122" s="109" t="s">
        <v>342</v>
      </c>
      <c r="G122" s="55"/>
      <c r="H122" s="92"/>
      <c r="J122" s="109" t="s">
        <v>406</v>
      </c>
      <c r="K122" s="372" t="s">
        <v>481</v>
      </c>
      <c r="L122" s="373" t="s">
        <v>362</v>
      </c>
      <c r="M122" s="3"/>
      <c r="N122" s="55"/>
      <c r="O122" s="29" t="s">
        <v>405</v>
      </c>
      <c r="P122" s="372" t="s">
        <v>426</v>
      </c>
      <c r="Q122" s="109" t="s">
        <v>362</v>
      </c>
      <c r="R122" s="92"/>
      <c r="S122" s="374"/>
      <c r="T122" s="374"/>
      <c r="U122" s="55"/>
      <c r="V122" s="109" t="s">
        <v>382</v>
      </c>
      <c r="W122" s="372" t="s">
        <v>480</v>
      </c>
      <c r="X122" s="373" t="s">
        <v>348</v>
      </c>
      <c r="Y122" s="3"/>
      <c r="Z122" s="55"/>
      <c r="AA122" s="29" t="s">
        <v>385</v>
      </c>
      <c r="AB122" s="240" t="s">
        <v>383</v>
      </c>
      <c r="AC122" s="109" t="s">
        <v>322</v>
      </c>
      <c r="AD122" s="92"/>
      <c r="AE122" s="374"/>
      <c r="AF122" s="374"/>
      <c r="AG122" s="55"/>
      <c r="AH122" s="109" t="s">
        <v>413</v>
      </c>
      <c r="AI122" s="372" t="s">
        <v>441</v>
      </c>
      <c r="AJ122" s="373" t="s">
        <v>361</v>
      </c>
      <c r="AK122" s="43"/>
      <c r="AL122" s="66"/>
      <c r="AM122" s="29" t="s">
        <v>377</v>
      </c>
      <c r="AN122" s="372" t="s">
        <v>426</v>
      </c>
      <c r="AO122" s="109" t="s">
        <v>348</v>
      </c>
      <c r="AP122" s="92"/>
      <c r="AQ122" s="374"/>
      <c r="AR122" s="375"/>
      <c r="AS122" s="374"/>
      <c r="AT122" s="109" t="s">
        <v>391</v>
      </c>
      <c r="AU122" s="372" t="s">
        <v>355</v>
      </c>
      <c r="AV122" s="373" t="s">
        <v>337</v>
      </c>
      <c r="AW122" s="43"/>
      <c r="AX122" s="94"/>
      <c r="AY122" s="394"/>
      <c r="AZ122" s="252"/>
      <c r="BA122" s="132"/>
      <c r="BB122" s="93"/>
      <c r="BC122" s="22"/>
      <c r="BD122" s="93"/>
      <c r="BE122" s="22"/>
      <c r="BF122" s="132"/>
      <c r="BG122" s="395"/>
      <c r="BH122" s="396"/>
      <c r="BI122" s="43"/>
      <c r="BJ122" s="66"/>
      <c r="BK122" s="29" t="s">
        <v>380</v>
      </c>
      <c r="BL122" s="372" t="s">
        <v>367</v>
      </c>
      <c r="BM122" s="109" t="s">
        <v>405</v>
      </c>
      <c r="BN122" s="92"/>
      <c r="BO122" s="374"/>
      <c r="BP122" s="375"/>
      <c r="BQ122" s="374"/>
      <c r="BR122" s="109" t="s">
        <v>391</v>
      </c>
      <c r="BS122" s="372" t="s">
        <v>448</v>
      </c>
      <c r="BT122" s="373" t="s">
        <v>327</v>
      </c>
      <c r="BU122" s="43"/>
      <c r="BV122" s="109"/>
      <c r="BW122" s="109"/>
      <c r="BX122" s="109"/>
      <c r="BY122" s="109"/>
      <c r="BZ122" s="109"/>
      <c r="CA122" s="109"/>
      <c r="CB122" s="109"/>
      <c r="CC122" s="109"/>
      <c r="CD122" s="109"/>
      <c r="CE122" s="109"/>
      <c r="CF122" s="109"/>
    </row>
    <row r="123">
      <c r="A123" s="3"/>
      <c r="B123" s="376">
        <v>2.0</v>
      </c>
      <c r="C123" s="376" t="s">
        <v>341</v>
      </c>
      <c r="D123" s="377" t="s">
        <v>473</v>
      </c>
      <c r="E123" s="378" t="s">
        <v>369</v>
      </c>
      <c r="F123" s="378" t="s">
        <v>321</v>
      </c>
      <c r="G123" s="416" t="s">
        <v>320</v>
      </c>
      <c r="H123" s="393" t="s">
        <v>319</v>
      </c>
      <c r="I123" s="378" t="s">
        <v>318</v>
      </c>
      <c r="J123" s="378" t="s">
        <v>324</v>
      </c>
      <c r="K123" s="377" t="s">
        <v>480</v>
      </c>
      <c r="L123" s="379" t="s">
        <v>315</v>
      </c>
      <c r="M123" s="3"/>
      <c r="N123" s="376">
        <v>2.0</v>
      </c>
      <c r="O123" s="376" t="s">
        <v>324</v>
      </c>
      <c r="P123" s="377" t="s">
        <v>431</v>
      </c>
      <c r="Q123" s="378" t="s">
        <v>328</v>
      </c>
      <c r="R123" s="379" t="s">
        <v>321</v>
      </c>
      <c r="S123" s="380" t="s">
        <v>319</v>
      </c>
      <c r="T123" s="380" t="s">
        <v>320</v>
      </c>
      <c r="U123" s="376" t="s">
        <v>318</v>
      </c>
      <c r="V123" s="378" t="s">
        <v>342</v>
      </c>
      <c r="W123" s="377" t="s">
        <v>481</v>
      </c>
      <c r="X123" s="379" t="s">
        <v>334</v>
      </c>
      <c r="Y123" s="3"/>
      <c r="Z123" s="376">
        <v>2.0</v>
      </c>
      <c r="AA123" s="376" t="s">
        <v>315</v>
      </c>
      <c r="AB123" s="385" t="s">
        <v>366</v>
      </c>
      <c r="AC123" s="378" t="s">
        <v>325</v>
      </c>
      <c r="AD123" s="379" t="s">
        <v>318</v>
      </c>
      <c r="AE123" s="380" t="s">
        <v>319</v>
      </c>
      <c r="AF123" s="380" t="s">
        <v>320</v>
      </c>
      <c r="AG123" s="376" t="s">
        <v>321</v>
      </c>
      <c r="AH123" s="378" t="s">
        <v>332</v>
      </c>
      <c r="AI123" s="377" t="s">
        <v>430</v>
      </c>
      <c r="AJ123" s="379" t="s">
        <v>327</v>
      </c>
      <c r="AK123" s="43"/>
      <c r="AL123" s="383">
        <v>2.0</v>
      </c>
      <c r="AM123" s="376" t="s">
        <v>341</v>
      </c>
      <c r="AN123" s="377"/>
      <c r="AO123" s="378" t="s">
        <v>328</v>
      </c>
      <c r="AP123" s="379" t="s">
        <v>318</v>
      </c>
      <c r="AQ123" s="381" t="s">
        <v>320</v>
      </c>
      <c r="AR123" s="382" t="s">
        <v>319</v>
      </c>
      <c r="AS123" s="378" t="s">
        <v>321</v>
      </c>
      <c r="AT123" s="378" t="s">
        <v>337</v>
      </c>
      <c r="AU123" s="377" t="s">
        <v>350</v>
      </c>
      <c r="AV123" s="379" t="s">
        <v>327</v>
      </c>
      <c r="AW123" s="43"/>
      <c r="AX123" s="397"/>
      <c r="AY123" s="397"/>
      <c r="AZ123" s="397"/>
      <c r="BA123" s="397"/>
      <c r="BB123" s="398"/>
      <c r="BC123" s="399">
        <f t="shared" ref="BC123:BD123" si="16">COUNTIF(BC88:BC122, "W")</f>
        <v>2</v>
      </c>
      <c r="BD123" s="400">
        <f t="shared" si="16"/>
        <v>4</v>
      </c>
      <c r="BE123" s="398"/>
      <c r="BF123" s="397"/>
      <c r="BG123" s="397"/>
      <c r="BH123" s="397"/>
      <c r="BI123" s="43"/>
      <c r="BJ123" s="383">
        <v>2.0</v>
      </c>
      <c r="BK123" s="376" t="s">
        <v>374</v>
      </c>
      <c r="BL123" s="377" t="s">
        <v>397</v>
      </c>
      <c r="BM123" s="378" t="s">
        <v>337</v>
      </c>
      <c r="BN123" s="379" t="s">
        <v>318</v>
      </c>
      <c r="BO123" s="381" t="s">
        <v>319</v>
      </c>
      <c r="BP123" s="382" t="s">
        <v>320</v>
      </c>
      <c r="BQ123" s="378" t="s">
        <v>321</v>
      </c>
      <c r="BR123" s="378" t="s">
        <v>328</v>
      </c>
      <c r="BS123" s="377" t="s">
        <v>452</v>
      </c>
      <c r="BT123" s="379" t="s">
        <v>327</v>
      </c>
      <c r="BU123" s="43"/>
      <c r="BV123" s="109"/>
      <c r="BW123" s="109"/>
      <c r="BX123" s="109"/>
      <c r="BY123" s="109"/>
      <c r="BZ123" s="109"/>
      <c r="CA123" s="109"/>
      <c r="CB123" s="109"/>
      <c r="CC123" s="109"/>
      <c r="CD123" s="109"/>
      <c r="CE123" s="109"/>
      <c r="CF123" s="109"/>
    </row>
    <row r="124">
      <c r="A124" s="3"/>
      <c r="B124" s="55"/>
      <c r="C124" s="29" t="s">
        <v>317</v>
      </c>
      <c r="D124" s="372" t="s">
        <v>475</v>
      </c>
      <c r="E124" s="109" t="s">
        <v>325</v>
      </c>
      <c r="G124" s="55"/>
      <c r="H124" s="92"/>
      <c r="J124" s="109" t="s">
        <v>343</v>
      </c>
      <c r="K124" s="372" t="s">
        <v>476</v>
      </c>
      <c r="L124" s="373" t="s">
        <v>331</v>
      </c>
      <c r="M124" s="3"/>
      <c r="N124" s="55"/>
      <c r="O124" s="29" t="s">
        <v>327</v>
      </c>
      <c r="P124" s="372" t="s">
        <v>426</v>
      </c>
      <c r="Q124" s="109" t="s">
        <v>368</v>
      </c>
      <c r="R124" s="92"/>
      <c r="U124" s="55"/>
      <c r="V124" s="109" t="s">
        <v>325</v>
      </c>
      <c r="W124" s="372" t="s">
        <v>476</v>
      </c>
      <c r="X124" s="373" t="s">
        <v>315</v>
      </c>
      <c r="Y124" s="3"/>
      <c r="Z124" s="55"/>
      <c r="AA124" s="29" t="s">
        <v>331</v>
      </c>
      <c r="AB124" s="240" t="s">
        <v>394</v>
      </c>
      <c r="AC124" s="109" t="s">
        <v>352</v>
      </c>
      <c r="AD124" s="92"/>
      <c r="AG124" s="55"/>
      <c r="AH124" s="109" t="s">
        <v>328</v>
      </c>
      <c r="AI124" s="372" t="s">
        <v>421</v>
      </c>
      <c r="AJ124" s="373" t="s">
        <v>342</v>
      </c>
      <c r="AK124" s="43"/>
      <c r="AL124" s="66"/>
      <c r="AM124" s="29" t="s">
        <v>317</v>
      </c>
      <c r="AN124" s="372" t="s">
        <v>422</v>
      </c>
      <c r="AO124" s="109" t="s">
        <v>352</v>
      </c>
      <c r="AP124" s="92"/>
      <c r="AR124" s="92"/>
      <c r="AT124" s="109" t="s">
        <v>324</v>
      </c>
      <c r="AU124" s="372" t="s">
        <v>333</v>
      </c>
      <c r="AV124" s="373" t="s">
        <v>401</v>
      </c>
      <c r="AW124" s="43"/>
      <c r="AX124" s="2"/>
      <c r="AY124" s="2"/>
      <c r="AZ124" s="2"/>
      <c r="BA124" s="2"/>
      <c r="BB124" s="2"/>
      <c r="BC124" s="2"/>
      <c r="BD124" s="2"/>
      <c r="BE124" s="2"/>
      <c r="BF124" s="2"/>
      <c r="BG124" s="2"/>
      <c r="BH124" s="2"/>
      <c r="BI124" s="43"/>
      <c r="BJ124" s="66"/>
      <c r="BK124" s="29" t="s">
        <v>341</v>
      </c>
      <c r="BL124" s="372" t="s">
        <v>340</v>
      </c>
      <c r="BM124" s="109" t="s">
        <v>359</v>
      </c>
      <c r="BN124" s="92"/>
      <c r="BP124" s="92"/>
      <c r="BR124" s="109" t="s">
        <v>398</v>
      </c>
      <c r="BS124" s="372" t="s">
        <v>449</v>
      </c>
      <c r="BT124" s="373" t="s">
        <v>331</v>
      </c>
      <c r="BU124" s="43"/>
      <c r="BV124" s="43"/>
      <c r="BW124" s="43"/>
      <c r="BX124" s="43"/>
      <c r="BY124" s="43"/>
      <c r="BZ124" s="43"/>
      <c r="CA124" s="43"/>
      <c r="CB124" s="43"/>
      <c r="CC124" s="43"/>
      <c r="CD124" s="43"/>
      <c r="CE124" s="43"/>
      <c r="CF124" s="43"/>
    </row>
    <row r="125">
      <c r="A125" s="3"/>
      <c r="B125" s="55"/>
      <c r="C125" s="29" t="s">
        <v>337</v>
      </c>
      <c r="D125" s="372" t="s">
        <v>477</v>
      </c>
      <c r="E125" s="109" t="s">
        <v>373</v>
      </c>
      <c r="G125" s="55"/>
      <c r="H125" s="92"/>
      <c r="J125" s="109" t="s">
        <v>346</v>
      </c>
      <c r="K125" s="372" t="s">
        <v>481</v>
      </c>
      <c r="L125" s="373" t="s">
        <v>400</v>
      </c>
      <c r="M125" s="3"/>
      <c r="N125" s="55"/>
      <c r="O125" s="29" t="s">
        <v>341</v>
      </c>
      <c r="P125" s="372" t="s">
        <v>422</v>
      </c>
      <c r="Q125" s="109" t="s">
        <v>346</v>
      </c>
      <c r="R125" s="92"/>
      <c r="U125" s="55"/>
      <c r="V125" s="109" t="s">
        <v>382</v>
      </c>
      <c r="W125" s="372" t="s">
        <v>480</v>
      </c>
      <c r="X125" s="373" t="s">
        <v>337</v>
      </c>
      <c r="Y125" s="3"/>
      <c r="Z125" s="55"/>
      <c r="AA125" s="29" t="s">
        <v>324</v>
      </c>
      <c r="AB125" s="240" t="s">
        <v>353</v>
      </c>
      <c r="AC125" s="109" t="s">
        <v>341</v>
      </c>
      <c r="AD125" s="92"/>
      <c r="AG125" s="55"/>
      <c r="AH125" s="109" t="s">
        <v>354</v>
      </c>
      <c r="AI125" s="372" t="s">
        <v>425</v>
      </c>
      <c r="AJ125" s="373" t="s">
        <v>317</v>
      </c>
      <c r="AK125" s="43"/>
      <c r="AL125" s="66"/>
      <c r="AM125" s="29" t="s">
        <v>332</v>
      </c>
      <c r="AN125" s="372" t="s">
        <v>442</v>
      </c>
      <c r="AO125" s="109" t="s">
        <v>343</v>
      </c>
      <c r="AP125" s="92"/>
      <c r="AR125" s="92"/>
      <c r="AT125" s="109" t="s">
        <v>331</v>
      </c>
      <c r="AU125" s="372" t="s">
        <v>364</v>
      </c>
      <c r="AV125" s="373" t="s">
        <v>315</v>
      </c>
      <c r="AW125" s="43"/>
      <c r="AX125" s="43"/>
      <c r="AY125" s="43"/>
      <c r="AZ125" s="43"/>
      <c r="BA125" s="43"/>
      <c r="BB125" s="43"/>
      <c r="BC125" s="43"/>
      <c r="BD125" s="43"/>
      <c r="BE125" s="43"/>
      <c r="BF125" s="43"/>
      <c r="BG125" s="43"/>
      <c r="BH125" s="43"/>
      <c r="BI125" s="43"/>
      <c r="BJ125" s="66"/>
      <c r="BK125" s="29" t="s">
        <v>357</v>
      </c>
      <c r="BL125" s="372" t="s">
        <v>356</v>
      </c>
      <c r="BM125" s="109" t="s">
        <v>400</v>
      </c>
      <c r="BN125" s="92"/>
      <c r="BP125" s="92"/>
      <c r="BR125" s="109" t="s">
        <v>368</v>
      </c>
      <c r="BS125" s="372" t="s">
        <v>448</v>
      </c>
      <c r="BT125" s="373" t="s">
        <v>342</v>
      </c>
      <c r="BU125" s="43"/>
      <c r="BV125" s="43"/>
      <c r="BW125" s="43"/>
      <c r="BX125" s="43"/>
      <c r="BY125" s="43"/>
      <c r="BZ125" s="43"/>
      <c r="CA125" s="43"/>
      <c r="CB125" s="43"/>
      <c r="CC125" s="43"/>
      <c r="CD125" s="43"/>
      <c r="CE125" s="43"/>
      <c r="CF125" s="43"/>
    </row>
    <row r="126">
      <c r="A126" s="3"/>
      <c r="B126" s="55"/>
      <c r="C126" s="29" t="s">
        <v>408</v>
      </c>
      <c r="D126" s="372" t="s">
        <v>479</v>
      </c>
      <c r="E126" s="109" t="s">
        <v>328</v>
      </c>
      <c r="G126" s="55"/>
      <c r="H126" s="92"/>
      <c r="J126" s="109" t="s">
        <v>354</v>
      </c>
      <c r="K126" s="372" t="s">
        <v>474</v>
      </c>
      <c r="L126" s="373" t="s">
        <v>332</v>
      </c>
      <c r="M126" s="3"/>
      <c r="N126" s="55"/>
      <c r="O126" s="29" t="s">
        <v>377</v>
      </c>
      <c r="P126" s="372" t="s">
        <v>437</v>
      </c>
      <c r="Q126" s="109" t="s">
        <v>361</v>
      </c>
      <c r="R126" s="92"/>
      <c r="U126" s="55"/>
      <c r="V126" s="109" t="s">
        <v>354</v>
      </c>
      <c r="W126" s="372" t="s">
        <v>474</v>
      </c>
      <c r="X126" s="373" t="s">
        <v>332</v>
      </c>
      <c r="Y126" s="3"/>
      <c r="Z126" s="55"/>
      <c r="AA126" s="29" t="s">
        <v>385</v>
      </c>
      <c r="AB126" s="240" t="s">
        <v>336</v>
      </c>
      <c r="AC126" s="109" t="s">
        <v>377</v>
      </c>
      <c r="AD126" s="92"/>
      <c r="AG126" s="55"/>
      <c r="AH126" s="109" t="s">
        <v>436</v>
      </c>
      <c r="AI126" s="372" t="s">
        <v>435</v>
      </c>
      <c r="AJ126" s="373" t="s">
        <v>361</v>
      </c>
      <c r="AK126" s="43"/>
      <c r="AL126" s="66"/>
      <c r="AM126" s="29" t="s">
        <v>377</v>
      </c>
      <c r="AN126" s="372" t="s">
        <v>437</v>
      </c>
      <c r="AO126" s="109" t="s">
        <v>361</v>
      </c>
      <c r="AP126" s="92"/>
      <c r="AR126" s="92"/>
      <c r="AT126" s="109" t="s">
        <v>380</v>
      </c>
      <c r="AU126" s="372" t="s">
        <v>339</v>
      </c>
      <c r="AV126" s="373" t="s">
        <v>19</v>
      </c>
      <c r="AW126" s="43"/>
      <c r="AX126" s="43"/>
      <c r="AY126" s="43"/>
      <c r="AZ126" s="43"/>
      <c r="BA126" s="43"/>
      <c r="BB126" s="43"/>
      <c r="BC126" s="43"/>
      <c r="BD126" s="43"/>
      <c r="BE126" s="43"/>
      <c r="BF126" s="43"/>
      <c r="BG126" s="43"/>
      <c r="BH126" s="43"/>
      <c r="BI126" s="43"/>
      <c r="BJ126" s="66"/>
      <c r="BK126" s="29" t="s">
        <v>412</v>
      </c>
      <c r="BL126" s="372" t="s">
        <v>386</v>
      </c>
      <c r="BM126" s="109" t="s">
        <v>483</v>
      </c>
      <c r="BN126" s="92"/>
      <c r="BP126" s="92"/>
      <c r="BR126" s="109" t="s">
        <v>352</v>
      </c>
      <c r="BS126" s="372" t="s">
        <v>454</v>
      </c>
      <c r="BT126" s="373" t="s">
        <v>324</v>
      </c>
      <c r="BU126" s="43"/>
      <c r="BV126" s="43"/>
      <c r="BW126" s="43"/>
      <c r="BX126" s="43"/>
      <c r="BY126" s="43"/>
      <c r="BZ126" s="43"/>
      <c r="CA126" s="43"/>
      <c r="CB126" s="43"/>
      <c r="CC126" s="43"/>
      <c r="CD126" s="43"/>
      <c r="CE126" s="43"/>
      <c r="CF126" s="43"/>
    </row>
    <row r="127">
      <c r="A127" s="3"/>
      <c r="B127" s="386"/>
      <c r="C127" s="387" t="s">
        <v>362</v>
      </c>
      <c r="D127" s="388" t="s">
        <v>482</v>
      </c>
      <c r="E127" s="389" t="s">
        <v>342</v>
      </c>
      <c r="F127" s="374"/>
      <c r="G127" s="386"/>
      <c r="H127" s="375"/>
      <c r="I127" s="374"/>
      <c r="J127" s="389" t="s">
        <v>375</v>
      </c>
      <c r="K127" s="388" t="s">
        <v>478</v>
      </c>
      <c r="L127" s="390" t="s">
        <v>19</v>
      </c>
      <c r="M127" s="3"/>
      <c r="N127" s="386"/>
      <c r="O127" s="387" t="s">
        <v>401</v>
      </c>
      <c r="P127" s="388" t="s">
        <v>442</v>
      </c>
      <c r="Q127" s="389" t="s">
        <v>343</v>
      </c>
      <c r="R127" s="375"/>
      <c r="S127" s="374"/>
      <c r="T127" s="374"/>
      <c r="U127" s="386"/>
      <c r="V127" s="389" t="s">
        <v>375</v>
      </c>
      <c r="W127" s="388" t="s">
        <v>478</v>
      </c>
      <c r="X127" s="390" t="s">
        <v>331</v>
      </c>
      <c r="Y127" s="3"/>
      <c r="Z127" s="386"/>
      <c r="AA127" s="387" t="s">
        <v>379</v>
      </c>
      <c r="AB127" s="392" t="s">
        <v>383</v>
      </c>
      <c r="AC127" s="389" t="s">
        <v>322</v>
      </c>
      <c r="AD127" s="375"/>
      <c r="AE127" s="374"/>
      <c r="AF127" s="374"/>
      <c r="AG127" s="386"/>
      <c r="AH127" s="389" t="s">
        <v>413</v>
      </c>
      <c r="AI127" s="388" t="s">
        <v>441</v>
      </c>
      <c r="AJ127" s="390" t="s">
        <v>380</v>
      </c>
      <c r="AK127" s="43"/>
      <c r="AL127" s="134"/>
      <c r="AM127" s="387" t="s">
        <v>384</v>
      </c>
      <c r="AN127" s="388" t="s">
        <v>426</v>
      </c>
      <c r="AO127" s="389" t="s">
        <v>348</v>
      </c>
      <c r="AP127" s="375"/>
      <c r="AQ127" s="374"/>
      <c r="AR127" s="375"/>
      <c r="AS127" s="374"/>
      <c r="AT127" s="389" t="s">
        <v>470</v>
      </c>
      <c r="AU127" s="388" t="s">
        <v>355</v>
      </c>
      <c r="AV127" s="390" t="s">
        <v>322</v>
      </c>
      <c r="AW127" s="43"/>
      <c r="AX127" s="43"/>
      <c r="AY127" s="43"/>
      <c r="AZ127" s="43"/>
      <c r="BA127" s="43"/>
      <c r="BB127" s="43"/>
      <c r="BC127" s="43"/>
      <c r="BD127" s="43"/>
      <c r="BE127" s="43"/>
      <c r="BF127" s="43"/>
      <c r="BG127" s="43"/>
      <c r="BH127" s="43"/>
      <c r="BI127" s="43"/>
      <c r="BJ127" s="134"/>
      <c r="BK127" s="387" t="s">
        <v>325</v>
      </c>
      <c r="BL127" s="388" t="s">
        <v>367</v>
      </c>
      <c r="BM127" s="109" t="s">
        <v>376</v>
      </c>
      <c r="BN127" s="375"/>
      <c r="BO127" s="374"/>
      <c r="BP127" s="375"/>
      <c r="BQ127" s="374"/>
      <c r="BR127" s="389" t="s">
        <v>484</v>
      </c>
      <c r="BS127" s="388" t="s">
        <v>450</v>
      </c>
      <c r="BT127" s="390" t="s">
        <v>384</v>
      </c>
      <c r="BU127" s="43"/>
      <c r="BV127" s="43"/>
      <c r="BW127" s="43"/>
      <c r="BX127" s="43"/>
      <c r="BY127" s="43"/>
      <c r="BZ127" s="43"/>
      <c r="CA127" s="43"/>
      <c r="CB127" s="43"/>
      <c r="CC127" s="43"/>
      <c r="CD127" s="43"/>
      <c r="CE127" s="43"/>
      <c r="CF127" s="43"/>
    </row>
    <row r="128">
      <c r="A128" s="3"/>
      <c r="B128" s="29">
        <v>3.0</v>
      </c>
      <c r="C128" s="29" t="s">
        <v>337</v>
      </c>
      <c r="D128" s="372" t="s">
        <v>473</v>
      </c>
      <c r="E128" s="109" t="s">
        <v>395</v>
      </c>
      <c r="F128" s="109" t="s">
        <v>318</v>
      </c>
      <c r="G128" s="417" t="s">
        <v>320</v>
      </c>
      <c r="H128" s="382" t="s">
        <v>319</v>
      </c>
      <c r="I128" s="109" t="s">
        <v>321</v>
      </c>
      <c r="J128" s="109" t="s">
        <v>382</v>
      </c>
      <c r="K128" s="372" t="s">
        <v>480</v>
      </c>
      <c r="L128" s="373" t="s">
        <v>324</v>
      </c>
      <c r="M128" s="3"/>
      <c r="N128" s="29">
        <v>3.0</v>
      </c>
      <c r="O128" s="29" t="s">
        <v>341</v>
      </c>
      <c r="P128" s="372" t="s">
        <v>431</v>
      </c>
      <c r="Q128" s="109" t="s">
        <v>328</v>
      </c>
      <c r="R128" s="373" t="s">
        <v>318</v>
      </c>
      <c r="S128" s="380" t="s">
        <v>319</v>
      </c>
      <c r="T128" s="380" t="s">
        <v>320</v>
      </c>
      <c r="U128" s="29" t="s">
        <v>321</v>
      </c>
      <c r="V128" s="109" t="s">
        <v>315</v>
      </c>
      <c r="W128" s="372" t="s">
        <v>474</v>
      </c>
      <c r="X128" s="373" t="s">
        <v>324</v>
      </c>
      <c r="Y128" s="3"/>
      <c r="Z128" s="29">
        <v>3.0</v>
      </c>
      <c r="AA128" s="29" t="s">
        <v>315</v>
      </c>
      <c r="AB128" s="385" t="s">
        <v>366</v>
      </c>
      <c r="AC128" s="109" t="s">
        <v>331</v>
      </c>
      <c r="AD128" s="373" t="s">
        <v>318</v>
      </c>
      <c r="AE128" s="380" t="s">
        <v>319</v>
      </c>
      <c r="AF128" s="380" t="s">
        <v>320</v>
      </c>
      <c r="AG128" s="29" t="s">
        <v>321</v>
      </c>
      <c r="AH128" s="109" t="s">
        <v>341</v>
      </c>
      <c r="AI128" s="372" t="s">
        <v>425</v>
      </c>
      <c r="AJ128" s="373" t="s">
        <v>327</v>
      </c>
      <c r="AK128" s="43"/>
      <c r="AL128" s="383">
        <v>3.0</v>
      </c>
      <c r="AM128" s="376" t="s">
        <v>331</v>
      </c>
      <c r="AN128" s="377"/>
      <c r="AO128" s="378" t="s">
        <v>328</v>
      </c>
      <c r="AP128" s="379" t="s">
        <v>321</v>
      </c>
      <c r="AQ128" s="381" t="s">
        <v>320</v>
      </c>
      <c r="AR128" s="382" t="s">
        <v>319</v>
      </c>
      <c r="AS128" s="378" t="s">
        <v>318</v>
      </c>
      <c r="AT128" s="378" t="s">
        <v>317</v>
      </c>
      <c r="AU128" s="377" t="s">
        <v>364</v>
      </c>
      <c r="AV128" s="379" t="s">
        <v>315</v>
      </c>
      <c r="AW128" s="43"/>
      <c r="AX128" s="43"/>
      <c r="AY128" s="43"/>
      <c r="AZ128" s="43"/>
      <c r="BA128" s="43"/>
      <c r="BB128" s="43"/>
      <c r="BC128" s="43"/>
      <c r="BD128" s="43"/>
      <c r="BE128" s="43"/>
      <c r="BF128" s="43"/>
      <c r="BG128" s="43"/>
      <c r="BH128" s="43"/>
      <c r="BI128" s="43"/>
      <c r="BJ128" s="383">
        <v>3.0</v>
      </c>
      <c r="BK128" s="376" t="s">
        <v>341</v>
      </c>
      <c r="BL128" s="372" t="s">
        <v>356</v>
      </c>
      <c r="BM128" s="378" t="s">
        <v>357</v>
      </c>
      <c r="BN128" s="379" t="s">
        <v>321</v>
      </c>
      <c r="BO128" s="381" t="s">
        <v>320</v>
      </c>
      <c r="BP128" s="382" t="s">
        <v>319</v>
      </c>
      <c r="BQ128" s="378" t="s">
        <v>318</v>
      </c>
      <c r="BR128" s="378" t="s">
        <v>331</v>
      </c>
      <c r="BS128" s="372" t="s">
        <v>450</v>
      </c>
      <c r="BT128" s="379" t="s">
        <v>315</v>
      </c>
      <c r="BU128" s="43"/>
      <c r="BV128" s="43"/>
      <c r="BW128" s="43"/>
      <c r="BX128" s="43"/>
      <c r="BY128" s="43"/>
      <c r="BZ128" s="43"/>
      <c r="CA128" s="43"/>
      <c r="CB128" s="43"/>
      <c r="CC128" s="43"/>
      <c r="CD128" s="43"/>
      <c r="CE128" s="43"/>
      <c r="CF128" s="43"/>
    </row>
    <row r="129">
      <c r="A129" s="3"/>
      <c r="B129" s="55"/>
      <c r="C129" s="29" t="s">
        <v>341</v>
      </c>
      <c r="D129" s="372" t="s">
        <v>475</v>
      </c>
      <c r="E129" s="109" t="s">
        <v>400</v>
      </c>
      <c r="G129" s="55"/>
      <c r="H129" s="92"/>
      <c r="J129" s="109" t="s">
        <v>343</v>
      </c>
      <c r="K129" s="372" t="s">
        <v>476</v>
      </c>
      <c r="L129" s="373" t="s">
        <v>315</v>
      </c>
      <c r="M129" s="3"/>
      <c r="N129" s="55"/>
      <c r="O129" s="29" t="s">
        <v>327</v>
      </c>
      <c r="P129" s="372" t="s">
        <v>422</v>
      </c>
      <c r="Q129" s="109" t="s">
        <v>346</v>
      </c>
      <c r="R129" s="92"/>
      <c r="U129" s="55"/>
      <c r="V129" s="109" t="s">
        <v>343</v>
      </c>
      <c r="W129" s="372" t="s">
        <v>476</v>
      </c>
      <c r="X129" s="373" t="s">
        <v>334</v>
      </c>
      <c r="Y129" s="3"/>
      <c r="Z129" s="55"/>
      <c r="AA129" s="29" t="s">
        <v>332</v>
      </c>
      <c r="AB129" s="240" t="s">
        <v>394</v>
      </c>
      <c r="AC129" s="109" t="s">
        <v>337</v>
      </c>
      <c r="AD129" s="92"/>
      <c r="AG129" s="55"/>
      <c r="AH129" s="109" t="s">
        <v>328</v>
      </c>
      <c r="AI129" s="372" t="s">
        <v>421</v>
      </c>
      <c r="AJ129" s="373" t="s">
        <v>342</v>
      </c>
      <c r="AK129" s="43"/>
      <c r="AL129" s="66"/>
      <c r="AM129" s="29" t="s">
        <v>341</v>
      </c>
      <c r="AN129" s="377" t="s">
        <v>422</v>
      </c>
      <c r="AO129" s="109" t="s">
        <v>342</v>
      </c>
      <c r="AP129" s="92"/>
      <c r="AR129" s="92"/>
      <c r="AT129" s="109" t="s">
        <v>401</v>
      </c>
      <c r="AU129" s="372" t="s">
        <v>339</v>
      </c>
      <c r="AV129" s="373" t="s">
        <v>446</v>
      </c>
      <c r="AW129" s="43"/>
      <c r="AX129" s="43"/>
      <c r="AY129" s="43"/>
      <c r="AZ129" s="43"/>
      <c r="BA129" s="43"/>
      <c r="BB129" s="43"/>
      <c r="BC129" s="43"/>
      <c r="BD129" s="43"/>
      <c r="BE129" s="43"/>
      <c r="BF129" s="43"/>
      <c r="BG129" s="43"/>
      <c r="BH129" s="43"/>
      <c r="BI129" s="43"/>
      <c r="BJ129" s="66"/>
      <c r="BK129" s="29" t="s">
        <v>374</v>
      </c>
      <c r="BL129" s="372" t="s">
        <v>367</v>
      </c>
      <c r="BM129" s="109" t="s">
        <v>346</v>
      </c>
      <c r="BN129" s="92"/>
      <c r="BP129" s="92"/>
      <c r="BR129" s="109" t="s">
        <v>352</v>
      </c>
      <c r="BS129" s="372" t="s">
        <v>454</v>
      </c>
      <c r="BT129" s="373" t="s">
        <v>327</v>
      </c>
      <c r="BU129" s="43"/>
      <c r="BV129" s="43"/>
      <c r="BW129" s="43"/>
      <c r="BX129" s="43"/>
      <c r="BY129" s="43"/>
      <c r="BZ129" s="43"/>
      <c r="CA129" s="43"/>
      <c r="CB129" s="43"/>
      <c r="CC129" s="43"/>
      <c r="CD129" s="43"/>
      <c r="CE129" s="43"/>
      <c r="CF129" s="43"/>
    </row>
    <row r="130">
      <c r="A130" s="3"/>
      <c r="B130" s="55"/>
      <c r="C130" s="29" t="s">
        <v>328</v>
      </c>
      <c r="D130" s="372" t="s">
        <v>477</v>
      </c>
      <c r="E130" s="109" t="s">
        <v>327</v>
      </c>
      <c r="G130" s="55"/>
      <c r="H130" s="92"/>
      <c r="J130" s="109" t="s">
        <v>387</v>
      </c>
      <c r="K130" s="372" t="s">
        <v>481</v>
      </c>
      <c r="L130" s="373" t="s">
        <v>342</v>
      </c>
      <c r="M130" s="3"/>
      <c r="N130" s="55"/>
      <c r="O130" s="29" t="s">
        <v>337</v>
      </c>
      <c r="P130" s="372" t="s">
        <v>426</v>
      </c>
      <c r="Q130" s="109" t="s">
        <v>348</v>
      </c>
      <c r="R130" s="92"/>
      <c r="U130" s="55"/>
      <c r="V130" s="109" t="s">
        <v>401</v>
      </c>
      <c r="W130" s="372" t="s">
        <v>478</v>
      </c>
      <c r="X130" s="373" t="s">
        <v>342</v>
      </c>
      <c r="Y130" s="3"/>
      <c r="Z130" s="55"/>
      <c r="AA130" s="29" t="s">
        <v>324</v>
      </c>
      <c r="AB130" s="240" t="s">
        <v>353</v>
      </c>
      <c r="AC130" s="109" t="s">
        <v>374</v>
      </c>
      <c r="AD130" s="92"/>
      <c r="AG130" s="55"/>
      <c r="AH130" s="109" t="s">
        <v>379</v>
      </c>
      <c r="AI130" s="372" t="s">
        <v>435</v>
      </c>
      <c r="AJ130" s="373" t="s">
        <v>317</v>
      </c>
      <c r="AK130" s="43"/>
      <c r="AL130" s="66"/>
      <c r="AM130" s="29" t="s">
        <v>327</v>
      </c>
      <c r="AN130" s="377" t="s">
        <v>437</v>
      </c>
      <c r="AO130" s="109" t="s">
        <v>332</v>
      </c>
      <c r="AP130" s="92"/>
      <c r="AR130" s="92"/>
      <c r="AT130" s="109" t="s">
        <v>337</v>
      </c>
      <c r="AU130" s="372" t="s">
        <v>333</v>
      </c>
      <c r="AV130" s="373" t="s">
        <v>324</v>
      </c>
      <c r="AW130" s="43"/>
      <c r="AX130" s="43"/>
      <c r="AY130" s="43"/>
      <c r="AZ130" s="43"/>
      <c r="BA130" s="43"/>
      <c r="BB130" s="43"/>
      <c r="BC130" s="43"/>
      <c r="BD130" s="43"/>
      <c r="BE130" s="43"/>
      <c r="BF130" s="43"/>
      <c r="BG130" s="43"/>
      <c r="BH130" s="43"/>
      <c r="BI130" s="43"/>
      <c r="BJ130" s="66"/>
      <c r="BK130" s="29" t="s">
        <v>342</v>
      </c>
      <c r="BL130" s="372" t="s">
        <v>397</v>
      </c>
      <c r="BM130" s="109" t="s">
        <v>324</v>
      </c>
      <c r="BN130" s="92"/>
      <c r="BP130" s="92"/>
      <c r="BR130" s="109" t="s">
        <v>398</v>
      </c>
      <c r="BS130" s="372" t="s">
        <v>449</v>
      </c>
      <c r="BT130" s="373" t="s">
        <v>337</v>
      </c>
      <c r="BU130" s="43"/>
      <c r="BV130" s="43"/>
      <c r="BW130" s="43"/>
      <c r="BX130" s="43"/>
      <c r="BY130" s="43"/>
      <c r="BZ130" s="43"/>
      <c r="CA130" s="43"/>
      <c r="CB130" s="43"/>
      <c r="CC130" s="43"/>
      <c r="CD130" s="43"/>
      <c r="CE130" s="43"/>
      <c r="CF130" s="43"/>
    </row>
    <row r="131">
      <c r="A131" s="3"/>
      <c r="B131" s="55"/>
      <c r="C131" s="29" t="s">
        <v>354</v>
      </c>
      <c r="D131" s="372" t="s">
        <v>479</v>
      </c>
      <c r="E131" s="109" t="s">
        <v>375</v>
      </c>
      <c r="G131" s="55"/>
      <c r="H131" s="92"/>
      <c r="J131" s="109" t="s">
        <v>401</v>
      </c>
      <c r="K131" s="372" t="s">
        <v>478</v>
      </c>
      <c r="L131" s="373" t="s">
        <v>332</v>
      </c>
      <c r="M131" s="3"/>
      <c r="N131" s="55"/>
      <c r="O131" s="29" t="s">
        <v>352</v>
      </c>
      <c r="P131" s="372" t="s">
        <v>442</v>
      </c>
      <c r="Q131" s="109" t="s">
        <v>400</v>
      </c>
      <c r="R131" s="92"/>
      <c r="U131" s="55"/>
      <c r="V131" s="109" t="s">
        <v>361</v>
      </c>
      <c r="W131" s="372" t="s">
        <v>480</v>
      </c>
      <c r="X131" s="373" t="s">
        <v>382</v>
      </c>
      <c r="Y131" s="3"/>
      <c r="Z131" s="55"/>
      <c r="AA131" s="29" t="s">
        <v>413</v>
      </c>
      <c r="AB131" s="240" t="s">
        <v>336</v>
      </c>
      <c r="AC131" s="109" t="s">
        <v>375</v>
      </c>
      <c r="AD131" s="92"/>
      <c r="AG131" s="55"/>
      <c r="AH131" s="109" t="s">
        <v>395</v>
      </c>
      <c r="AI131" s="372" t="s">
        <v>430</v>
      </c>
      <c r="AJ131" s="373" t="s">
        <v>322</v>
      </c>
      <c r="AK131" s="43"/>
      <c r="AL131" s="66"/>
      <c r="AM131" s="29" t="s">
        <v>374</v>
      </c>
      <c r="AN131" s="372" t="s">
        <v>426</v>
      </c>
      <c r="AO131" s="109" t="s">
        <v>373</v>
      </c>
      <c r="AP131" s="92"/>
      <c r="AR131" s="92"/>
      <c r="AT131" s="109" t="s">
        <v>418</v>
      </c>
      <c r="AU131" s="372" t="s">
        <v>350</v>
      </c>
      <c r="AV131" s="373" t="s">
        <v>325</v>
      </c>
      <c r="AW131" s="43"/>
      <c r="AX131" s="43"/>
      <c r="AY131" s="43"/>
      <c r="AZ131" s="43"/>
      <c r="BA131" s="43"/>
      <c r="BB131" s="43"/>
      <c r="BC131" s="43"/>
      <c r="BD131" s="43"/>
      <c r="BE131" s="43"/>
      <c r="BF131" s="43"/>
      <c r="BG131" s="43"/>
      <c r="BH131" s="43"/>
      <c r="BI131" s="43"/>
      <c r="BJ131" s="66"/>
      <c r="BK131" s="29" t="s">
        <v>414</v>
      </c>
      <c r="BL131" s="372" t="s">
        <v>340</v>
      </c>
      <c r="BM131" s="109" t="s">
        <v>368</v>
      </c>
      <c r="BN131" s="92"/>
      <c r="BP131" s="92"/>
      <c r="BR131" s="109" t="s">
        <v>485</v>
      </c>
      <c r="BS131" s="372" t="s">
        <v>452</v>
      </c>
      <c r="BT131" s="373" t="s">
        <v>384</v>
      </c>
      <c r="BU131" s="43"/>
      <c r="BV131" s="43"/>
      <c r="BW131" s="43"/>
      <c r="BX131" s="43"/>
      <c r="BY131" s="43"/>
      <c r="BZ131" s="43"/>
      <c r="CA131" s="43"/>
      <c r="CB131" s="43"/>
      <c r="CC131" s="43"/>
      <c r="CD131" s="43"/>
      <c r="CE131" s="43"/>
      <c r="CF131" s="43"/>
    </row>
    <row r="132">
      <c r="A132" s="3"/>
      <c r="B132" s="61"/>
      <c r="C132" s="394" t="s">
        <v>373</v>
      </c>
      <c r="D132" s="395" t="s">
        <v>482</v>
      </c>
      <c r="E132" s="132" t="s">
        <v>346</v>
      </c>
      <c r="F132" s="22"/>
      <c r="G132" s="61"/>
      <c r="H132" s="93"/>
      <c r="I132" s="22"/>
      <c r="J132" s="132" t="s">
        <v>368</v>
      </c>
      <c r="K132" s="395" t="s">
        <v>474</v>
      </c>
      <c r="L132" s="396" t="s">
        <v>362</v>
      </c>
      <c r="M132" s="3"/>
      <c r="N132" s="61"/>
      <c r="O132" s="394" t="s">
        <v>406</v>
      </c>
      <c r="P132" s="395" t="s">
        <v>437</v>
      </c>
      <c r="Q132" s="132" t="s">
        <v>19</v>
      </c>
      <c r="R132" s="93"/>
      <c r="U132" s="61"/>
      <c r="V132" s="132" t="s">
        <v>379</v>
      </c>
      <c r="W132" s="395" t="s">
        <v>481</v>
      </c>
      <c r="X132" s="396" t="s">
        <v>332</v>
      </c>
      <c r="Y132" s="3"/>
      <c r="Z132" s="61"/>
      <c r="AA132" s="394" t="s">
        <v>357</v>
      </c>
      <c r="AB132" s="252" t="s">
        <v>383</v>
      </c>
      <c r="AC132" s="132" t="s">
        <v>369</v>
      </c>
      <c r="AD132" s="93"/>
      <c r="AG132" s="61"/>
      <c r="AH132" s="132" t="s">
        <v>343</v>
      </c>
      <c r="AI132" s="395" t="s">
        <v>441</v>
      </c>
      <c r="AJ132" s="396" t="s">
        <v>377</v>
      </c>
      <c r="AK132" s="43"/>
      <c r="AL132" s="134"/>
      <c r="AM132" s="387" t="s">
        <v>352</v>
      </c>
      <c r="AN132" s="388" t="s">
        <v>442</v>
      </c>
      <c r="AO132" s="389" t="s">
        <v>486</v>
      </c>
      <c r="AP132" s="375"/>
      <c r="AQ132" s="374"/>
      <c r="AR132" s="375"/>
      <c r="AS132" s="374"/>
      <c r="AT132" s="389" t="s">
        <v>362</v>
      </c>
      <c r="AU132" s="388" t="s">
        <v>355</v>
      </c>
      <c r="AV132" s="390" t="s">
        <v>368</v>
      </c>
      <c r="AW132" s="43"/>
      <c r="AX132" s="43"/>
      <c r="AY132" s="43"/>
      <c r="AZ132" s="43"/>
      <c r="BA132" s="43"/>
      <c r="BB132" s="43"/>
      <c r="BC132" s="43"/>
      <c r="BD132" s="43"/>
      <c r="BE132" s="43"/>
      <c r="BF132" s="43"/>
      <c r="BG132" s="43"/>
      <c r="BH132" s="43"/>
      <c r="BI132" s="43"/>
      <c r="BJ132" s="134"/>
      <c r="BK132" s="387" t="s">
        <v>401</v>
      </c>
      <c r="BL132" s="372" t="s">
        <v>386</v>
      </c>
      <c r="BM132" s="389" t="s">
        <v>483</v>
      </c>
      <c r="BN132" s="375"/>
      <c r="BO132" s="374"/>
      <c r="BP132" s="375"/>
      <c r="BQ132" s="374"/>
      <c r="BR132" s="389" t="s">
        <v>391</v>
      </c>
      <c r="BS132" s="372" t="s">
        <v>448</v>
      </c>
      <c r="BT132" s="390" t="s">
        <v>354</v>
      </c>
      <c r="BU132" s="43"/>
      <c r="BV132" s="43"/>
      <c r="BW132" s="43"/>
      <c r="BX132" s="43"/>
      <c r="BY132" s="43"/>
      <c r="BZ132" s="43"/>
      <c r="CA132" s="43"/>
      <c r="CB132" s="43"/>
      <c r="CC132" s="43"/>
      <c r="CD132" s="43"/>
      <c r="CE132" s="43"/>
      <c r="CF132" s="43"/>
    </row>
    <row r="133">
      <c r="A133" s="3"/>
      <c r="B133" s="397"/>
      <c r="C133" s="397"/>
      <c r="D133" s="397"/>
      <c r="E133" s="397"/>
      <c r="F133" s="398"/>
      <c r="G133" s="419">
        <f t="shared" ref="G133:H133" si="17">COUNTIF(G118:G132, "W")</f>
        <v>1</v>
      </c>
      <c r="H133" s="420">
        <f t="shared" si="17"/>
        <v>2</v>
      </c>
      <c r="I133" s="398"/>
      <c r="J133" s="397"/>
      <c r="K133" s="397"/>
      <c r="L133" s="397"/>
      <c r="M133" s="3"/>
      <c r="N133" s="397"/>
      <c r="O133" s="397"/>
      <c r="P133" s="397"/>
      <c r="Q133" s="397"/>
      <c r="R133" s="398"/>
      <c r="S133" s="399">
        <f t="shared" ref="S133:T133" si="18">COUNTIF(S118:S132, "W")</f>
        <v>2</v>
      </c>
      <c r="T133" s="400">
        <f t="shared" si="18"/>
        <v>1</v>
      </c>
      <c r="U133" s="398"/>
      <c r="V133" s="397"/>
      <c r="W133" s="397"/>
      <c r="X133" s="397"/>
      <c r="Y133" s="3"/>
      <c r="Z133" s="397"/>
      <c r="AA133" s="397"/>
      <c r="AB133" s="397"/>
      <c r="AC133" s="397"/>
      <c r="AD133" s="398"/>
      <c r="AE133" s="399">
        <f t="shared" ref="AE133:AF133" si="19">COUNTIF(AE118:AE132, "W")</f>
        <v>2</v>
      </c>
      <c r="AF133" s="400">
        <f t="shared" si="19"/>
        <v>1</v>
      </c>
      <c r="AG133" s="398"/>
      <c r="AH133" s="397"/>
      <c r="AI133" s="397"/>
      <c r="AJ133" s="397"/>
      <c r="AK133" s="397"/>
      <c r="AL133" s="383">
        <v>4.0</v>
      </c>
      <c r="AM133" s="376" t="s">
        <v>341</v>
      </c>
      <c r="AN133" s="377" t="s">
        <v>422</v>
      </c>
      <c r="AO133" s="378" t="s">
        <v>342</v>
      </c>
      <c r="AP133" s="379" t="s">
        <v>318</v>
      </c>
      <c r="AQ133" s="381" t="s">
        <v>320</v>
      </c>
      <c r="AR133" s="382" t="s">
        <v>319</v>
      </c>
      <c r="AS133" s="378" t="s">
        <v>321</v>
      </c>
      <c r="AT133" s="378" t="s">
        <v>337</v>
      </c>
      <c r="AU133" s="377" t="s">
        <v>350</v>
      </c>
      <c r="AV133" s="379" t="s">
        <v>327</v>
      </c>
      <c r="AW133" s="397"/>
      <c r="AX133" s="397"/>
      <c r="AY133" s="397"/>
      <c r="AZ133" s="397"/>
      <c r="BA133" s="397"/>
      <c r="BB133" s="397"/>
      <c r="BC133" s="397"/>
      <c r="BD133" s="397"/>
      <c r="BE133" s="397"/>
      <c r="BF133" s="397"/>
      <c r="BG133" s="397"/>
      <c r="BH133" s="397"/>
      <c r="BI133" s="397"/>
      <c r="BJ133" s="383">
        <v>4.0</v>
      </c>
      <c r="BK133" s="376" t="s">
        <v>341</v>
      </c>
      <c r="BL133" s="377" t="s">
        <v>367</v>
      </c>
      <c r="BM133" s="378" t="s">
        <v>337</v>
      </c>
      <c r="BN133" s="379" t="s">
        <v>318</v>
      </c>
      <c r="BO133" s="381" t="s">
        <v>320</v>
      </c>
      <c r="BP133" s="382" t="s">
        <v>319</v>
      </c>
      <c r="BQ133" s="378" t="s">
        <v>321</v>
      </c>
      <c r="BR133" s="378" t="s">
        <v>352</v>
      </c>
      <c r="BS133" s="377" t="s">
        <v>454</v>
      </c>
      <c r="BT133" s="379" t="s">
        <v>327</v>
      </c>
      <c r="BU133" s="397"/>
      <c r="BV133" s="397"/>
      <c r="BW133" s="397"/>
      <c r="BX133" s="397"/>
      <c r="BY133" s="397"/>
      <c r="BZ133" s="397"/>
      <c r="CA133" s="397"/>
      <c r="CB133" s="397"/>
      <c r="CC133" s="397"/>
      <c r="CD133" s="397"/>
      <c r="CE133" s="397"/>
      <c r="CF133" s="397"/>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66"/>
      <c r="AM134" s="29" t="s">
        <v>331</v>
      </c>
      <c r="AN134" s="372" t="s">
        <v>442</v>
      </c>
      <c r="AO134" s="109" t="s">
        <v>343</v>
      </c>
      <c r="AP134" s="92"/>
      <c r="AR134" s="92"/>
      <c r="AT134" s="109" t="s">
        <v>317</v>
      </c>
      <c r="AU134" s="372" t="s">
        <v>364</v>
      </c>
      <c r="AV134" s="373" t="s">
        <v>446</v>
      </c>
      <c r="AW134" s="3"/>
      <c r="AX134" s="3"/>
      <c r="AY134" s="3"/>
      <c r="AZ134" s="3"/>
      <c r="BA134" s="3"/>
      <c r="BB134" s="3"/>
      <c r="BC134" s="3"/>
      <c r="BD134" s="3"/>
      <c r="BE134" s="3"/>
      <c r="BF134" s="3"/>
      <c r="BG134" s="3"/>
      <c r="BH134" s="3"/>
      <c r="BI134" s="3"/>
      <c r="BJ134" s="66"/>
      <c r="BK134" s="29" t="s">
        <v>357</v>
      </c>
      <c r="BL134" s="372" t="s">
        <v>340</v>
      </c>
      <c r="BM134" s="109" t="s">
        <v>315</v>
      </c>
      <c r="BN134" s="92"/>
      <c r="BP134" s="92"/>
      <c r="BR134" s="109" t="s">
        <v>398</v>
      </c>
      <c r="BS134" s="372" t="s">
        <v>449</v>
      </c>
      <c r="BT134" s="373" t="s">
        <v>331</v>
      </c>
      <c r="BU134" s="3"/>
      <c r="BV134" s="3"/>
      <c r="BW134" s="3"/>
      <c r="BX134" s="3"/>
      <c r="BY134" s="3"/>
      <c r="BZ134" s="3"/>
      <c r="CA134" s="3"/>
      <c r="CB134" s="3"/>
      <c r="CC134" s="3"/>
      <c r="CD134" s="3"/>
      <c r="CE134" s="3"/>
      <c r="CF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66"/>
      <c r="AM135" s="29" t="s">
        <v>324</v>
      </c>
      <c r="AN135" s="372"/>
      <c r="AO135" s="109" t="s">
        <v>377</v>
      </c>
      <c r="AP135" s="92"/>
      <c r="AR135" s="92"/>
      <c r="AT135" s="109" t="s">
        <v>315</v>
      </c>
      <c r="AU135" s="372" t="s">
        <v>333</v>
      </c>
      <c r="AV135" s="373" t="s">
        <v>332</v>
      </c>
      <c r="AW135" s="3"/>
      <c r="AX135" s="3"/>
      <c r="AY135" s="3"/>
      <c r="AZ135" s="3"/>
      <c r="BA135" s="3"/>
      <c r="BB135" s="3"/>
      <c r="BC135" s="3"/>
      <c r="BD135" s="3"/>
      <c r="BE135" s="3"/>
      <c r="BF135" s="3"/>
      <c r="BG135" s="3"/>
      <c r="BH135" s="3"/>
      <c r="BI135" s="3"/>
      <c r="BJ135" s="66"/>
      <c r="BK135" s="29" t="s">
        <v>374</v>
      </c>
      <c r="BL135" s="372" t="s">
        <v>356</v>
      </c>
      <c r="BM135" s="109" t="s">
        <v>400</v>
      </c>
      <c r="BN135" s="92"/>
      <c r="BP135" s="92"/>
      <c r="BR135" s="109" t="s">
        <v>414</v>
      </c>
      <c r="BS135" s="372" t="s">
        <v>452</v>
      </c>
      <c r="BT135" s="373" t="s">
        <v>342</v>
      </c>
      <c r="BU135" s="3"/>
      <c r="BV135" s="3"/>
      <c r="BW135" s="3"/>
      <c r="BX135" s="3"/>
      <c r="BY135" s="3"/>
      <c r="BZ135" s="3"/>
      <c r="CA135" s="3"/>
      <c r="CB135" s="3"/>
      <c r="CC135" s="3"/>
      <c r="CD135" s="3"/>
      <c r="CE135" s="3"/>
      <c r="CF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66"/>
      <c r="AM136" s="29" t="s">
        <v>380</v>
      </c>
      <c r="AN136" s="372" t="s">
        <v>426</v>
      </c>
      <c r="AO136" s="109" t="s">
        <v>348</v>
      </c>
      <c r="AP136" s="92"/>
      <c r="AR136" s="92"/>
      <c r="AT136" s="109" t="s">
        <v>382</v>
      </c>
      <c r="AU136" s="372" t="s">
        <v>355</v>
      </c>
      <c r="AV136" s="373" t="s">
        <v>361</v>
      </c>
      <c r="AW136" s="3"/>
      <c r="AX136" s="3"/>
      <c r="AY136" s="3"/>
      <c r="AZ136" s="3"/>
      <c r="BA136" s="3"/>
      <c r="BB136" s="3"/>
      <c r="BC136" s="3"/>
      <c r="BD136" s="3"/>
      <c r="BE136" s="3"/>
      <c r="BF136" s="3"/>
      <c r="BG136" s="3"/>
      <c r="BH136" s="3"/>
      <c r="BI136" s="3"/>
      <c r="BJ136" s="66"/>
      <c r="BK136" s="29" t="s">
        <v>325</v>
      </c>
      <c r="BL136" s="372" t="s">
        <v>386</v>
      </c>
      <c r="BM136" s="109" t="s">
        <v>384</v>
      </c>
      <c r="BN136" s="92"/>
      <c r="BP136" s="92"/>
      <c r="BR136" s="109" t="s">
        <v>362</v>
      </c>
      <c r="BS136" s="372" t="s">
        <v>448</v>
      </c>
      <c r="BT136" s="373" t="s">
        <v>376</v>
      </c>
      <c r="BU136" s="3"/>
      <c r="BV136" s="3"/>
      <c r="BW136" s="3"/>
      <c r="BX136" s="3"/>
      <c r="BY136" s="3"/>
      <c r="BZ136" s="3"/>
      <c r="CA136" s="3"/>
      <c r="CB136" s="3"/>
      <c r="CC136" s="3"/>
      <c r="CD136" s="3"/>
      <c r="CE136" s="3"/>
      <c r="CF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134"/>
      <c r="AM137" s="387" t="s">
        <v>384</v>
      </c>
      <c r="AN137" s="388" t="s">
        <v>437</v>
      </c>
      <c r="AO137" s="389" t="s">
        <v>19</v>
      </c>
      <c r="AP137" s="375"/>
      <c r="AQ137" s="374"/>
      <c r="AR137" s="375"/>
      <c r="AS137" s="374"/>
      <c r="AT137" s="389" t="s">
        <v>375</v>
      </c>
      <c r="AU137" s="388" t="s">
        <v>339</v>
      </c>
      <c r="AV137" s="390" t="s">
        <v>322</v>
      </c>
      <c r="AW137" s="3"/>
      <c r="AX137" s="3"/>
      <c r="AY137" s="3"/>
      <c r="AZ137" s="3"/>
      <c r="BA137" s="3"/>
      <c r="BB137" s="3"/>
      <c r="BC137" s="3"/>
      <c r="BD137" s="3"/>
      <c r="BE137" s="3"/>
      <c r="BF137" s="3"/>
      <c r="BG137" s="3"/>
      <c r="BH137" s="3"/>
      <c r="BI137" s="3"/>
      <c r="BJ137" s="134"/>
      <c r="BK137" s="387" t="s">
        <v>412</v>
      </c>
      <c r="BL137" s="388" t="s">
        <v>397</v>
      </c>
      <c r="BM137" s="389" t="s">
        <v>332</v>
      </c>
      <c r="BN137" s="375"/>
      <c r="BO137" s="374"/>
      <c r="BP137" s="375"/>
      <c r="BQ137" s="374"/>
      <c r="BR137" s="389" t="s">
        <v>411</v>
      </c>
      <c r="BS137" s="388" t="s">
        <v>450</v>
      </c>
      <c r="BT137" s="390" t="s">
        <v>324</v>
      </c>
      <c r="BU137" s="3"/>
      <c r="BV137" s="3"/>
      <c r="BW137" s="3"/>
      <c r="BX137" s="3"/>
      <c r="BY137" s="3"/>
      <c r="BZ137" s="3"/>
      <c r="CA137" s="3"/>
      <c r="CB137" s="3"/>
      <c r="CC137" s="3"/>
      <c r="CD137" s="3"/>
      <c r="CE137" s="3"/>
      <c r="CF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71">
        <v>5.0</v>
      </c>
      <c r="AM138" s="29"/>
      <c r="AN138" s="372"/>
      <c r="AO138" s="109"/>
      <c r="AP138" s="373"/>
      <c r="AQ138" s="380"/>
      <c r="AR138" s="393"/>
      <c r="AS138" s="109"/>
      <c r="AT138" s="109"/>
      <c r="AU138" s="372"/>
      <c r="AV138" s="373"/>
      <c r="AW138" s="3"/>
      <c r="AX138" s="3"/>
      <c r="AY138" s="3"/>
      <c r="AZ138" s="3"/>
      <c r="BA138" s="3"/>
      <c r="BB138" s="3"/>
      <c r="BC138" s="3"/>
      <c r="BD138" s="3"/>
      <c r="BE138" s="3"/>
      <c r="BF138" s="3"/>
      <c r="BG138" s="3"/>
      <c r="BH138" s="3"/>
      <c r="BI138" s="3"/>
      <c r="BJ138" s="371">
        <v>5.0</v>
      </c>
      <c r="BK138" s="29"/>
      <c r="BL138" s="372"/>
      <c r="BM138" s="109"/>
      <c r="BN138" s="373"/>
      <c r="BO138" s="380"/>
      <c r="BP138" s="393"/>
      <c r="BQ138" s="109"/>
      <c r="BR138" s="109"/>
      <c r="BS138" s="372"/>
      <c r="BT138" s="373"/>
      <c r="BU138" s="3"/>
      <c r="BV138" s="3"/>
      <c r="BW138" s="3"/>
      <c r="BX138" s="3"/>
      <c r="BY138" s="3"/>
      <c r="BZ138" s="3"/>
      <c r="CA138" s="3"/>
      <c r="CB138" s="3"/>
      <c r="CC138" s="3"/>
      <c r="CD138" s="3"/>
      <c r="CE138" s="3"/>
      <c r="CF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66"/>
      <c r="AM139" s="29"/>
      <c r="AN139" s="372"/>
      <c r="AO139" s="109"/>
      <c r="AP139" s="92"/>
      <c r="AR139" s="92"/>
      <c r="AT139" s="109"/>
      <c r="AU139" s="372"/>
      <c r="AV139" s="373"/>
      <c r="AW139" s="3"/>
      <c r="AX139" s="3"/>
      <c r="AY139" s="3"/>
      <c r="AZ139" s="3"/>
      <c r="BA139" s="3"/>
      <c r="BB139" s="3"/>
      <c r="BC139" s="3"/>
      <c r="BD139" s="3"/>
      <c r="BE139" s="3"/>
      <c r="BF139" s="3"/>
      <c r="BG139" s="3"/>
      <c r="BH139" s="3"/>
      <c r="BI139" s="3"/>
      <c r="BJ139" s="66"/>
      <c r="BK139" s="29"/>
      <c r="BL139" s="372"/>
      <c r="BM139" s="109"/>
      <c r="BN139" s="92"/>
      <c r="BP139" s="92"/>
      <c r="BR139" s="109"/>
      <c r="BS139" s="372"/>
      <c r="BT139" s="373"/>
      <c r="BU139" s="3"/>
      <c r="BV139" s="3"/>
      <c r="BW139" s="3"/>
      <c r="BX139" s="3"/>
      <c r="BY139" s="3"/>
      <c r="BZ139" s="3"/>
      <c r="CA139" s="3"/>
      <c r="CB139" s="3"/>
      <c r="CC139" s="3"/>
      <c r="CD139" s="3"/>
      <c r="CE139" s="3"/>
      <c r="CF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66"/>
      <c r="AM140" s="29"/>
      <c r="AN140" s="372"/>
      <c r="AO140" s="109"/>
      <c r="AP140" s="92"/>
      <c r="AR140" s="92"/>
      <c r="AT140" s="109"/>
      <c r="AU140" s="372"/>
      <c r="AV140" s="373"/>
      <c r="AW140" s="3"/>
      <c r="AX140" s="3"/>
      <c r="AY140" s="3"/>
      <c r="AZ140" s="3"/>
      <c r="BA140" s="3"/>
      <c r="BB140" s="3"/>
      <c r="BC140" s="3"/>
      <c r="BD140" s="3"/>
      <c r="BE140" s="3"/>
      <c r="BF140" s="3"/>
      <c r="BG140" s="3"/>
      <c r="BH140" s="3"/>
      <c r="BI140" s="3"/>
      <c r="BJ140" s="66"/>
      <c r="BK140" s="29"/>
      <c r="BL140" s="372"/>
      <c r="BM140" s="109"/>
      <c r="BN140" s="92"/>
      <c r="BP140" s="92"/>
      <c r="BR140" s="109"/>
      <c r="BS140" s="372"/>
      <c r="BT140" s="373"/>
      <c r="BU140" s="3"/>
      <c r="BV140" s="3"/>
      <c r="BW140" s="3"/>
      <c r="BX140" s="3"/>
      <c r="BY140" s="3"/>
      <c r="BZ140" s="3"/>
      <c r="CA140" s="3"/>
      <c r="CB140" s="3"/>
      <c r="CC140" s="3"/>
      <c r="CD140" s="3"/>
      <c r="CE140" s="3"/>
      <c r="CF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66"/>
      <c r="AM141" s="29"/>
      <c r="AN141" s="372"/>
      <c r="AO141" s="109"/>
      <c r="AP141" s="92"/>
      <c r="AR141" s="92"/>
      <c r="AT141" s="109"/>
      <c r="AU141" s="372"/>
      <c r="AV141" s="373"/>
      <c r="AW141" s="3"/>
      <c r="AX141" s="3"/>
      <c r="AY141" s="3"/>
      <c r="AZ141" s="3"/>
      <c r="BA141" s="3"/>
      <c r="BB141" s="3"/>
      <c r="BC141" s="3"/>
      <c r="BD141" s="3"/>
      <c r="BE141" s="3"/>
      <c r="BF141" s="3"/>
      <c r="BG141" s="3"/>
      <c r="BH141" s="3"/>
      <c r="BI141" s="3"/>
      <c r="BJ141" s="66"/>
      <c r="BK141" s="29"/>
      <c r="BL141" s="372"/>
      <c r="BM141" s="109"/>
      <c r="BN141" s="92"/>
      <c r="BP141" s="92"/>
      <c r="BR141" s="109"/>
      <c r="BS141" s="372"/>
      <c r="BT141" s="373"/>
      <c r="BU141" s="3"/>
      <c r="BV141" s="3"/>
      <c r="BW141" s="3"/>
      <c r="BX141" s="3"/>
      <c r="BY141" s="3"/>
      <c r="BZ141" s="3"/>
      <c r="CA141" s="3"/>
      <c r="CB141" s="3"/>
      <c r="CC141" s="3"/>
      <c r="CD141" s="3"/>
      <c r="CE141" s="3"/>
      <c r="CF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94"/>
      <c r="AM142" s="394"/>
      <c r="AN142" s="395"/>
      <c r="AO142" s="132"/>
      <c r="AP142" s="93"/>
      <c r="AQ142" s="22"/>
      <c r="AR142" s="93"/>
      <c r="AS142" s="22"/>
      <c r="AT142" s="132"/>
      <c r="AU142" s="395"/>
      <c r="AV142" s="396"/>
      <c r="AW142" s="3"/>
      <c r="AX142" s="3"/>
      <c r="AY142" s="3"/>
      <c r="AZ142" s="3"/>
      <c r="BA142" s="3"/>
      <c r="BB142" s="3"/>
      <c r="BC142" s="3"/>
      <c r="BD142" s="3"/>
      <c r="BE142" s="3"/>
      <c r="BF142" s="3"/>
      <c r="BG142" s="3"/>
      <c r="BH142" s="3"/>
      <c r="BI142" s="3"/>
      <c r="BJ142" s="94"/>
      <c r="BK142" s="394"/>
      <c r="BL142" s="395"/>
      <c r="BM142" s="132"/>
      <c r="BN142" s="93"/>
      <c r="BO142" s="22"/>
      <c r="BP142" s="93"/>
      <c r="BQ142" s="22"/>
      <c r="BR142" s="132"/>
      <c r="BS142" s="395"/>
      <c r="BT142" s="396"/>
      <c r="BU142" s="3"/>
      <c r="BV142" s="3"/>
      <c r="BW142" s="3"/>
      <c r="BX142" s="3"/>
      <c r="BY142" s="3"/>
      <c r="BZ142" s="3"/>
      <c r="CA142" s="3"/>
      <c r="CB142" s="3"/>
      <c r="CC142" s="3"/>
      <c r="CD142" s="3"/>
      <c r="CE142" s="3"/>
      <c r="CF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97"/>
      <c r="AM143" s="397"/>
      <c r="AN143" s="397"/>
      <c r="AO143" s="397"/>
      <c r="AP143" s="398"/>
      <c r="AQ143" s="399">
        <f t="shared" ref="AQ143:AR143" si="20">COUNTIF(AQ118:AQ142, "W")</f>
        <v>1</v>
      </c>
      <c r="AR143" s="400">
        <f t="shared" si="20"/>
        <v>3</v>
      </c>
      <c r="AS143" s="398"/>
      <c r="AT143" s="397"/>
      <c r="AU143" s="397"/>
      <c r="AV143" s="397"/>
      <c r="AW143" s="3"/>
      <c r="AX143" s="3"/>
      <c r="AY143" s="3"/>
      <c r="AZ143" s="3"/>
      <c r="BA143" s="3"/>
      <c r="BB143" s="3"/>
      <c r="BC143" s="3"/>
      <c r="BD143" s="3"/>
      <c r="BE143" s="3"/>
      <c r="BF143" s="3"/>
      <c r="BG143" s="3"/>
      <c r="BH143" s="3"/>
      <c r="BI143" s="3"/>
      <c r="BJ143" s="397"/>
      <c r="BK143" s="397"/>
      <c r="BL143" s="397"/>
      <c r="BM143" s="397"/>
      <c r="BN143" s="398"/>
      <c r="BO143" s="399">
        <f t="shared" ref="BO143:BP143" si="21">COUNTIF(BO118:BO142, "W")</f>
        <v>1</v>
      </c>
      <c r="BP143" s="400">
        <f t="shared" si="21"/>
        <v>3</v>
      </c>
      <c r="BQ143" s="398"/>
      <c r="BR143" s="397"/>
      <c r="BS143" s="397"/>
      <c r="BT143" s="397"/>
      <c r="BU143" s="3"/>
      <c r="BV143" s="3"/>
      <c r="BW143" s="3"/>
      <c r="BX143" s="3"/>
      <c r="BY143" s="3"/>
      <c r="BZ143" s="3"/>
      <c r="CA143" s="3"/>
      <c r="CB143" s="3"/>
      <c r="CC143" s="3"/>
      <c r="CD143" s="3"/>
      <c r="CE143" s="3"/>
      <c r="CF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97"/>
      <c r="AM144" s="397"/>
      <c r="AN144" s="397"/>
      <c r="AO144" s="397"/>
      <c r="AP144" s="398"/>
      <c r="AQ144" s="397"/>
      <c r="AR144" s="397"/>
      <c r="AS144" s="398"/>
      <c r="AT144" s="397"/>
      <c r="AU144" s="397"/>
      <c r="AV144" s="397"/>
      <c r="AW144" s="3"/>
      <c r="AX144" s="3"/>
      <c r="AY144" s="3"/>
      <c r="AZ144" s="3"/>
      <c r="BA144" s="3"/>
      <c r="BB144" s="3"/>
      <c r="BC144" s="3"/>
      <c r="BD144" s="3"/>
      <c r="BE144" s="3"/>
      <c r="BF144" s="3"/>
      <c r="BG144" s="3"/>
      <c r="BH144" s="3"/>
      <c r="BI144" s="3"/>
      <c r="BJ144" s="43"/>
      <c r="BK144" s="43"/>
      <c r="BL144" s="43"/>
      <c r="BM144" s="43"/>
      <c r="BN144" s="43"/>
      <c r="BO144" s="43"/>
      <c r="BP144" s="43"/>
      <c r="BQ144" s="43"/>
      <c r="BR144" s="43"/>
      <c r="BS144" s="43"/>
      <c r="BT144" s="43"/>
      <c r="BU144" s="3"/>
      <c r="BV144" s="3"/>
      <c r="BW144" s="3"/>
      <c r="BX144" s="3"/>
      <c r="BY144" s="3"/>
      <c r="BZ144" s="3"/>
      <c r="CA144" s="3"/>
      <c r="CB144" s="3"/>
      <c r="CC144" s="3"/>
      <c r="CD144" s="3"/>
      <c r="CE144" s="3"/>
      <c r="CF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97"/>
      <c r="AM145" s="397"/>
      <c r="AN145" s="397"/>
      <c r="AO145" s="397"/>
      <c r="AP145" s="398"/>
      <c r="AQ145" s="397"/>
      <c r="AR145" s="397"/>
      <c r="AS145" s="398"/>
      <c r="AT145" s="397"/>
      <c r="AU145" s="397"/>
      <c r="AV145" s="397"/>
      <c r="AW145" s="3"/>
      <c r="AX145" s="3"/>
      <c r="AY145" s="3"/>
      <c r="AZ145" s="3"/>
      <c r="BA145" s="3"/>
      <c r="BB145" s="3"/>
      <c r="BC145" s="3"/>
      <c r="BD145" s="3"/>
      <c r="BE145" s="3"/>
      <c r="BF145" s="3"/>
      <c r="BG145" s="3"/>
      <c r="BH145" s="3"/>
      <c r="BI145" s="3"/>
      <c r="BJ145" s="354" t="str">
        <f>'Schedule | CQ + Playoffs'!M7</f>
        <v>FORZE</v>
      </c>
      <c r="BK145" s="8"/>
      <c r="BL145" s="8"/>
      <c r="BM145" s="8"/>
      <c r="BN145" s="68"/>
      <c r="BO145" s="351" t="str">
        <f>'Schedule | CQ + Playoffs'!T7</f>
        <v>Match 4</v>
      </c>
      <c r="BP145" s="68"/>
      <c r="BQ145" s="424" t="str">
        <f>'Schedule | CQ + Playoffs'!Q7</f>
        <v>Virtus.pro</v>
      </c>
      <c r="BR145" s="8"/>
      <c r="BS145" s="8"/>
      <c r="BT145" s="68"/>
      <c r="BU145" s="3"/>
      <c r="BV145" s="3"/>
      <c r="BW145" s="3"/>
      <c r="BX145" s="3"/>
      <c r="BY145" s="3"/>
      <c r="BZ145" s="3"/>
      <c r="CA145" s="3"/>
      <c r="CB145" s="3"/>
      <c r="CC145" s="3"/>
      <c r="CD145" s="3"/>
      <c r="CE145" s="3"/>
      <c r="CF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97"/>
      <c r="AM146" s="397"/>
      <c r="AN146" s="397"/>
      <c r="AO146" s="397"/>
      <c r="AP146" s="398"/>
      <c r="AQ146" s="397"/>
      <c r="AR146" s="397"/>
      <c r="AS146" s="398"/>
      <c r="AT146" s="397"/>
      <c r="AU146" s="397"/>
      <c r="AV146" s="397"/>
      <c r="AW146" s="3"/>
      <c r="AX146" s="3"/>
      <c r="AY146" s="3"/>
      <c r="AZ146" s="3"/>
      <c r="BA146" s="3"/>
      <c r="BB146" s="3"/>
      <c r="BC146" s="3"/>
      <c r="BD146" s="3"/>
      <c r="BE146" s="3"/>
      <c r="BF146" s="3"/>
      <c r="BG146" s="3"/>
      <c r="BH146" s="3"/>
      <c r="BI146" s="3"/>
      <c r="BJ146" s="61"/>
      <c r="BK146" s="22"/>
      <c r="BL146" s="22"/>
      <c r="BM146" s="22"/>
      <c r="BN146" s="93"/>
      <c r="BO146" s="61"/>
      <c r="BP146" s="93"/>
      <c r="BQ146" s="61"/>
      <c r="BR146" s="22"/>
      <c r="BS146" s="22"/>
      <c r="BT146" s="93"/>
      <c r="BU146" s="3"/>
      <c r="BV146" s="3"/>
      <c r="BW146" s="3"/>
      <c r="BX146" s="3"/>
      <c r="BY146" s="3"/>
      <c r="BZ146" s="3"/>
      <c r="CA146" s="3"/>
      <c r="CB146" s="3"/>
      <c r="CC146" s="3"/>
      <c r="CD146" s="3"/>
      <c r="CE146" s="3"/>
      <c r="CF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97"/>
      <c r="AM147" s="397"/>
      <c r="AN147" s="397"/>
      <c r="AO147" s="397"/>
      <c r="AP147" s="398"/>
      <c r="AQ147" s="397"/>
      <c r="AR147" s="397"/>
      <c r="AS147" s="398"/>
      <c r="AT147" s="397"/>
      <c r="AU147" s="397"/>
      <c r="AV147" s="397"/>
      <c r="AW147" s="3"/>
      <c r="AX147" s="3"/>
      <c r="AY147" s="3"/>
      <c r="AZ147" s="3"/>
      <c r="BA147" s="3"/>
      <c r="BB147" s="3"/>
      <c r="BC147" s="3"/>
      <c r="BD147" s="3"/>
      <c r="BE147" s="3"/>
      <c r="BF147" s="3"/>
      <c r="BG147" s="3"/>
      <c r="BH147" s="3"/>
      <c r="BI147" s="3"/>
      <c r="BJ147" s="356" t="s">
        <v>307</v>
      </c>
      <c r="BK147" s="365" t="s">
        <v>308</v>
      </c>
      <c r="BL147" s="358" t="s">
        <v>309</v>
      </c>
      <c r="BM147" s="363" t="s">
        <v>310</v>
      </c>
      <c r="BN147" s="366" t="s">
        <v>311</v>
      </c>
      <c r="BO147" s="360" t="s">
        <v>259</v>
      </c>
      <c r="BP147" s="100"/>
      <c r="BQ147" s="360" t="s">
        <v>311</v>
      </c>
      <c r="BR147" s="363" t="s">
        <v>312</v>
      </c>
      <c r="BS147" s="358" t="s">
        <v>313</v>
      </c>
      <c r="BT147" s="364" t="s">
        <v>314</v>
      </c>
      <c r="BU147" s="3"/>
      <c r="BV147" s="3"/>
      <c r="BW147" s="3"/>
      <c r="BX147" s="3"/>
      <c r="BY147" s="3"/>
      <c r="BZ147" s="3"/>
      <c r="CA147" s="3"/>
      <c r="CB147" s="3"/>
      <c r="CC147" s="3"/>
      <c r="CD147" s="3"/>
      <c r="CE147" s="3"/>
      <c r="CF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97"/>
      <c r="AM148" s="397"/>
      <c r="AN148" s="397"/>
      <c r="AO148" s="397"/>
      <c r="AP148" s="398"/>
      <c r="AQ148" s="397"/>
      <c r="AR148" s="397"/>
      <c r="AS148" s="398"/>
      <c r="AT148" s="397"/>
      <c r="AU148" s="397"/>
      <c r="AV148" s="397"/>
      <c r="AW148" s="3"/>
      <c r="AX148" s="3"/>
      <c r="AY148" s="3"/>
      <c r="AZ148" s="3"/>
      <c r="BA148" s="3"/>
      <c r="BB148" s="3"/>
      <c r="BC148" s="3"/>
      <c r="BD148" s="3"/>
      <c r="BE148" s="3"/>
      <c r="BF148" s="3"/>
      <c r="BG148" s="3"/>
      <c r="BH148" s="3"/>
      <c r="BI148" s="3"/>
      <c r="BJ148" s="371">
        <v>1.0</v>
      </c>
      <c r="BK148" s="169" t="s">
        <v>342</v>
      </c>
      <c r="BL148" s="368" t="s">
        <v>330</v>
      </c>
      <c r="BM148" s="14" t="s">
        <v>331</v>
      </c>
      <c r="BN148" s="171" t="s">
        <v>318</v>
      </c>
      <c r="BO148" s="369" t="s">
        <v>320</v>
      </c>
      <c r="BP148" s="370" t="s">
        <v>319</v>
      </c>
      <c r="BQ148" s="14" t="s">
        <v>321</v>
      </c>
      <c r="BR148" s="14" t="s">
        <v>328</v>
      </c>
      <c r="BS148" s="234" t="s">
        <v>393</v>
      </c>
      <c r="BT148" s="171" t="s">
        <v>346</v>
      </c>
      <c r="BU148" s="3"/>
      <c r="BV148" s="3"/>
      <c r="BW148" s="3"/>
      <c r="BX148" s="3"/>
      <c r="BY148" s="3"/>
      <c r="BZ148" s="3"/>
      <c r="CA148" s="3"/>
      <c r="CB148" s="3"/>
      <c r="CC148" s="3"/>
      <c r="CD148" s="3"/>
      <c r="CE148" s="3"/>
      <c r="CF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97"/>
      <c r="AM149" s="397"/>
      <c r="AN149" s="397"/>
      <c r="AO149" s="397"/>
      <c r="AP149" s="398"/>
      <c r="AQ149" s="397"/>
      <c r="AR149" s="397"/>
      <c r="AS149" s="398"/>
      <c r="AT149" s="397"/>
      <c r="AU149" s="397"/>
      <c r="AV149" s="397"/>
      <c r="AW149" s="3"/>
      <c r="AX149" s="3"/>
      <c r="AY149" s="3"/>
      <c r="AZ149" s="3"/>
      <c r="BA149" s="3"/>
      <c r="BB149" s="3"/>
      <c r="BC149" s="3"/>
      <c r="BD149" s="3"/>
      <c r="BE149" s="3"/>
      <c r="BF149" s="3"/>
      <c r="BG149" s="3"/>
      <c r="BH149" s="3"/>
      <c r="BI149" s="3"/>
      <c r="BJ149" s="66"/>
      <c r="BK149" s="29" t="s">
        <v>315</v>
      </c>
      <c r="BL149" s="372" t="s">
        <v>349</v>
      </c>
      <c r="BM149" s="109" t="s">
        <v>377</v>
      </c>
      <c r="BN149" s="92"/>
      <c r="BP149" s="92"/>
      <c r="BR149" s="109" t="s">
        <v>341</v>
      </c>
      <c r="BS149" s="242" t="s">
        <v>365</v>
      </c>
      <c r="BT149" s="373" t="s">
        <v>337</v>
      </c>
      <c r="BU149" s="3"/>
      <c r="BV149" s="3"/>
      <c r="BW149" s="3"/>
      <c r="BX149" s="3"/>
      <c r="BY149" s="3"/>
      <c r="BZ149" s="3"/>
      <c r="CA149" s="3"/>
      <c r="CB149" s="3"/>
      <c r="CC149" s="3"/>
      <c r="CD149" s="3"/>
      <c r="CE149" s="3"/>
      <c r="CF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97"/>
      <c r="AM150" s="397"/>
      <c r="AN150" s="397"/>
      <c r="AO150" s="397"/>
      <c r="AP150" s="398"/>
      <c r="AQ150" s="397"/>
      <c r="AR150" s="397"/>
      <c r="AS150" s="398"/>
      <c r="AT150" s="397"/>
      <c r="AU150" s="397"/>
      <c r="AV150" s="397"/>
      <c r="AW150" s="3"/>
      <c r="AX150" s="3"/>
      <c r="AY150" s="3"/>
      <c r="AZ150" s="3"/>
      <c r="BA150" s="3"/>
      <c r="BB150" s="3"/>
      <c r="BC150" s="3"/>
      <c r="BD150" s="3"/>
      <c r="BE150" s="3"/>
      <c r="BF150" s="3"/>
      <c r="BG150" s="3"/>
      <c r="BH150" s="3"/>
      <c r="BI150" s="3"/>
      <c r="BJ150" s="66"/>
      <c r="BK150" s="29" t="s">
        <v>357</v>
      </c>
      <c r="BL150" s="372" t="s">
        <v>326</v>
      </c>
      <c r="BM150" s="109" t="s">
        <v>354</v>
      </c>
      <c r="BN150" s="92"/>
      <c r="BP150" s="92"/>
      <c r="BR150" s="109" t="s">
        <v>325</v>
      </c>
      <c r="BS150" s="242" t="s">
        <v>335</v>
      </c>
      <c r="BT150" s="373" t="s">
        <v>324</v>
      </c>
      <c r="BU150" s="3"/>
      <c r="BV150" s="3"/>
      <c r="BW150" s="3"/>
      <c r="BX150" s="3"/>
      <c r="BY150" s="3"/>
      <c r="BZ150" s="3"/>
      <c r="CA150" s="3"/>
      <c r="CB150" s="3"/>
      <c r="CC150" s="3"/>
      <c r="CD150" s="3"/>
      <c r="CE150" s="3"/>
      <c r="CF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97"/>
      <c r="AM151" s="397"/>
      <c r="AN151" s="397"/>
      <c r="AO151" s="397"/>
      <c r="AP151" s="398"/>
      <c r="AQ151" s="397"/>
      <c r="AR151" s="397"/>
      <c r="AS151" s="398"/>
      <c r="AT151" s="397"/>
      <c r="AU151" s="397"/>
      <c r="AV151" s="397"/>
      <c r="AW151" s="3"/>
      <c r="AX151" s="3"/>
      <c r="AY151" s="3"/>
      <c r="AZ151" s="3"/>
      <c r="BA151" s="3"/>
      <c r="BB151" s="3"/>
      <c r="BC151" s="3"/>
      <c r="BD151" s="3"/>
      <c r="BE151" s="3"/>
      <c r="BF151" s="3"/>
      <c r="BG151" s="3"/>
      <c r="BH151" s="3"/>
      <c r="BI151" s="3"/>
      <c r="BJ151" s="66"/>
      <c r="BK151" s="29" t="s">
        <v>332</v>
      </c>
      <c r="BL151" s="372" t="s">
        <v>378</v>
      </c>
      <c r="BM151" s="109" t="s">
        <v>385</v>
      </c>
      <c r="BN151" s="92"/>
      <c r="BP151" s="92"/>
      <c r="BR151" s="109" t="s">
        <v>352</v>
      </c>
      <c r="BS151" s="242" t="s">
        <v>351</v>
      </c>
      <c r="BT151" s="373" t="s">
        <v>327</v>
      </c>
      <c r="BU151" s="3"/>
      <c r="BV151" s="3"/>
      <c r="BW151" s="3"/>
      <c r="BX151" s="3"/>
      <c r="BY151" s="3"/>
      <c r="BZ151" s="3"/>
      <c r="CA151" s="3"/>
      <c r="CB151" s="3"/>
      <c r="CC151" s="3"/>
      <c r="CD151" s="3"/>
      <c r="CE151" s="3"/>
      <c r="CF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97"/>
      <c r="AM152" s="397"/>
      <c r="AN152" s="397"/>
      <c r="AO152" s="397"/>
      <c r="AP152" s="398"/>
      <c r="AQ152" s="397"/>
      <c r="AR152" s="397"/>
      <c r="AS152" s="398"/>
      <c r="AT152" s="397"/>
      <c r="AU152" s="397"/>
      <c r="AV152" s="397"/>
      <c r="AW152" s="3"/>
      <c r="AX152" s="3"/>
      <c r="AY152" s="3"/>
      <c r="AZ152" s="3"/>
      <c r="BA152" s="3"/>
      <c r="BB152" s="3"/>
      <c r="BC152" s="3"/>
      <c r="BD152" s="3"/>
      <c r="BE152" s="3"/>
      <c r="BF152" s="3"/>
      <c r="BG152" s="3"/>
      <c r="BH152" s="3"/>
      <c r="BI152" s="3"/>
      <c r="BJ152" s="66"/>
      <c r="BK152" s="29" t="s">
        <v>376</v>
      </c>
      <c r="BL152" s="372" t="s">
        <v>338</v>
      </c>
      <c r="BM152" s="109" t="s">
        <v>395</v>
      </c>
      <c r="BN152" s="92"/>
      <c r="BO152" s="374"/>
      <c r="BP152" s="375"/>
      <c r="BQ152" s="374"/>
      <c r="BR152" s="109" t="s">
        <v>382</v>
      </c>
      <c r="BS152" s="242" t="s">
        <v>381</v>
      </c>
      <c r="BT152" s="373" t="s">
        <v>334</v>
      </c>
      <c r="BU152" s="3"/>
      <c r="BV152" s="3"/>
      <c r="BW152" s="3"/>
      <c r="BX152" s="3"/>
      <c r="BY152" s="3"/>
      <c r="BZ152" s="3"/>
      <c r="CA152" s="3"/>
      <c r="CB152" s="3"/>
      <c r="CC152" s="3"/>
      <c r="CD152" s="3"/>
      <c r="CE152" s="3"/>
      <c r="CF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97"/>
      <c r="AM153" s="397"/>
      <c r="AN153" s="397"/>
      <c r="AO153" s="397"/>
      <c r="AP153" s="398"/>
      <c r="AQ153" s="397"/>
      <c r="AR153" s="397"/>
      <c r="AS153" s="398"/>
      <c r="AT153" s="397"/>
      <c r="AU153" s="397"/>
      <c r="AV153" s="397"/>
      <c r="AW153" s="3"/>
      <c r="AX153" s="3"/>
      <c r="AY153" s="3"/>
      <c r="AZ153" s="3"/>
      <c r="BA153" s="3"/>
      <c r="BB153" s="3"/>
      <c r="BC153" s="3"/>
      <c r="BD153" s="3"/>
      <c r="BE153" s="3"/>
      <c r="BF153" s="3"/>
      <c r="BG153" s="3"/>
      <c r="BH153" s="3"/>
      <c r="BI153" s="3"/>
      <c r="BJ153" s="383">
        <v>2.0</v>
      </c>
      <c r="BK153" s="376" t="s">
        <v>342</v>
      </c>
      <c r="BL153" s="377" t="s">
        <v>338</v>
      </c>
      <c r="BM153" s="378" t="s">
        <v>324</v>
      </c>
      <c r="BN153" s="379" t="s">
        <v>321</v>
      </c>
      <c r="BO153" s="381" t="s">
        <v>320</v>
      </c>
      <c r="BP153" s="382" t="s">
        <v>319</v>
      </c>
      <c r="BQ153" s="378" t="s">
        <v>318</v>
      </c>
      <c r="BR153" s="378" t="s">
        <v>414</v>
      </c>
      <c r="BS153" s="384" t="s">
        <v>393</v>
      </c>
      <c r="BT153" s="379" t="s">
        <v>334</v>
      </c>
      <c r="BU153" s="3"/>
      <c r="BV153" s="3"/>
      <c r="BW153" s="3"/>
      <c r="BX153" s="3"/>
      <c r="BY153" s="3"/>
      <c r="BZ153" s="3"/>
      <c r="CA153" s="3"/>
      <c r="CB153" s="3"/>
      <c r="CC153" s="3"/>
      <c r="CD153" s="3"/>
      <c r="CE153" s="3"/>
      <c r="CF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97"/>
      <c r="AM154" s="397"/>
      <c r="AN154" s="397"/>
      <c r="AO154" s="397"/>
      <c r="AP154" s="398"/>
      <c r="AQ154" s="397"/>
      <c r="AR154" s="397"/>
      <c r="AS154" s="398"/>
      <c r="AT154" s="397"/>
      <c r="AU154" s="397"/>
      <c r="AV154" s="397"/>
      <c r="AW154" s="3"/>
      <c r="AX154" s="3"/>
      <c r="AY154" s="3"/>
      <c r="AZ154" s="3"/>
      <c r="BA154" s="3"/>
      <c r="BB154" s="3"/>
      <c r="BC154" s="3"/>
      <c r="BD154" s="3"/>
      <c r="BE154" s="3"/>
      <c r="BF154" s="3"/>
      <c r="BG154" s="3"/>
      <c r="BH154" s="3"/>
      <c r="BI154" s="3"/>
      <c r="BJ154" s="66"/>
      <c r="BK154" s="29" t="s">
        <v>327</v>
      </c>
      <c r="BL154" s="372" t="s">
        <v>326</v>
      </c>
      <c r="BM154" s="109" t="s">
        <v>374</v>
      </c>
      <c r="BN154" s="92"/>
      <c r="BP154" s="92"/>
      <c r="BR154" s="109" t="s">
        <v>373</v>
      </c>
      <c r="BS154" s="242" t="s">
        <v>365</v>
      </c>
      <c r="BT154" s="373" t="s">
        <v>315</v>
      </c>
      <c r="BU154" s="3"/>
      <c r="BV154" s="3"/>
      <c r="BW154" s="3"/>
      <c r="BX154" s="3"/>
      <c r="BY154" s="3"/>
      <c r="BZ154" s="3"/>
      <c r="CA154" s="3"/>
      <c r="CB154" s="3"/>
      <c r="CC154" s="3"/>
      <c r="CD154" s="3"/>
      <c r="CE154" s="3"/>
      <c r="CF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97"/>
      <c r="AM155" s="397"/>
      <c r="AN155" s="397"/>
      <c r="AO155" s="397"/>
      <c r="AP155" s="398"/>
      <c r="AQ155" s="397"/>
      <c r="AR155" s="397"/>
      <c r="AS155" s="398"/>
      <c r="AT155" s="397"/>
      <c r="AU155" s="397"/>
      <c r="AV155" s="397"/>
      <c r="AW155" s="3"/>
      <c r="AX155" s="3"/>
      <c r="AY155" s="3"/>
      <c r="AZ155" s="3"/>
      <c r="BA155" s="3"/>
      <c r="BB155" s="3"/>
      <c r="BC155" s="3"/>
      <c r="BD155" s="3"/>
      <c r="BE155" s="3"/>
      <c r="BF155" s="3"/>
      <c r="BG155" s="3"/>
      <c r="BH155" s="3"/>
      <c r="BI155" s="3"/>
      <c r="BJ155" s="66"/>
      <c r="BK155" s="29" t="s">
        <v>341</v>
      </c>
      <c r="BL155" s="372" t="s">
        <v>378</v>
      </c>
      <c r="BM155" s="109" t="s">
        <v>346</v>
      </c>
      <c r="BN155" s="92"/>
      <c r="BP155" s="92"/>
      <c r="BR155" s="109" t="s">
        <v>352</v>
      </c>
      <c r="BS155" s="242" t="s">
        <v>351</v>
      </c>
      <c r="BT155" s="373" t="s">
        <v>328</v>
      </c>
      <c r="BU155" s="3"/>
      <c r="BV155" s="3"/>
      <c r="BW155" s="3"/>
      <c r="BX155" s="3"/>
      <c r="BY155" s="3"/>
      <c r="BZ155" s="3"/>
      <c r="CA155" s="3"/>
      <c r="CB155" s="3"/>
      <c r="CC155" s="3"/>
      <c r="CD155" s="3"/>
      <c r="CE155" s="3"/>
      <c r="CF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97"/>
      <c r="AM156" s="397"/>
      <c r="AN156" s="397"/>
      <c r="AO156" s="397"/>
      <c r="AP156" s="398"/>
      <c r="AQ156" s="397"/>
      <c r="AR156" s="397"/>
      <c r="AS156" s="398"/>
      <c r="AT156" s="397"/>
      <c r="AU156" s="397"/>
      <c r="AV156" s="397"/>
      <c r="AW156" s="3"/>
      <c r="AX156" s="3"/>
      <c r="AY156" s="3"/>
      <c r="AZ156" s="3"/>
      <c r="BA156" s="3"/>
      <c r="BB156" s="3"/>
      <c r="BC156" s="3"/>
      <c r="BD156" s="3"/>
      <c r="BE156" s="3"/>
      <c r="BF156" s="3"/>
      <c r="BG156" s="3"/>
      <c r="BH156" s="3"/>
      <c r="BI156" s="3"/>
      <c r="BJ156" s="66"/>
      <c r="BK156" s="29" t="s">
        <v>332</v>
      </c>
      <c r="BL156" s="372" t="s">
        <v>349</v>
      </c>
      <c r="BM156" s="109" t="s">
        <v>384</v>
      </c>
      <c r="BN156" s="92"/>
      <c r="BP156" s="92"/>
      <c r="BR156" s="109" t="s">
        <v>331</v>
      </c>
      <c r="BS156" s="242" t="s">
        <v>335</v>
      </c>
      <c r="BT156" s="373" t="s">
        <v>413</v>
      </c>
      <c r="BU156" s="3"/>
      <c r="BV156" s="3"/>
      <c r="BW156" s="3"/>
      <c r="BX156" s="3"/>
      <c r="BY156" s="3"/>
      <c r="BZ156" s="3"/>
      <c r="CA156" s="3"/>
      <c r="CB156" s="3"/>
      <c r="CC156" s="3"/>
      <c r="CD156" s="3"/>
      <c r="CE156" s="3"/>
      <c r="CF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97"/>
      <c r="AM157" s="397"/>
      <c r="AN157" s="397"/>
      <c r="AO157" s="397"/>
      <c r="AP157" s="398"/>
      <c r="AQ157" s="397"/>
      <c r="AR157" s="397"/>
      <c r="AS157" s="398"/>
      <c r="AT157" s="397"/>
      <c r="AU157" s="397"/>
      <c r="AV157" s="397"/>
      <c r="AW157" s="3"/>
      <c r="AX157" s="3"/>
      <c r="AY157" s="3"/>
      <c r="AZ157" s="3"/>
      <c r="BA157" s="3"/>
      <c r="BB157" s="3"/>
      <c r="BC157" s="3"/>
      <c r="BD157" s="3"/>
      <c r="BE157" s="3"/>
      <c r="BF157" s="3"/>
      <c r="BG157" s="3"/>
      <c r="BH157" s="3"/>
      <c r="BI157" s="3"/>
      <c r="BJ157" s="134"/>
      <c r="BK157" s="387" t="s">
        <v>376</v>
      </c>
      <c r="BL157" s="388" t="s">
        <v>330</v>
      </c>
      <c r="BM157" s="109" t="s">
        <v>412</v>
      </c>
      <c r="BN157" s="375"/>
      <c r="BO157" s="374"/>
      <c r="BP157" s="375"/>
      <c r="BQ157" s="374"/>
      <c r="BR157" s="389" t="s">
        <v>398</v>
      </c>
      <c r="BS157" s="391" t="s">
        <v>381</v>
      </c>
      <c r="BT157" s="390" t="s">
        <v>325</v>
      </c>
      <c r="BU157" s="3"/>
      <c r="BV157" s="3"/>
      <c r="BW157" s="3"/>
      <c r="BX157" s="3"/>
      <c r="BY157" s="3"/>
      <c r="BZ157" s="3"/>
      <c r="CA157" s="3"/>
      <c r="CB157" s="3"/>
      <c r="CC157" s="3"/>
      <c r="CD157" s="3"/>
      <c r="CE157" s="3"/>
      <c r="CF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97"/>
      <c r="AM158" s="397"/>
      <c r="AN158" s="397"/>
      <c r="AO158" s="397"/>
      <c r="AP158" s="398"/>
      <c r="AQ158" s="397"/>
      <c r="AR158" s="397"/>
      <c r="AS158" s="398"/>
      <c r="AT158" s="397"/>
      <c r="AU158" s="397"/>
      <c r="AV158" s="397"/>
      <c r="AW158" s="3"/>
      <c r="AX158" s="3"/>
      <c r="AY158" s="3"/>
      <c r="AZ158" s="3"/>
      <c r="BA158" s="3"/>
      <c r="BB158" s="3"/>
      <c r="BC158" s="3"/>
      <c r="BD158" s="3"/>
      <c r="BE158" s="3"/>
      <c r="BF158" s="3"/>
      <c r="BG158" s="3"/>
      <c r="BH158" s="3"/>
      <c r="BI158" s="3"/>
      <c r="BJ158" s="383">
        <v>3.0</v>
      </c>
      <c r="BK158" s="376" t="s">
        <v>342</v>
      </c>
      <c r="BL158" s="377" t="s">
        <v>326</v>
      </c>
      <c r="BM158" s="378" t="s">
        <v>341</v>
      </c>
      <c r="BN158" s="379" t="s">
        <v>321</v>
      </c>
      <c r="BO158" s="381" t="s">
        <v>319</v>
      </c>
      <c r="BP158" s="382" t="s">
        <v>320</v>
      </c>
      <c r="BQ158" s="378" t="s">
        <v>318</v>
      </c>
      <c r="BR158" s="378" t="s">
        <v>352</v>
      </c>
      <c r="BS158" s="242" t="s">
        <v>351</v>
      </c>
      <c r="BT158" s="379" t="s">
        <v>334</v>
      </c>
      <c r="BU158" s="3"/>
      <c r="BV158" s="3"/>
      <c r="BW158" s="3"/>
      <c r="BX158" s="3"/>
      <c r="BY158" s="3"/>
      <c r="BZ158" s="3"/>
      <c r="CA158" s="3"/>
      <c r="CB158" s="3"/>
      <c r="CC158" s="3"/>
      <c r="CD158" s="3"/>
      <c r="CE158" s="3"/>
      <c r="CF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97"/>
      <c r="AM159" s="397"/>
      <c r="AN159" s="397"/>
      <c r="AO159" s="397"/>
      <c r="AP159" s="398"/>
      <c r="AQ159" s="397"/>
      <c r="AR159" s="397"/>
      <c r="AS159" s="398"/>
      <c r="AT159" s="397"/>
      <c r="AU159" s="397"/>
      <c r="AV159" s="397"/>
      <c r="AW159" s="3"/>
      <c r="AX159" s="3"/>
      <c r="AY159" s="3"/>
      <c r="AZ159" s="3"/>
      <c r="BA159" s="3"/>
      <c r="BB159" s="3"/>
      <c r="BC159" s="3"/>
      <c r="BD159" s="3"/>
      <c r="BE159" s="3"/>
      <c r="BF159" s="3"/>
      <c r="BG159" s="3"/>
      <c r="BH159" s="3"/>
      <c r="BI159" s="3"/>
      <c r="BJ159" s="66"/>
      <c r="BK159" s="29" t="s">
        <v>327</v>
      </c>
      <c r="BL159" s="372" t="s">
        <v>330</v>
      </c>
      <c r="BM159" s="109" t="s">
        <v>331</v>
      </c>
      <c r="BN159" s="92"/>
      <c r="BP159" s="92"/>
      <c r="BR159" s="109" t="s">
        <v>374</v>
      </c>
      <c r="BS159" s="242" t="s">
        <v>365</v>
      </c>
      <c r="BT159" s="373" t="s">
        <v>315</v>
      </c>
      <c r="BU159" s="3"/>
      <c r="BV159" s="3"/>
      <c r="BW159" s="3"/>
      <c r="BX159" s="3"/>
      <c r="BY159" s="3"/>
      <c r="BZ159" s="3"/>
      <c r="CA159" s="3"/>
      <c r="CB159" s="3"/>
      <c r="CC159" s="3"/>
      <c r="CD159" s="3"/>
      <c r="CE159" s="3"/>
      <c r="CF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97"/>
      <c r="AM160" s="397"/>
      <c r="AN160" s="397"/>
      <c r="AO160" s="397"/>
      <c r="AP160" s="398"/>
      <c r="AQ160" s="397"/>
      <c r="AR160" s="397"/>
      <c r="AS160" s="398"/>
      <c r="AT160" s="397"/>
      <c r="AU160" s="397"/>
      <c r="AV160" s="397"/>
      <c r="AW160" s="3"/>
      <c r="AX160" s="3"/>
      <c r="AY160" s="3"/>
      <c r="AZ160" s="3"/>
      <c r="BA160" s="3"/>
      <c r="BB160" s="3"/>
      <c r="BC160" s="3"/>
      <c r="BD160" s="3"/>
      <c r="BE160" s="3"/>
      <c r="BF160" s="3"/>
      <c r="BG160" s="3"/>
      <c r="BH160" s="3"/>
      <c r="BI160" s="3"/>
      <c r="BJ160" s="66"/>
      <c r="BK160" s="29" t="s">
        <v>414</v>
      </c>
      <c r="BL160" s="372" t="s">
        <v>338</v>
      </c>
      <c r="BM160" s="109" t="s">
        <v>324</v>
      </c>
      <c r="BN160" s="92"/>
      <c r="BP160" s="92"/>
      <c r="BR160" s="109" t="s">
        <v>357</v>
      </c>
      <c r="BS160" s="242" t="s">
        <v>335</v>
      </c>
      <c r="BT160" s="373" t="s">
        <v>328</v>
      </c>
      <c r="BU160" s="3"/>
      <c r="BV160" s="3"/>
      <c r="BW160" s="3"/>
      <c r="BX160" s="3"/>
      <c r="BY160" s="3"/>
      <c r="BZ160" s="3"/>
      <c r="CA160" s="3"/>
      <c r="CB160" s="3"/>
      <c r="CC160" s="3"/>
      <c r="CD160" s="3"/>
      <c r="CE160" s="3"/>
      <c r="CF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97"/>
      <c r="AM161" s="397"/>
      <c r="AN161" s="397"/>
      <c r="AO161" s="397"/>
      <c r="AP161" s="398"/>
      <c r="AQ161" s="397"/>
      <c r="AR161" s="397"/>
      <c r="AS161" s="398"/>
      <c r="AT161" s="397"/>
      <c r="AU161" s="397"/>
      <c r="AV161" s="397"/>
      <c r="AW161" s="3"/>
      <c r="AX161" s="3"/>
      <c r="AY161" s="3"/>
      <c r="AZ161" s="3"/>
      <c r="BA161" s="3"/>
      <c r="BB161" s="3"/>
      <c r="BC161" s="3"/>
      <c r="BD161" s="3"/>
      <c r="BE161" s="3"/>
      <c r="BF161" s="3"/>
      <c r="BG161" s="3"/>
      <c r="BH161" s="3"/>
      <c r="BI161" s="3"/>
      <c r="BJ161" s="66"/>
      <c r="BK161" s="29" t="s">
        <v>398</v>
      </c>
      <c r="BL161" s="372" t="s">
        <v>349</v>
      </c>
      <c r="BM161" s="109" t="s">
        <v>384</v>
      </c>
      <c r="BN161" s="92"/>
      <c r="BP161" s="92"/>
      <c r="BR161" s="109" t="s">
        <v>332</v>
      </c>
      <c r="BS161" s="242" t="s">
        <v>381</v>
      </c>
      <c r="BT161" s="373" t="s">
        <v>385</v>
      </c>
      <c r="BU161" s="3"/>
      <c r="BV161" s="3"/>
      <c r="BW161" s="3"/>
      <c r="BX161" s="3"/>
      <c r="BY161" s="3"/>
      <c r="BZ161" s="3"/>
      <c r="CA161" s="3"/>
      <c r="CB161" s="3"/>
      <c r="CC161" s="3"/>
      <c r="CD161" s="3"/>
      <c r="CE161" s="3"/>
      <c r="CF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97"/>
      <c r="AM162" s="397"/>
      <c r="AN162" s="397"/>
      <c r="AO162" s="397"/>
      <c r="AP162" s="398"/>
      <c r="AQ162" s="397"/>
      <c r="AR162" s="397"/>
      <c r="AS162" s="398"/>
      <c r="AT162" s="397"/>
      <c r="AU162" s="397"/>
      <c r="AV162" s="397"/>
      <c r="AW162" s="3"/>
      <c r="AX162" s="3"/>
      <c r="AY162" s="3"/>
      <c r="AZ162" s="3"/>
      <c r="BA162" s="3"/>
      <c r="BB162" s="3"/>
      <c r="BC162" s="3"/>
      <c r="BD162" s="3"/>
      <c r="BE162" s="3"/>
      <c r="BF162" s="3"/>
      <c r="BG162" s="3"/>
      <c r="BH162" s="3"/>
      <c r="BI162" s="3"/>
      <c r="BJ162" s="134"/>
      <c r="BK162" s="387" t="s">
        <v>375</v>
      </c>
      <c r="BL162" s="388" t="s">
        <v>378</v>
      </c>
      <c r="BM162" s="389" t="s">
        <v>337</v>
      </c>
      <c r="BN162" s="375"/>
      <c r="BO162" s="374"/>
      <c r="BP162" s="375"/>
      <c r="BQ162" s="374"/>
      <c r="BR162" s="389" t="s">
        <v>401</v>
      </c>
      <c r="BS162" s="242" t="s">
        <v>393</v>
      </c>
      <c r="BT162" s="390" t="s">
        <v>438</v>
      </c>
      <c r="BU162" s="3"/>
      <c r="BV162" s="3"/>
      <c r="BW162" s="3"/>
      <c r="BX162" s="3"/>
      <c r="BY162" s="3"/>
      <c r="BZ162" s="3"/>
      <c r="CA162" s="3"/>
      <c r="CB162" s="3"/>
      <c r="CC162" s="3"/>
      <c r="CD162" s="3"/>
      <c r="CE162" s="3"/>
      <c r="CF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97"/>
      <c r="AM163" s="397"/>
      <c r="AN163" s="397"/>
      <c r="AO163" s="397"/>
      <c r="AP163" s="398"/>
      <c r="AQ163" s="397"/>
      <c r="AR163" s="397"/>
      <c r="AS163" s="398"/>
      <c r="AT163" s="397"/>
      <c r="AU163" s="397"/>
      <c r="AV163" s="397"/>
      <c r="AW163" s="3"/>
      <c r="AX163" s="3"/>
      <c r="AY163" s="3"/>
      <c r="AZ163" s="3"/>
      <c r="BA163" s="3"/>
      <c r="BB163" s="3"/>
      <c r="BC163" s="3"/>
      <c r="BD163" s="3"/>
      <c r="BE163" s="3"/>
      <c r="BF163" s="3"/>
      <c r="BG163" s="3"/>
      <c r="BH163" s="3"/>
      <c r="BI163" s="3"/>
      <c r="BJ163" s="383">
        <v>4.0</v>
      </c>
      <c r="BK163" s="376" t="s">
        <v>315</v>
      </c>
      <c r="BL163" s="377" t="s">
        <v>330</v>
      </c>
      <c r="BM163" s="378" t="s">
        <v>331</v>
      </c>
      <c r="BN163" s="379" t="s">
        <v>318</v>
      </c>
      <c r="BO163" s="381" t="s">
        <v>319</v>
      </c>
      <c r="BP163" s="382" t="s">
        <v>320</v>
      </c>
      <c r="BQ163" s="378" t="s">
        <v>321</v>
      </c>
      <c r="BR163" s="378" t="s">
        <v>328</v>
      </c>
      <c r="BS163" s="384" t="s">
        <v>393</v>
      </c>
      <c r="BT163" s="379" t="s">
        <v>334</v>
      </c>
      <c r="BU163" s="3"/>
      <c r="BV163" s="3"/>
      <c r="BW163" s="3"/>
      <c r="BX163" s="3"/>
      <c r="BY163" s="3"/>
      <c r="BZ163" s="3"/>
      <c r="CA163" s="3"/>
      <c r="CB163" s="3"/>
      <c r="CC163" s="3"/>
      <c r="CD163" s="3"/>
      <c r="CE163" s="3"/>
      <c r="CF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97"/>
      <c r="AM164" s="397"/>
      <c r="AN164" s="397"/>
      <c r="AO164" s="397"/>
      <c r="AP164" s="398"/>
      <c r="AQ164" s="397"/>
      <c r="AR164" s="397"/>
      <c r="AS164" s="398"/>
      <c r="AT164" s="397"/>
      <c r="AU164" s="397"/>
      <c r="AV164" s="397"/>
      <c r="AW164" s="3"/>
      <c r="AX164" s="3"/>
      <c r="AY164" s="3"/>
      <c r="AZ164" s="3"/>
      <c r="BA164" s="3"/>
      <c r="BB164" s="3"/>
      <c r="BC164" s="3"/>
      <c r="BD164" s="3"/>
      <c r="BE164" s="3"/>
      <c r="BF164" s="3"/>
      <c r="BG164" s="3"/>
      <c r="BH164" s="3"/>
      <c r="BI164" s="3"/>
      <c r="BJ164" s="66"/>
      <c r="BK164" s="29" t="s">
        <v>342</v>
      </c>
      <c r="BL164" s="372" t="s">
        <v>338</v>
      </c>
      <c r="BM164" s="109" t="s">
        <v>332</v>
      </c>
      <c r="BN164" s="92"/>
      <c r="BP164" s="92"/>
      <c r="BR164" s="109" t="s">
        <v>341</v>
      </c>
      <c r="BS164" s="242" t="s">
        <v>365</v>
      </c>
      <c r="BT164" s="373" t="s">
        <v>327</v>
      </c>
      <c r="BU164" s="3"/>
      <c r="BV164" s="3"/>
      <c r="BW164" s="3"/>
      <c r="BX164" s="3"/>
      <c r="BY164" s="3"/>
      <c r="BZ164" s="3"/>
      <c r="CA164" s="3"/>
      <c r="CB164" s="3"/>
      <c r="CC164" s="3"/>
      <c r="CD164" s="3"/>
      <c r="CE164" s="3"/>
      <c r="CF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97"/>
      <c r="AM165" s="397"/>
      <c r="AN165" s="397"/>
      <c r="AO165" s="397"/>
      <c r="AP165" s="398"/>
      <c r="AQ165" s="397"/>
      <c r="AR165" s="397"/>
      <c r="AS165" s="398"/>
      <c r="AT165" s="397"/>
      <c r="AU165" s="397"/>
      <c r="AV165" s="397"/>
      <c r="AW165" s="3"/>
      <c r="AX165" s="3"/>
      <c r="AY165" s="3"/>
      <c r="AZ165" s="3"/>
      <c r="BA165" s="3"/>
      <c r="BB165" s="3"/>
      <c r="BC165" s="3"/>
      <c r="BD165" s="3"/>
      <c r="BE165" s="3"/>
      <c r="BF165" s="3"/>
      <c r="BG165" s="3"/>
      <c r="BH165" s="3"/>
      <c r="BI165" s="3"/>
      <c r="BJ165" s="66"/>
      <c r="BK165" s="29" t="s">
        <v>357</v>
      </c>
      <c r="BL165" s="372" t="s">
        <v>326</v>
      </c>
      <c r="BM165" s="109" t="s">
        <v>354</v>
      </c>
      <c r="BN165" s="92"/>
      <c r="BP165" s="92"/>
      <c r="BR165" s="109" t="s">
        <v>325</v>
      </c>
      <c r="BS165" s="242" t="s">
        <v>335</v>
      </c>
      <c r="BT165" s="373" t="s">
        <v>324</v>
      </c>
      <c r="BU165" s="3"/>
      <c r="BV165" s="3"/>
      <c r="BW165" s="3"/>
      <c r="BX165" s="3"/>
      <c r="BY165" s="3"/>
      <c r="BZ165" s="3"/>
      <c r="CA165" s="3"/>
      <c r="CB165" s="3"/>
      <c r="CC165" s="3"/>
      <c r="CD165" s="3"/>
      <c r="CE165" s="3"/>
      <c r="CF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97"/>
      <c r="AM166" s="397"/>
      <c r="AN166" s="397"/>
      <c r="AO166" s="397"/>
      <c r="AP166" s="398"/>
      <c r="AQ166" s="397"/>
      <c r="AR166" s="397"/>
      <c r="AS166" s="398"/>
      <c r="AT166" s="397"/>
      <c r="AU166" s="397"/>
      <c r="AV166" s="397"/>
      <c r="AW166" s="3"/>
      <c r="AX166" s="3"/>
      <c r="AY166" s="3"/>
      <c r="AZ166" s="3"/>
      <c r="BA166" s="3"/>
      <c r="BB166" s="3"/>
      <c r="BC166" s="3"/>
      <c r="BD166" s="3"/>
      <c r="BE166" s="3"/>
      <c r="BF166" s="3"/>
      <c r="BG166" s="3"/>
      <c r="BH166" s="3"/>
      <c r="BI166" s="3"/>
      <c r="BJ166" s="66"/>
      <c r="BK166" s="29" t="s">
        <v>398</v>
      </c>
      <c r="BL166" s="372" t="s">
        <v>378</v>
      </c>
      <c r="BM166" s="109" t="s">
        <v>406</v>
      </c>
      <c r="BN166" s="92"/>
      <c r="BP166" s="92"/>
      <c r="BR166" s="109" t="s">
        <v>352</v>
      </c>
      <c r="BS166" s="242" t="s">
        <v>351</v>
      </c>
      <c r="BT166" s="373" t="s">
        <v>337</v>
      </c>
      <c r="BU166" s="3"/>
      <c r="BV166" s="3"/>
      <c r="BW166" s="3"/>
      <c r="BX166" s="3"/>
      <c r="BY166" s="3"/>
      <c r="BZ166" s="3"/>
      <c r="CA166" s="3"/>
      <c r="CB166" s="3"/>
      <c r="CC166" s="3"/>
      <c r="CD166" s="3"/>
      <c r="CE166" s="3"/>
      <c r="CF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97"/>
      <c r="AM167" s="397"/>
      <c r="AN167" s="397"/>
      <c r="AO167" s="397"/>
      <c r="AP167" s="398"/>
      <c r="AQ167" s="397"/>
      <c r="AR167" s="397"/>
      <c r="AS167" s="398"/>
      <c r="AT167" s="397"/>
      <c r="AU167" s="397"/>
      <c r="AV167" s="397"/>
      <c r="AW167" s="3"/>
      <c r="AX167" s="3"/>
      <c r="AY167" s="3"/>
      <c r="AZ167" s="3"/>
      <c r="BA167" s="3"/>
      <c r="BB167" s="3"/>
      <c r="BC167" s="3"/>
      <c r="BD167" s="3"/>
      <c r="BE167" s="3"/>
      <c r="BF167" s="3"/>
      <c r="BG167" s="3"/>
      <c r="BH167" s="3"/>
      <c r="BI167" s="3"/>
      <c r="BJ167" s="134"/>
      <c r="BK167" s="387" t="s">
        <v>385</v>
      </c>
      <c r="BL167" s="388" t="s">
        <v>349</v>
      </c>
      <c r="BM167" s="389" t="s">
        <v>377</v>
      </c>
      <c r="BN167" s="375"/>
      <c r="BO167" s="374"/>
      <c r="BP167" s="375"/>
      <c r="BQ167" s="374"/>
      <c r="BR167" s="389" t="s">
        <v>382</v>
      </c>
      <c r="BS167" s="391" t="s">
        <v>381</v>
      </c>
      <c r="BT167" s="390" t="s">
        <v>346</v>
      </c>
      <c r="BU167" s="3"/>
      <c r="BV167" s="3"/>
      <c r="BW167" s="3"/>
      <c r="BX167" s="3"/>
      <c r="BY167" s="3"/>
      <c r="BZ167" s="3"/>
      <c r="CA167" s="3"/>
      <c r="CB167" s="3"/>
      <c r="CC167" s="3"/>
      <c r="CD167" s="3"/>
      <c r="CE167" s="3"/>
      <c r="CF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97"/>
      <c r="AM168" s="397"/>
      <c r="AN168" s="397"/>
      <c r="AO168" s="397"/>
      <c r="AP168" s="398"/>
      <c r="AQ168" s="397"/>
      <c r="AR168" s="397"/>
      <c r="AS168" s="398"/>
      <c r="AT168" s="397"/>
      <c r="AU168" s="397"/>
      <c r="AV168" s="397"/>
      <c r="AW168" s="3"/>
      <c r="AX168" s="3"/>
      <c r="AY168" s="3"/>
      <c r="AZ168" s="3"/>
      <c r="BA168" s="3"/>
      <c r="BB168" s="3"/>
      <c r="BC168" s="3"/>
      <c r="BD168" s="3"/>
      <c r="BE168" s="3"/>
      <c r="BF168" s="3"/>
      <c r="BG168" s="3"/>
      <c r="BH168" s="3"/>
      <c r="BI168" s="3"/>
      <c r="BJ168" s="371">
        <v>5.0</v>
      </c>
      <c r="BK168" s="376" t="s">
        <v>342</v>
      </c>
      <c r="BL168" s="377" t="s">
        <v>338</v>
      </c>
      <c r="BM168" s="109" t="s">
        <v>332</v>
      </c>
      <c r="BN168" s="373" t="s">
        <v>321</v>
      </c>
      <c r="BO168" s="380" t="s">
        <v>319</v>
      </c>
      <c r="BP168" s="393" t="s">
        <v>320</v>
      </c>
      <c r="BQ168" s="109" t="s">
        <v>318</v>
      </c>
      <c r="BR168" s="109" t="s">
        <v>331</v>
      </c>
      <c r="BS168" s="242" t="s">
        <v>335</v>
      </c>
      <c r="BT168" s="373" t="s">
        <v>334</v>
      </c>
      <c r="BU168" s="3"/>
      <c r="BV168" s="3"/>
      <c r="BW168" s="3"/>
      <c r="BX168" s="3"/>
      <c r="BY168" s="3"/>
      <c r="BZ168" s="3"/>
      <c r="CA168" s="3"/>
      <c r="CB168" s="3"/>
      <c r="CC168" s="3"/>
      <c r="CD168" s="3"/>
      <c r="CE168" s="3"/>
      <c r="CF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97"/>
      <c r="AM169" s="397"/>
      <c r="AN169" s="397"/>
      <c r="AO169" s="397"/>
      <c r="AP169" s="398"/>
      <c r="AQ169" s="397"/>
      <c r="AR169" s="397"/>
      <c r="AS169" s="398"/>
      <c r="AT169" s="397"/>
      <c r="AU169" s="397"/>
      <c r="AV169" s="397"/>
      <c r="AW169" s="3"/>
      <c r="AX169" s="3"/>
      <c r="AY169" s="3"/>
      <c r="AZ169" s="3"/>
      <c r="BA169" s="3"/>
      <c r="BB169" s="3"/>
      <c r="BC169" s="3"/>
      <c r="BD169" s="3"/>
      <c r="BE169" s="3"/>
      <c r="BF169" s="3"/>
      <c r="BG169" s="3"/>
      <c r="BH169" s="3"/>
      <c r="BI169" s="3"/>
      <c r="BJ169" s="66"/>
      <c r="BK169" s="29" t="s">
        <v>327</v>
      </c>
      <c r="BL169" s="372" t="s">
        <v>378</v>
      </c>
      <c r="BM169" s="109" t="s">
        <v>337</v>
      </c>
      <c r="BN169" s="92"/>
      <c r="BP169" s="92"/>
      <c r="BR169" s="109" t="s">
        <v>384</v>
      </c>
      <c r="BS169" s="242" t="s">
        <v>393</v>
      </c>
      <c r="BT169" s="373" t="s">
        <v>315</v>
      </c>
      <c r="BU169" s="3"/>
      <c r="BV169" s="3"/>
      <c r="BW169" s="3"/>
      <c r="BX169" s="3"/>
      <c r="BY169" s="3"/>
      <c r="BZ169" s="3"/>
      <c r="CA169" s="3"/>
      <c r="CB169" s="3"/>
      <c r="CC169" s="3"/>
      <c r="CD169" s="3"/>
      <c r="CE169" s="3"/>
      <c r="CF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97"/>
      <c r="AM170" s="397"/>
      <c r="AN170" s="397"/>
      <c r="AO170" s="397"/>
      <c r="AP170" s="398"/>
      <c r="AQ170" s="397"/>
      <c r="AR170" s="397"/>
      <c r="AS170" s="398"/>
      <c r="AT170" s="397"/>
      <c r="AU170" s="397"/>
      <c r="AV170" s="397"/>
      <c r="AW170" s="3"/>
      <c r="AX170" s="3"/>
      <c r="AY170" s="3"/>
      <c r="AZ170" s="3"/>
      <c r="BA170" s="3"/>
      <c r="BB170" s="3"/>
      <c r="BC170" s="3"/>
      <c r="BD170" s="3"/>
      <c r="BE170" s="3"/>
      <c r="BF170" s="3"/>
      <c r="BG170" s="3"/>
      <c r="BH170" s="3"/>
      <c r="BI170" s="3"/>
      <c r="BJ170" s="66"/>
      <c r="BK170" s="29" t="s">
        <v>414</v>
      </c>
      <c r="BL170" s="372" t="s">
        <v>326</v>
      </c>
      <c r="BM170" s="109" t="s">
        <v>354</v>
      </c>
      <c r="BN170" s="92"/>
      <c r="BP170" s="92"/>
      <c r="BR170" s="109" t="s">
        <v>341</v>
      </c>
      <c r="BS170" s="242" t="s">
        <v>365</v>
      </c>
      <c r="BT170" s="373" t="s">
        <v>328</v>
      </c>
      <c r="BU170" s="3"/>
      <c r="BV170" s="3"/>
      <c r="BW170" s="3"/>
      <c r="BX170" s="3"/>
      <c r="BY170" s="3"/>
      <c r="BZ170" s="3"/>
      <c r="CA170" s="3"/>
      <c r="CB170" s="3"/>
      <c r="CC170" s="3"/>
      <c r="CD170" s="3"/>
      <c r="CE170" s="3"/>
      <c r="CF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97"/>
      <c r="AM171" s="397"/>
      <c r="AN171" s="397"/>
      <c r="AO171" s="397"/>
      <c r="AP171" s="398"/>
      <c r="AQ171" s="397"/>
      <c r="AR171" s="397"/>
      <c r="AS171" s="398"/>
      <c r="AT171" s="397"/>
      <c r="AU171" s="397"/>
      <c r="AV171" s="397"/>
      <c r="AW171" s="3"/>
      <c r="AX171" s="3"/>
      <c r="AY171" s="3"/>
      <c r="AZ171" s="3"/>
      <c r="BA171" s="3"/>
      <c r="BB171" s="3"/>
      <c r="BC171" s="3"/>
      <c r="BD171" s="3"/>
      <c r="BE171" s="3"/>
      <c r="BF171" s="3"/>
      <c r="BG171" s="3"/>
      <c r="BH171" s="3"/>
      <c r="BI171" s="3"/>
      <c r="BJ171" s="66"/>
      <c r="BK171" s="29" t="s">
        <v>352</v>
      </c>
      <c r="BL171" s="372" t="s">
        <v>330</v>
      </c>
      <c r="BM171" s="109" t="s">
        <v>343</v>
      </c>
      <c r="BN171" s="92"/>
      <c r="BP171" s="92"/>
      <c r="BR171" s="109" t="s">
        <v>385</v>
      </c>
      <c r="BS171" s="242" t="s">
        <v>351</v>
      </c>
      <c r="BT171" s="373" t="s">
        <v>413</v>
      </c>
      <c r="BU171" s="3"/>
      <c r="BV171" s="3"/>
      <c r="BW171" s="3"/>
      <c r="BX171" s="3"/>
      <c r="BY171" s="3"/>
      <c r="BZ171" s="3"/>
      <c r="CA171" s="3"/>
      <c r="CB171" s="3"/>
      <c r="CC171" s="3"/>
      <c r="CD171" s="3"/>
      <c r="CE171" s="3"/>
      <c r="CF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97"/>
      <c r="AM172" s="397"/>
      <c r="AN172" s="397"/>
      <c r="AO172" s="397"/>
      <c r="AP172" s="398"/>
      <c r="AQ172" s="397"/>
      <c r="AR172" s="397"/>
      <c r="AS172" s="398"/>
      <c r="AT172" s="397"/>
      <c r="AU172" s="397"/>
      <c r="AV172" s="397"/>
      <c r="AW172" s="3"/>
      <c r="AX172" s="3"/>
      <c r="AY172" s="3"/>
      <c r="AZ172" s="3"/>
      <c r="BA172" s="3"/>
      <c r="BB172" s="3"/>
      <c r="BC172" s="3"/>
      <c r="BD172" s="3"/>
      <c r="BE172" s="3"/>
      <c r="BF172" s="3"/>
      <c r="BG172" s="3"/>
      <c r="BH172" s="3"/>
      <c r="BI172" s="3"/>
      <c r="BJ172" s="94"/>
      <c r="BK172" s="394" t="s">
        <v>398</v>
      </c>
      <c r="BL172" s="395" t="s">
        <v>349</v>
      </c>
      <c r="BM172" s="132" t="s">
        <v>377</v>
      </c>
      <c r="BN172" s="93"/>
      <c r="BO172" s="22"/>
      <c r="BP172" s="93"/>
      <c r="BQ172" s="22"/>
      <c r="BR172" s="132" t="s">
        <v>382</v>
      </c>
      <c r="BS172" s="254" t="s">
        <v>381</v>
      </c>
      <c r="BT172" s="396" t="s">
        <v>325</v>
      </c>
      <c r="BU172" s="3"/>
      <c r="BV172" s="3"/>
      <c r="BW172" s="3"/>
      <c r="BX172" s="3"/>
      <c r="BY172" s="3"/>
      <c r="BZ172" s="3"/>
      <c r="CA172" s="3"/>
      <c r="CB172" s="3"/>
      <c r="CC172" s="3"/>
      <c r="CD172" s="3"/>
      <c r="CE172" s="3"/>
      <c r="CF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97"/>
      <c r="AM173" s="397"/>
      <c r="AN173" s="397"/>
      <c r="AO173" s="397"/>
      <c r="AP173" s="398"/>
      <c r="AQ173" s="397"/>
      <c r="AR173" s="397"/>
      <c r="AS173" s="398"/>
      <c r="AT173" s="397"/>
      <c r="AU173" s="397"/>
      <c r="AV173" s="397"/>
      <c r="AW173" s="3"/>
      <c r="AX173" s="3"/>
      <c r="AY173" s="3"/>
      <c r="AZ173" s="3"/>
      <c r="BA173" s="3"/>
      <c r="BB173" s="3"/>
      <c r="BC173" s="3"/>
      <c r="BD173" s="3"/>
      <c r="BE173" s="3"/>
      <c r="BF173" s="3"/>
      <c r="BG173" s="3"/>
      <c r="BH173" s="3"/>
      <c r="BI173" s="3"/>
      <c r="BJ173" s="397"/>
      <c r="BK173" s="397"/>
      <c r="BL173" s="397"/>
      <c r="BM173" s="397"/>
      <c r="BN173" s="398"/>
      <c r="BO173" s="399">
        <f t="shared" ref="BO173:BP173" si="22">COUNTIF(BO148:BO172, "W")</f>
        <v>3</v>
      </c>
      <c r="BP173" s="400">
        <f t="shared" si="22"/>
        <v>2</v>
      </c>
      <c r="BQ173" s="398"/>
      <c r="BR173" s="397"/>
      <c r="BS173" s="397"/>
      <c r="BT173" s="397"/>
      <c r="BU173" s="3"/>
      <c r="BV173" s="3"/>
      <c r="BW173" s="3"/>
      <c r="BX173" s="3"/>
      <c r="BY173" s="3"/>
      <c r="BZ173" s="3"/>
      <c r="CA173" s="3"/>
      <c r="CB173" s="3"/>
      <c r="CC173" s="3"/>
      <c r="CD173" s="3"/>
      <c r="CE173" s="3"/>
      <c r="CF173" s="3"/>
    </row>
  </sheetData>
  <mergeCells count="543">
    <mergeCell ref="B1:AD1"/>
    <mergeCell ref="B32:AD32"/>
    <mergeCell ref="B51:AD51"/>
    <mergeCell ref="AE51:AG51"/>
    <mergeCell ref="B53:F53"/>
    <mergeCell ref="G53:H53"/>
    <mergeCell ref="I53:L53"/>
    <mergeCell ref="AE53:AF53"/>
    <mergeCell ref="BC53:BD53"/>
    <mergeCell ref="BE53:BH53"/>
    <mergeCell ref="BJ53:BN53"/>
    <mergeCell ref="BO53:BP53"/>
    <mergeCell ref="BQ53:BT53"/>
    <mergeCell ref="BV53:BZ53"/>
    <mergeCell ref="CA53:CB53"/>
    <mergeCell ref="CC53:CF53"/>
    <mergeCell ref="U53:X53"/>
    <mergeCell ref="Z53:AD53"/>
    <mergeCell ref="AG53:AJ53"/>
    <mergeCell ref="AL53:AP53"/>
    <mergeCell ref="AQ53:AR53"/>
    <mergeCell ref="AS53:AV53"/>
    <mergeCell ref="AX53:BB53"/>
    <mergeCell ref="CA55:CB56"/>
    <mergeCell ref="CC55:CF56"/>
    <mergeCell ref="S55:T56"/>
    <mergeCell ref="S57:T57"/>
    <mergeCell ref="N53:R53"/>
    <mergeCell ref="S53:T53"/>
    <mergeCell ref="B55:F56"/>
    <mergeCell ref="G55:H56"/>
    <mergeCell ref="I55:L56"/>
    <mergeCell ref="N55:R56"/>
    <mergeCell ref="G57:H57"/>
    <mergeCell ref="BO55:BP56"/>
    <mergeCell ref="BO57:BP57"/>
    <mergeCell ref="AX55:BB56"/>
    <mergeCell ref="BC55:BD56"/>
    <mergeCell ref="BE55:BH56"/>
    <mergeCell ref="BJ55:BN56"/>
    <mergeCell ref="BQ55:BT56"/>
    <mergeCell ref="BV55:BZ56"/>
    <mergeCell ref="BC57:BD57"/>
    <mergeCell ref="CA57:CB57"/>
    <mergeCell ref="S63:S67"/>
    <mergeCell ref="T63:T67"/>
    <mergeCell ref="U63:U67"/>
    <mergeCell ref="Z63:Z67"/>
    <mergeCell ref="AD63:AD67"/>
    <mergeCell ref="AE63:AE67"/>
    <mergeCell ref="AF63:AF67"/>
    <mergeCell ref="AG63:AG67"/>
    <mergeCell ref="AL63:AL67"/>
    <mergeCell ref="AL73:AL77"/>
    <mergeCell ref="AP73:AP77"/>
    <mergeCell ref="AQ73:AQ77"/>
    <mergeCell ref="AR73:AR77"/>
    <mergeCell ref="AS73:AS77"/>
    <mergeCell ref="BO73:BO77"/>
    <mergeCell ref="BP73:BP77"/>
    <mergeCell ref="BQ73:BQ77"/>
    <mergeCell ref="AX73:AX77"/>
    <mergeCell ref="BB73:BB77"/>
    <mergeCell ref="BC73:BC77"/>
    <mergeCell ref="BD73:BD77"/>
    <mergeCell ref="BE73:BE77"/>
    <mergeCell ref="BJ73:BJ77"/>
    <mergeCell ref="BN73:BN77"/>
    <mergeCell ref="BD63:BD67"/>
    <mergeCell ref="BE63:BE67"/>
    <mergeCell ref="AP63:AP67"/>
    <mergeCell ref="AQ63:AQ67"/>
    <mergeCell ref="AR63:AR67"/>
    <mergeCell ref="AS63:AS67"/>
    <mergeCell ref="AX63:AX67"/>
    <mergeCell ref="BB63:BB67"/>
    <mergeCell ref="BC63:BC67"/>
    <mergeCell ref="BB58:BB62"/>
    <mergeCell ref="BC58:BC62"/>
    <mergeCell ref="BD58:BD62"/>
    <mergeCell ref="BE58:BE62"/>
    <mergeCell ref="BJ58:BJ62"/>
    <mergeCell ref="BO58:BO62"/>
    <mergeCell ref="BJ63:BJ67"/>
    <mergeCell ref="BV68:BV72"/>
    <mergeCell ref="BZ68:BZ72"/>
    <mergeCell ref="CA68:CA72"/>
    <mergeCell ref="CB68:CB72"/>
    <mergeCell ref="CC68:CC72"/>
    <mergeCell ref="BN58:BN62"/>
    <mergeCell ref="BN63:BN67"/>
    <mergeCell ref="BJ68:BJ72"/>
    <mergeCell ref="BN68:BN72"/>
    <mergeCell ref="BO68:BO72"/>
    <mergeCell ref="BP68:BP72"/>
    <mergeCell ref="BQ68:BQ72"/>
    <mergeCell ref="U55:X56"/>
    <mergeCell ref="Z55:AD56"/>
    <mergeCell ref="AE55:AF56"/>
    <mergeCell ref="AG55:AJ56"/>
    <mergeCell ref="AL55:AP56"/>
    <mergeCell ref="AS55:AV56"/>
    <mergeCell ref="AE57:AF57"/>
    <mergeCell ref="AG58:AG62"/>
    <mergeCell ref="AL58:AL62"/>
    <mergeCell ref="BP58:BP62"/>
    <mergeCell ref="BQ58:BQ62"/>
    <mergeCell ref="BV58:BV62"/>
    <mergeCell ref="BZ58:BZ62"/>
    <mergeCell ref="CA58:CA62"/>
    <mergeCell ref="CB58:CB62"/>
    <mergeCell ref="CC58:CC62"/>
    <mergeCell ref="F58:F62"/>
    <mergeCell ref="F63:F67"/>
    <mergeCell ref="S58:S62"/>
    <mergeCell ref="T58:T62"/>
    <mergeCell ref="U58:U62"/>
    <mergeCell ref="Z58:Z62"/>
    <mergeCell ref="AD58:AD62"/>
    <mergeCell ref="AE58:AE62"/>
    <mergeCell ref="AF58:AF62"/>
    <mergeCell ref="AQ55:AR56"/>
    <mergeCell ref="AQ57:AR57"/>
    <mergeCell ref="AP58:AP62"/>
    <mergeCell ref="AQ58:AQ62"/>
    <mergeCell ref="AR58:AR62"/>
    <mergeCell ref="AS58:AS62"/>
    <mergeCell ref="AX58:AX62"/>
    <mergeCell ref="BO63:BO67"/>
    <mergeCell ref="BP63:BP67"/>
    <mergeCell ref="BQ63:BQ67"/>
    <mergeCell ref="BV63:BV67"/>
    <mergeCell ref="BZ63:BZ67"/>
    <mergeCell ref="CA63:CA67"/>
    <mergeCell ref="CB63:CB67"/>
    <mergeCell ref="CC63:CC67"/>
    <mergeCell ref="S83:S87"/>
    <mergeCell ref="T83:T87"/>
    <mergeCell ref="G78:G82"/>
    <mergeCell ref="H78:H82"/>
    <mergeCell ref="N78:N82"/>
    <mergeCell ref="S78:S82"/>
    <mergeCell ref="T78:T82"/>
    <mergeCell ref="U78:U82"/>
    <mergeCell ref="N83:N87"/>
    <mergeCell ref="U83:U87"/>
    <mergeCell ref="BO85:BP86"/>
    <mergeCell ref="BQ85:BT86"/>
    <mergeCell ref="AL85:AP86"/>
    <mergeCell ref="AQ85:AR86"/>
    <mergeCell ref="AS85:AV86"/>
    <mergeCell ref="AX85:BB86"/>
    <mergeCell ref="BC85:BD86"/>
    <mergeCell ref="BE85:BH86"/>
    <mergeCell ref="BJ85:BN86"/>
    <mergeCell ref="S108:S112"/>
    <mergeCell ref="T108:T112"/>
    <mergeCell ref="U108:U112"/>
    <mergeCell ref="Z108:Z112"/>
    <mergeCell ref="AD108:AD112"/>
    <mergeCell ref="AE108:AE112"/>
    <mergeCell ref="AF108:AF112"/>
    <mergeCell ref="BP108:BP112"/>
    <mergeCell ref="BQ108:BQ112"/>
    <mergeCell ref="BO117:BP117"/>
    <mergeCell ref="BB108:BB112"/>
    <mergeCell ref="BC108:BC112"/>
    <mergeCell ref="BD108:BD112"/>
    <mergeCell ref="BE108:BE112"/>
    <mergeCell ref="BJ108:BJ112"/>
    <mergeCell ref="BN108:BN112"/>
    <mergeCell ref="BO108:BO112"/>
    <mergeCell ref="AX113:AX117"/>
    <mergeCell ref="BB113:BB117"/>
    <mergeCell ref="BC113:BC117"/>
    <mergeCell ref="BD113:BD117"/>
    <mergeCell ref="BE113:BE117"/>
    <mergeCell ref="AQ117:AR117"/>
    <mergeCell ref="AG108:AG112"/>
    <mergeCell ref="AL108:AL112"/>
    <mergeCell ref="AP108:AP112"/>
    <mergeCell ref="AQ108:AQ112"/>
    <mergeCell ref="AR108:AR112"/>
    <mergeCell ref="AS108:AS112"/>
    <mergeCell ref="AX108:AX112"/>
    <mergeCell ref="B108:B112"/>
    <mergeCell ref="F108:F112"/>
    <mergeCell ref="G108:G112"/>
    <mergeCell ref="H108:H112"/>
    <mergeCell ref="I108:I112"/>
    <mergeCell ref="N108:N112"/>
    <mergeCell ref="R108:R112"/>
    <mergeCell ref="AE115:AF116"/>
    <mergeCell ref="AE117:AF117"/>
    <mergeCell ref="AG115:AJ116"/>
    <mergeCell ref="AL115:AP116"/>
    <mergeCell ref="AQ115:AR116"/>
    <mergeCell ref="AS115:AV116"/>
    <mergeCell ref="BJ115:BN116"/>
    <mergeCell ref="BO115:BP116"/>
    <mergeCell ref="BQ115:BT116"/>
    <mergeCell ref="S115:T116"/>
    <mergeCell ref="S117:T117"/>
    <mergeCell ref="G117:H117"/>
    <mergeCell ref="F118:F122"/>
    <mergeCell ref="G118:G122"/>
    <mergeCell ref="H118:H122"/>
    <mergeCell ref="I118:I122"/>
    <mergeCell ref="N118:N122"/>
    <mergeCell ref="R118:R122"/>
    <mergeCell ref="S118:S122"/>
    <mergeCell ref="T118:T122"/>
    <mergeCell ref="U118:U122"/>
    <mergeCell ref="B115:F116"/>
    <mergeCell ref="G115:H116"/>
    <mergeCell ref="I115:L116"/>
    <mergeCell ref="N115:R116"/>
    <mergeCell ref="U115:X116"/>
    <mergeCell ref="Z115:AD116"/>
    <mergeCell ref="B118:B122"/>
    <mergeCell ref="BN118:BN122"/>
    <mergeCell ref="BO118:BO122"/>
    <mergeCell ref="BP118:BP122"/>
    <mergeCell ref="BQ118:BQ122"/>
    <mergeCell ref="Z118:Z122"/>
    <mergeCell ref="AD118:AD122"/>
    <mergeCell ref="AE118:AE122"/>
    <mergeCell ref="AF118:AF122"/>
    <mergeCell ref="AG118:AG122"/>
    <mergeCell ref="AL118:AL122"/>
    <mergeCell ref="AP118:AP122"/>
    <mergeCell ref="N123:N127"/>
    <mergeCell ref="N128:N132"/>
    <mergeCell ref="B123:B127"/>
    <mergeCell ref="G123:G127"/>
    <mergeCell ref="H123:H127"/>
    <mergeCell ref="I123:I127"/>
    <mergeCell ref="R123:R127"/>
    <mergeCell ref="B128:B132"/>
    <mergeCell ref="I128:I132"/>
    <mergeCell ref="AF128:AF132"/>
    <mergeCell ref="AG128:AG132"/>
    <mergeCell ref="AL128:AL132"/>
    <mergeCell ref="AQ128:AQ132"/>
    <mergeCell ref="AR128:AR132"/>
    <mergeCell ref="AS128:AS132"/>
    <mergeCell ref="AL133:AL137"/>
    <mergeCell ref="AS133:AS137"/>
    <mergeCell ref="AQ133:AQ137"/>
    <mergeCell ref="AR133:AR137"/>
    <mergeCell ref="AL138:AL142"/>
    <mergeCell ref="AP138:AP142"/>
    <mergeCell ref="AQ138:AQ142"/>
    <mergeCell ref="AR138:AR142"/>
    <mergeCell ref="AS138:AS142"/>
    <mergeCell ref="BJ138:BJ142"/>
    <mergeCell ref="BN138:BN142"/>
    <mergeCell ref="BO138:BO142"/>
    <mergeCell ref="BP138:BP142"/>
    <mergeCell ref="BQ138:BQ142"/>
    <mergeCell ref="BJ145:BN146"/>
    <mergeCell ref="BQ145:BT146"/>
    <mergeCell ref="BN148:BN152"/>
    <mergeCell ref="BN153:BN157"/>
    <mergeCell ref="BN158:BN162"/>
    <mergeCell ref="BN163:BN167"/>
    <mergeCell ref="BN168:BN172"/>
    <mergeCell ref="BJ153:BJ157"/>
    <mergeCell ref="BJ158:BJ162"/>
    <mergeCell ref="BJ163:BJ167"/>
    <mergeCell ref="BJ168:BJ172"/>
    <mergeCell ref="BO145:BP146"/>
    <mergeCell ref="BO147:BP147"/>
    <mergeCell ref="BJ148:BJ152"/>
    <mergeCell ref="BO148:BO152"/>
    <mergeCell ref="BP148:BP152"/>
    <mergeCell ref="BQ148:BQ152"/>
    <mergeCell ref="BQ153:BQ157"/>
    <mergeCell ref="BO163:BO167"/>
    <mergeCell ref="BO168:BO172"/>
    <mergeCell ref="BP168:BP172"/>
    <mergeCell ref="BQ168:BQ172"/>
    <mergeCell ref="BO153:BO157"/>
    <mergeCell ref="BP153:BP157"/>
    <mergeCell ref="BO158:BO162"/>
    <mergeCell ref="BP158:BP162"/>
    <mergeCell ref="BQ158:BQ162"/>
    <mergeCell ref="BP163:BP167"/>
    <mergeCell ref="BQ163:BQ167"/>
    <mergeCell ref="AQ118:AQ122"/>
    <mergeCell ref="AR118:AR122"/>
    <mergeCell ref="AS118:AS122"/>
    <mergeCell ref="AX118:AX122"/>
    <mergeCell ref="BB118:BB122"/>
    <mergeCell ref="BC118:BC122"/>
    <mergeCell ref="BD118:BD122"/>
    <mergeCell ref="AG123:AG127"/>
    <mergeCell ref="AL123:AL127"/>
    <mergeCell ref="AP123:AP127"/>
    <mergeCell ref="AQ123:AQ127"/>
    <mergeCell ref="AR123:AR127"/>
    <mergeCell ref="AS123:AS127"/>
    <mergeCell ref="S123:S127"/>
    <mergeCell ref="T123:T127"/>
    <mergeCell ref="U123:U127"/>
    <mergeCell ref="Z123:Z127"/>
    <mergeCell ref="AD123:AD127"/>
    <mergeCell ref="AE123:AE127"/>
    <mergeCell ref="AF123:AF127"/>
    <mergeCell ref="F123:F127"/>
    <mergeCell ref="F128:F132"/>
    <mergeCell ref="G128:G132"/>
    <mergeCell ref="H128:H132"/>
    <mergeCell ref="R128:R132"/>
    <mergeCell ref="S128:S132"/>
    <mergeCell ref="T128:T132"/>
    <mergeCell ref="U128:U132"/>
    <mergeCell ref="Z128:Z132"/>
    <mergeCell ref="AD128:AD132"/>
    <mergeCell ref="AE128:AE132"/>
    <mergeCell ref="AP128:AP132"/>
    <mergeCell ref="AP133:AP137"/>
    <mergeCell ref="BJ133:BJ137"/>
    <mergeCell ref="BN133:BN137"/>
    <mergeCell ref="BO133:BO137"/>
    <mergeCell ref="BP133:BP137"/>
    <mergeCell ref="BQ133:BQ137"/>
    <mergeCell ref="B58:B62"/>
    <mergeCell ref="G58:G62"/>
    <mergeCell ref="H58:H62"/>
    <mergeCell ref="I58:I62"/>
    <mergeCell ref="R58:R62"/>
    <mergeCell ref="B63:B67"/>
    <mergeCell ref="I63:I67"/>
    <mergeCell ref="R63:R67"/>
    <mergeCell ref="N58:N62"/>
    <mergeCell ref="N63:N67"/>
    <mergeCell ref="N68:N72"/>
    <mergeCell ref="R68:R72"/>
    <mergeCell ref="S68:S72"/>
    <mergeCell ref="T68:T72"/>
    <mergeCell ref="U68:U72"/>
    <mergeCell ref="AQ68:AQ72"/>
    <mergeCell ref="AR68:AR72"/>
    <mergeCell ref="AS68:AS72"/>
    <mergeCell ref="AX68:AX72"/>
    <mergeCell ref="BB68:BB72"/>
    <mergeCell ref="BC68:BC72"/>
    <mergeCell ref="BD68:BD72"/>
    <mergeCell ref="BE68:BE72"/>
    <mergeCell ref="Z68:Z72"/>
    <mergeCell ref="AD68:AD72"/>
    <mergeCell ref="AE68:AE72"/>
    <mergeCell ref="AF68:AF72"/>
    <mergeCell ref="AG68:AG72"/>
    <mergeCell ref="AL68:AL72"/>
    <mergeCell ref="AP68:AP72"/>
    <mergeCell ref="AE75:AF76"/>
    <mergeCell ref="AG75:AJ76"/>
    <mergeCell ref="S75:T76"/>
    <mergeCell ref="S77:T77"/>
    <mergeCell ref="B75:F76"/>
    <mergeCell ref="G75:H76"/>
    <mergeCell ref="I75:L76"/>
    <mergeCell ref="N75:R76"/>
    <mergeCell ref="U75:X76"/>
    <mergeCell ref="Z75:AD76"/>
    <mergeCell ref="G77:H77"/>
    <mergeCell ref="AE77:AF77"/>
    <mergeCell ref="AQ88:AQ92"/>
    <mergeCell ref="AR88:AR92"/>
    <mergeCell ref="AL93:AL97"/>
    <mergeCell ref="AP93:AP97"/>
    <mergeCell ref="AQ93:AQ97"/>
    <mergeCell ref="AR93:AR97"/>
    <mergeCell ref="AS93:AS97"/>
    <mergeCell ref="BO93:BO97"/>
    <mergeCell ref="BP93:BP97"/>
    <mergeCell ref="BQ93:BQ97"/>
    <mergeCell ref="AX93:AX97"/>
    <mergeCell ref="BB93:BB97"/>
    <mergeCell ref="BC93:BC97"/>
    <mergeCell ref="BD93:BD97"/>
    <mergeCell ref="BE93:BE97"/>
    <mergeCell ref="BJ93:BJ97"/>
    <mergeCell ref="BN93:BN97"/>
    <mergeCell ref="N95:R96"/>
    <mergeCell ref="S95:T96"/>
    <mergeCell ref="U95:X96"/>
    <mergeCell ref="Z95:AD96"/>
    <mergeCell ref="AE95:AF96"/>
    <mergeCell ref="AG95:AJ96"/>
    <mergeCell ref="S97:T97"/>
    <mergeCell ref="AE97:AF97"/>
    <mergeCell ref="Z88:Z92"/>
    <mergeCell ref="AD88:AD92"/>
    <mergeCell ref="AE88:AE92"/>
    <mergeCell ref="AF88:AF92"/>
    <mergeCell ref="AG88:AG92"/>
    <mergeCell ref="AL88:AL92"/>
    <mergeCell ref="AP88:AP92"/>
    <mergeCell ref="BN88:BN92"/>
    <mergeCell ref="BO88:BO92"/>
    <mergeCell ref="AS88:AS92"/>
    <mergeCell ref="AX88:AX92"/>
    <mergeCell ref="BB88:BB92"/>
    <mergeCell ref="BC88:BC92"/>
    <mergeCell ref="BD88:BD92"/>
    <mergeCell ref="BE88:BE92"/>
    <mergeCell ref="BJ88:BJ92"/>
    <mergeCell ref="BE78:BE82"/>
    <mergeCell ref="BJ78:BJ82"/>
    <mergeCell ref="BN78:BN82"/>
    <mergeCell ref="BO78:BO82"/>
    <mergeCell ref="BP78:BP82"/>
    <mergeCell ref="BQ78:BQ82"/>
    <mergeCell ref="B78:B82"/>
    <mergeCell ref="B83:B87"/>
    <mergeCell ref="B88:B92"/>
    <mergeCell ref="R78:R82"/>
    <mergeCell ref="R83:R87"/>
    <mergeCell ref="Z83:Z87"/>
    <mergeCell ref="AD83:AD87"/>
    <mergeCell ref="AE83:AE87"/>
    <mergeCell ref="AF83:AF87"/>
    <mergeCell ref="AG83:AG87"/>
    <mergeCell ref="Z78:Z82"/>
    <mergeCell ref="AD78:AD82"/>
    <mergeCell ref="AE78:AE82"/>
    <mergeCell ref="AF78:AF82"/>
    <mergeCell ref="AG78:AG82"/>
    <mergeCell ref="AL78:AL82"/>
    <mergeCell ref="AP78:AP82"/>
    <mergeCell ref="AQ87:AR87"/>
    <mergeCell ref="BC87:BD87"/>
    <mergeCell ref="BO87:BP87"/>
    <mergeCell ref="BP88:BP92"/>
    <mergeCell ref="BQ88:BQ92"/>
    <mergeCell ref="AQ78:AQ82"/>
    <mergeCell ref="AR78:AR82"/>
    <mergeCell ref="AS78:AS82"/>
    <mergeCell ref="AX78:AX82"/>
    <mergeCell ref="BB78:BB82"/>
    <mergeCell ref="BC78:BC82"/>
    <mergeCell ref="BD78:BD82"/>
    <mergeCell ref="G88:G92"/>
    <mergeCell ref="H88:H92"/>
    <mergeCell ref="N88:N92"/>
    <mergeCell ref="R88:R92"/>
    <mergeCell ref="S88:S92"/>
    <mergeCell ref="T88:T92"/>
    <mergeCell ref="U88:U92"/>
    <mergeCell ref="F68:F72"/>
    <mergeCell ref="F78:F82"/>
    <mergeCell ref="F83:F87"/>
    <mergeCell ref="G83:G87"/>
    <mergeCell ref="H83:H87"/>
    <mergeCell ref="I83:I87"/>
    <mergeCell ref="F88:F92"/>
    <mergeCell ref="I88:I92"/>
    <mergeCell ref="G63:G67"/>
    <mergeCell ref="H63:H67"/>
    <mergeCell ref="B68:B72"/>
    <mergeCell ref="G68:G72"/>
    <mergeCell ref="H68:H72"/>
    <mergeCell ref="I68:I72"/>
    <mergeCell ref="I78:I82"/>
    <mergeCell ref="H98:H102"/>
    <mergeCell ref="I98:I102"/>
    <mergeCell ref="N98:N102"/>
    <mergeCell ref="R98:R102"/>
    <mergeCell ref="S98:S102"/>
    <mergeCell ref="T98:T102"/>
    <mergeCell ref="U98:U102"/>
    <mergeCell ref="Z98:Z102"/>
    <mergeCell ref="AD98:AD102"/>
    <mergeCell ref="AE98:AE102"/>
    <mergeCell ref="AF98:AF102"/>
    <mergeCell ref="AG98:AG102"/>
    <mergeCell ref="AL98:AL102"/>
    <mergeCell ref="AP98:AP102"/>
    <mergeCell ref="AQ98:AQ102"/>
    <mergeCell ref="AR98:AR102"/>
    <mergeCell ref="BN98:BN102"/>
    <mergeCell ref="BO98:BO102"/>
    <mergeCell ref="BP98:BP102"/>
    <mergeCell ref="BQ98:BQ102"/>
    <mergeCell ref="AS98:AS102"/>
    <mergeCell ref="AX98:AX102"/>
    <mergeCell ref="BB98:BB102"/>
    <mergeCell ref="BC98:BC102"/>
    <mergeCell ref="BD98:BD102"/>
    <mergeCell ref="BE98:BE102"/>
    <mergeCell ref="BJ98:BJ102"/>
    <mergeCell ref="F98:F102"/>
    <mergeCell ref="F103:F107"/>
    <mergeCell ref="G103:G107"/>
    <mergeCell ref="H103:H107"/>
    <mergeCell ref="I103:I107"/>
    <mergeCell ref="N103:N107"/>
    <mergeCell ref="R103:R107"/>
    <mergeCell ref="S103:S107"/>
    <mergeCell ref="T103:T107"/>
    <mergeCell ref="U103:U107"/>
    <mergeCell ref="Z103:Z107"/>
    <mergeCell ref="AD103:AD107"/>
    <mergeCell ref="AE103:AE107"/>
    <mergeCell ref="AF103:AF107"/>
    <mergeCell ref="AG103:AG107"/>
    <mergeCell ref="AL103:AL107"/>
    <mergeCell ref="AP103:AP107"/>
    <mergeCell ref="AQ103:AQ107"/>
    <mergeCell ref="BJ103:BJ107"/>
    <mergeCell ref="BN103:BN107"/>
    <mergeCell ref="BO103:BO107"/>
    <mergeCell ref="BP103:BP107"/>
    <mergeCell ref="BQ103:BQ107"/>
    <mergeCell ref="AR103:AR107"/>
    <mergeCell ref="AS103:AS107"/>
    <mergeCell ref="AX103:AX107"/>
    <mergeCell ref="BB103:BB107"/>
    <mergeCell ref="BC103:BC107"/>
    <mergeCell ref="BD103:BD107"/>
    <mergeCell ref="BE103:BE107"/>
    <mergeCell ref="B95:F96"/>
    <mergeCell ref="G95:H96"/>
    <mergeCell ref="I95:L96"/>
    <mergeCell ref="G97:H97"/>
    <mergeCell ref="B98:B102"/>
    <mergeCell ref="G98:G102"/>
    <mergeCell ref="B103:B107"/>
    <mergeCell ref="BN123:BN127"/>
    <mergeCell ref="BN128:BN132"/>
    <mergeCell ref="BO128:BO132"/>
    <mergeCell ref="BP128:BP132"/>
    <mergeCell ref="BE118:BE122"/>
    <mergeCell ref="BJ118:BJ122"/>
    <mergeCell ref="BJ123:BJ127"/>
    <mergeCell ref="BO123:BO127"/>
    <mergeCell ref="BP123:BP127"/>
    <mergeCell ref="BQ123:BQ127"/>
    <mergeCell ref="BJ128:BJ132"/>
    <mergeCell ref="BQ128:BQ132"/>
  </mergeCells>
  <dataValidations>
    <dataValidation type="list" allowBlank="1" showErrorMessage="1" sqref="F58 I58 R58 U58 AD58 AG58 AP58 AS58 BB58 BE58 BN58 BQ58 BZ58 CC58 F63 I63 R63 U63 AD63 AG63 AP63 AS63 BB63 BE63 BN63 BQ63 BZ63 CC63 F68 I68 R68 U68 AD68 AG68 AP68 AS68 BB68 BE68 BN68 BQ68 BZ68 CC68 AP73 AS73 BB73 BE73 BN73 BQ73 F78 I78 R78 U78 AD78 AG78 AP78 AS78 BB78 BE78 BN78 BQ78 F83 I83 R83 U83 AD83 AG83 F88 I88 R88 U88 AD88 AG88 AP88 AS88 BB88 BE88 BN88 BQ88 AP93 AS93 BB93 BE93 BN93 BQ93 F98 I98 R98 U98 AD98 AG98 AP98 AS98 BB98 BE98 BN98 BQ98 F103 I103 R103 U103 AD103 AG103 AP103 AS103 BB103 BE103 BN103 BQ103 F108 I108 R108 U108 AD108 AG108 AP108 AS108 BB108 BE108 BN108 BQ108 BB113 BE113 F118 I118 R118 U118 AD118 AG118 AP118 AS118 BB118 BE118 BN118 BQ118 F123 I123 R123 U123 AD123 AG123 AP123 AS123 BN123 BQ123 F128 I128 R128 U128 AD128 AG128 AP128 AS128 BN128 BQ128 AP133 AS133 BN133 BQ133 AP138 AS138 BN138 BQ138 BN148 BQ148 BN153 BQ153 BN158 BQ158 BN163 BQ163 BN168 BQ168">
      <formula1>"Blue,Red"</formula1>
    </dataValidation>
    <dataValidation type="list" allowBlank="1" showErrorMessage="1" sqref="D98:D112">
      <formula1>'Teams | CQ + Playoffs'!$G$34:$G$42</formula1>
    </dataValidation>
    <dataValidation type="list" allowBlank="1" showErrorMessage="1" sqref="K118:K132 W118:W132">
      <formula1>'Teams | CQ + Playoffs'!$C$44:$C$52</formula1>
    </dataValidation>
    <dataValidation type="list" allowBlank="1" showErrorMessage="1" sqref="D118:D132">
      <formula1>'Teams | CQ + Playoffs'!$K$34:$K$42</formula1>
    </dataValidation>
    <dataValidation type="list" allowBlank="1" showErrorMessage="1" sqref="K58:K72">
      <formula1>'Teams | CQ + Playoffs'!$C$54:$C$62</formula1>
    </dataValidation>
    <dataValidation type="list" allowBlank="1" showErrorMessage="1" sqref="D78:D92 W78:W92">
      <formula1>'Teams | CQ + Playoffs'!$C$34:$C$42</formula1>
    </dataValidation>
    <dataValidation type="list" allowBlank="1" showErrorMessage="1" sqref="BL58:BL82 BL118:BL142">
      <formula1>'Teams | CQ + Playoffs'!$C$4:$C$12</formula1>
    </dataValidation>
    <dataValidation type="list" allowBlank="1" showErrorMessage="1" sqref="D58:D72 W58:W72">
      <formula1>'Teams | CQ + Playoffs'!$K$24:$K$32</formula1>
    </dataValidation>
    <dataValidation type="list" allowBlank="1" showErrorMessage="1" sqref="AN58:AN82 AB98:AB112 BS88:BS112 BS148:BS172">
      <formula1>'Teams | 1 Division'!$C$26:$C$35</formula1>
    </dataValidation>
    <dataValidation type="list" allowBlank="1" showErrorMessage="1" sqref="BL88:BL112 BS118:BS142">
      <formula1>'Teams | CQ + Playoffs'!$G$4:$G$12</formula1>
    </dataValidation>
    <dataValidation type="list" allowBlank="1" showErrorMessage="1" sqref="AB78:AB92 K98:K112 W98:W112 AI118:AI132">
      <formula1>'Teams | CQ + Playoffs'!$G$44:$G$52</formula1>
    </dataValidation>
    <dataValidation type="list" allowBlank="1" showErrorMessage="1" sqref="P98:P112">
      <formula1>'Teams | CQ + Playoffs'!$C$24:$C$32</formula1>
    </dataValidation>
    <dataValidation type="list" allowBlank="1" showErrorMessage="1" sqref="G58:H58 S58:T58 AE58:AF58 AQ58:AR58 BC58:BD58 BO58:BP58 CA58:CB58 G63:H63 S63:T63 AE63:AF63 AQ63:AR63 BC63:BD63 BO63:BP63 CA63:CB63 G68:H68 S68:T68 AE68:AF68 AQ68:AR68 BC68:BD68 BO68:BP68 CA68:CB68 AQ73:AR73 BC73:BD73 BO73:BP73 G78:H78 S78:T78 AE78:AF78 AQ78:AR78 BC78:BD78 BO78:BP78 G83:H83 S83:T83 AE83:AF83 G88:H88 S88:T88 AE88:AF88 AQ88:AR88 BC88:BD88 BO88:BP88 AQ93:AR93 BC93:BD93 BO93:BP93 G98:H98 S98:T98 AE98:AF98 AQ98:AR98 BC98:BD98 BO98:BP98 G103:H103 S103:T103 AE103:AF103 AQ103:AR103 BC103:BD103 BO103:BP103 G108:H108 S108:T108 AE108:AF108 AQ108:AR108 BC108:BD108 BO108:BP108 BC113:BD113 G118:H118 S118:T118 AE118:AF118 AQ118:AR118 BC118:BD118 BO118:BP118 G123:H123 S123:T123 AE123:AF123 AQ123:AR123 BO123:BP123 G128:H128 S128:T128 AE128:AF128 AQ128:AR128 BO128:BP128 AQ133:AR133 BO133:BP133 AQ138:AR138 BO138:BP138 BO148:BP148 BO153:BP153 BO158:BP158 BO163:BP163 BO168:BP168">
      <formula1>"W,L"</formula1>
    </dataValidation>
    <dataValidation type="list" allowBlank="1" showErrorMessage="1" sqref="AU58:AU82 AZ88:AZ122 AB118:AB132">
      <formula1>'Teams | 1 Division'!$G$26:$G$35</formula1>
    </dataValidation>
    <dataValidation type="list" allowBlank="1" showErrorMessage="1" sqref="E58:E72 J58:J72 Q58:Q72 V58:V72 AC58:AC72 AH58:AH72 BY58:BY72 CD58:CD72 AO58:AO82 AT58:AT82 BA58:BA82 BF58:BF82 BM58:BM82 BR58:BR82 E78:E92 J78:J92 Q78:Q92 V78:V92 AC78:AC92 AH78:AH92 AH98:AH107 E98:E112 J98:J112 Q98:Q112 V98:V112 AC98:AC112 AO88:AO112 AT88:AT112 BM88:BM112 BR88:BR112 BA88:BA122 BF88:BF122 E118:E132 J118:J132 Q118:Q132 V118:V132 AC118:AC132 AH118:AH132 AO118:AO142 AT118:AT142 BM118:BM142 BR118:BR142 BM148:BM172 BR148:BR172">
      <formula1>Heroes!$C$3:$C$335</formula1>
    </dataValidation>
    <dataValidation type="list" allowBlank="1" showErrorMessage="1" sqref="P58:P72 AB58:AB72 AI58:AI72 BX58:BX72 CE58:CE72 AZ58:AZ82 BG58:BG82 BS58:BS82 P78:P92 AI98:AI107 AN88:AN112 AU88:AU112 BG88:BG122 AN118:AN142 AU118:AU142 BL148:BL172">
      <formula1>'Teams | CQ + Playoffs'!$G$14:$G$22</formula1>
    </dataValidation>
    <dataValidation type="list" allowBlank="1" showErrorMessage="1" sqref="AI78:AI92 P118:P132">
      <formula1>'Teams | CQ + Playoffs'!$G$24:$G$32</formula1>
    </dataValidation>
    <dataValidation type="list" allowBlank="1" showErrorMessage="1" sqref="C58:C72 L58:L72 O58:O72 X58:X72 AA58:AA72 AJ58:AJ72 BW58:BW72 CF58:CF72 AM58:AM82 AV58:AV82 AY58:AY82 BH58:BH82 BK58:BK82 BT58:BT82 C78:C92 L78:L92 O78:O92 X78:X92 AA78:AA92 AJ78:AJ92 AJ98:AJ107 C98:C112 L98:L112 O98:O112 X98:X112 AA98:AA112 AM88:AM112 AV88:AV112 BK88:BK112 BT88:BT112 AY88:AY122 BH88:BH122 C118:C132 L118:L132 O118:O132 X118:X132 AA118:AA132 AJ118:AJ132 AM118:AM142 AV118:AV142 BK118:BK142 BT118:BT142 BK148:BK172 BT148:BT172">
      <formula1>Heroes!$B$3:$C$359</formula1>
    </dataValidation>
    <dataValidation type="list" allowBlank="1" showErrorMessage="1" sqref="K78:K92">
      <formula1>'Teams | CQ + Playoffs'!$K$44:$K$52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1.22" defaultRowHeight="15.75"/>
  <cols>
    <col customWidth="1" min="1" max="1" width="14.44"/>
    <col customWidth="1" min="2" max="2" width="11.67"/>
    <col customWidth="1" min="3" max="4" width="23.33"/>
    <col customWidth="1" min="5" max="5" width="14.44"/>
    <col customWidth="1" min="6" max="6" width="11.67"/>
    <col customWidth="1" min="7" max="8" width="23.33"/>
    <col customWidth="1" min="9" max="9" width="14.44"/>
    <col customWidth="1" min="10" max="10" width="11.67"/>
    <col customWidth="1" min="11" max="12" width="23.33"/>
  </cols>
  <sheetData>
    <row r="1">
      <c r="A1" s="425" t="s">
        <v>487</v>
      </c>
      <c r="B1" s="8"/>
      <c r="C1" s="8"/>
      <c r="D1" s="8"/>
      <c r="E1" s="8"/>
      <c r="F1" s="8"/>
      <c r="G1" s="8"/>
      <c r="H1" s="8"/>
      <c r="I1" s="8"/>
      <c r="J1" s="8"/>
      <c r="K1" s="8"/>
      <c r="L1" s="68"/>
    </row>
    <row r="2">
      <c r="A2" s="58" t="s">
        <v>488</v>
      </c>
      <c r="B2" s="104" t="s">
        <v>489</v>
      </c>
      <c r="C2" s="104" t="s">
        <v>490</v>
      </c>
      <c r="D2" s="426" t="s">
        <v>491</v>
      </c>
      <c r="E2" s="58" t="s">
        <v>488</v>
      </c>
      <c r="F2" s="104" t="s">
        <v>489</v>
      </c>
      <c r="G2" s="104" t="s">
        <v>490</v>
      </c>
      <c r="H2" s="426" t="s">
        <v>491</v>
      </c>
      <c r="I2" s="58" t="s">
        <v>488</v>
      </c>
      <c r="J2" s="104" t="s">
        <v>489</v>
      </c>
      <c r="K2" s="104" t="s">
        <v>490</v>
      </c>
      <c r="L2" s="426" t="s">
        <v>491</v>
      </c>
    </row>
    <row r="3">
      <c r="A3" s="427" t="str">
        <f>'Tournament format'!D59</f>
        <v>Team Spirit</v>
      </c>
      <c r="B3" s="97"/>
      <c r="C3" s="97"/>
      <c r="D3" s="100"/>
      <c r="E3" s="427" t="str">
        <f>'Tournament format'!D60</f>
        <v>Verso Time</v>
      </c>
      <c r="F3" s="97"/>
      <c r="G3" s="97"/>
      <c r="H3" s="100"/>
      <c r="I3" s="427" t="str">
        <f>'Tournament format'!D29</f>
        <v>Virtus.pro</v>
      </c>
      <c r="J3" s="97"/>
      <c r="K3" s="97"/>
      <c r="L3" s="100"/>
    </row>
    <row r="4">
      <c r="A4" s="428" t="s">
        <v>488</v>
      </c>
      <c r="B4" s="14" t="s">
        <v>492</v>
      </c>
      <c r="C4" s="14" t="s">
        <v>367</v>
      </c>
      <c r="D4" s="171" t="s">
        <v>493</v>
      </c>
      <c r="E4" s="428" t="s">
        <v>488</v>
      </c>
      <c r="F4" s="14" t="s">
        <v>494</v>
      </c>
      <c r="G4" s="14" t="s">
        <v>452</v>
      </c>
      <c r="H4" s="171" t="s">
        <v>495</v>
      </c>
      <c r="I4" s="428" t="s">
        <v>488</v>
      </c>
      <c r="J4" s="14" t="s">
        <v>494</v>
      </c>
      <c r="K4" s="14" t="s">
        <v>393</v>
      </c>
      <c r="L4" s="171" t="s">
        <v>496</v>
      </c>
    </row>
    <row r="5">
      <c r="A5" s="429" t="s">
        <v>497</v>
      </c>
      <c r="B5" s="109" t="s">
        <v>498</v>
      </c>
      <c r="C5" s="109" t="s">
        <v>397</v>
      </c>
      <c r="D5" s="373" t="s">
        <v>499</v>
      </c>
      <c r="E5" s="429" t="s">
        <v>497</v>
      </c>
      <c r="F5" s="109" t="s">
        <v>498</v>
      </c>
      <c r="G5" s="109" t="s">
        <v>449</v>
      </c>
      <c r="H5" s="373" t="s">
        <v>500</v>
      </c>
      <c r="I5" s="429" t="s">
        <v>497</v>
      </c>
      <c r="J5" s="109" t="s">
        <v>498</v>
      </c>
      <c r="K5" s="109" t="s">
        <v>501</v>
      </c>
      <c r="L5" s="373" t="s">
        <v>502</v>
      </c>
    </row>
    <row r="6">
      <c r="A6" s="429" t="s">
        <v>497</v>
      </c>
      <c r="B6" s="109" t="s">
        <v>503</v>
      </c>
      <c r="C6" s="109" t="s">
        <v>340</v>
      </c>
      <c r="D6" s="373" t="s">
        <v>504</v>
      </c>
      <c r="E6" s="429" t="s">
        <v>497</v>
      </c>
      <c r="F6" s="109" t="s">
        <v>503</v>
      </c>
      <c r="G6" s="109" t="s">
        <v>448</v>
      </c>
      <c r="H6" s="373" t="s">
        <v>505</v>
      </c>
      <c r="I6" s="429" t="s">
        <v>497</v>
      </c>
      <c r="J6" s="109" t="s">
        <v>503</v>
      </c>
      <c r="K6" s="109" t="s">
        <v>365</v>
      </c>
      <c r="L6" s="373" t="s">
        <v>506</v>
      </c>
    </row>
    <row r="7">
      <c r="A7" s="429" t="s">
        <v>497</v>
      </c>
      <c r="B7" s="109" t="s">
        <v>507</v>
      </c>
      <c r="C7" s="109" t="s">
        <v>356</v>
      </c>
      <c r="D7" s="373" t="s">
        <v>508</v>
      </c>
      <c r="E7" s="429" t="s">
        <v>497</v>
      </c>
      <c r="F7" s="109" t="s">
        <v>507</v>
      </c>
      <c r="G7" s="109" t="s">
        <v>450</v>
      </c>
      <c r="H7" s="373" t="s">
        <v>509</v>
      </c>
      <c r="I7" s="429" t="s">
        <v>497</v>
      </c>
      <c r="J7" s="109" t="s">
        <v>507</v>
      </c>
      <c r="K7" s="109" t="s">
        <v>335</v>
      </c>
      <c r="L7" s="373" t="s">
        <v>510</v>
      </c>
    </row>
    <row r="8">
      <c r="A8" s="429" t="s">
        <v>497</v>
      </c>
      <c r="B8" s="109" t="s">
        <v>494</v>
      </c>
      <c r="C8" s="109" t="s">
        <v>386</v>
      </c>
      <c r="D8" s="373" t="s">
        <v>511</v>
      </c>
      <c r="E8" s="429" t="s">
        <v>497</v>
      </c>
      <c r="F8" s="109" t="s">
        <v>492</v>
      </c>
      <c r="G8" s="109" t="s">
        <v>454</v>
      </c>
      <c r="H8" s="373" t="s">
        <v>512</v>
      </c>
      <c r="I8" s="429" t="s">
        <v>497</v>
      </c>
      <c r="J8" s="109" t="s">
        <v>492</v>
      </c>
      <c r="K8" s="109" t="s">
        <v>351</v>
      </c>
      <c r="L8" s="373" t="s">
        <v>513</v>
      </c>
    </row>
    <row r="9">
      <c r="A9" s="429" t="s">
        <v>514</v>
      </c>
      <c r="B9" s="109" t="s">
        <v>515</v>
      </c>
      <c r="C9" s="109" t="s">
        <v>516</v>
      </c>
      <c r="D9" s="373" t="s">
        <v>517</v>
      </c>
      <c r="E9" s="429" t="s">
        <v>514</v>
      </c>
      <c r="F9" s="109" t="s">
        <v>507</v>
      </c>
      <c r="G9" s="109" t="s">
        <v>518</v>
      </c>
      <c r="H9" s="373" t="s">
        <v>519</v>
      </c>
      <c r="I9" s="429" t="s">
        <v>514</v>
      </c>
      <c r="J9" s="109" t="s">
        <v>498</v>
      </c>
      <c r="K9" s="109" t="s">
        <v>381</v>
      </c>
      <c r="L9" s="373" t="s">
        <v>520</v>
      </c>
    </row>
    <row r="10">
      <c r="A10" s="429" t="s">
        <v>514</v>
      </c>
      <c r="B10" s="109"/>
      <c r="C10" s="109" t="s">
        <v>521</v>
      </c>
      <c r="D10" s="373" t="s">
        <v>522</v>
      </c>
      <c r="E10" s="429" t="s">
        <v>514</v>
      </c>
      <c r="F10" s="109"/>
      <c r="G10" s="109"/>
      <c r="H10" s="373"/>
      <c r="I10" s="429" t="s">
        <v>514</v>
      </c>
      <c r="J10" s="109" t="s">
        <v>515</v>
      </c>
      <c r="K10" s="109" t="s">
        <v>523</v>
      </c>
      <c r="L10" s="373" t="s">
        <v>524</v>
      </c>
    </row>
    <row r="11">
      <c r="A11" s="429" t="s">
        <v>525</v>
      </c>
      <c r="B11" s="30"/>
      <c r="C11" s="109" t="s">
        <v>526</v>
      </c>
      <c r="D11" s="373" t="s">
        <v>527</v>
      </c>
      <c r="E11" s="429" t="s">
        <v>525</v>
      </c>
      <c r="F11" s="30"/>
      <c r="G11" s="109" t="s">
        <v>528</v>
      </c>
      <c r="H11" s="373" t="s">
        <v>529</v>
      </c>
      <c r="I11" s="429" t="s">
        <v>525</v>
      </c>
      <c r="J11" s="30"/>
      <c r="K11" s="109" t="s">
        <v>530</v>
      </c>
      <c r="L11" s="373" t="s">
        <v>531</v>
      </c>
    </row>
    <row r="12">
      <c r="A12" s="430" t="s">
        <v>532</v>
      </c>
      <c r="B12" s="431"/>
      <c r="C12" s="132" t="s">
        <v>533</v>
      </c>
      <c r="D12" s="396" t="s">
        <v>534</v>
      </c>
      <c r="E12" s="430" t="s">
        <v>532</v>
      </c>
      <c r="F12" s="431"/>
      <c r="G12" s="132" t="s">
        <v>535</v>
      </c>
      <c r="H12" s="396" t="s">
        <v>536</v>
      </c>
      <c r="I12" s="429" t="s">
        <v>532</v>
      </c>
      <c r="J12" s="30"/>
      <c r="K12" s="109"/>
      <c r="L12" s="373"/>
    </row>
    <row r="13">
      <c r="A13" s="427" t="str">
        <f>'Tournament format'!D30</f>
        <v>Team Yandex</v>
      </c>
      <c r="B13" s="97"/>
      <c r="C13" s="97"/>
      <c r="D13" s="100"/>
      <c r="E13" s="427" t="str">
        <f>'Tournament format'!D31</f>
        <v>FORZE</v>
      </c>
      <c r="F13" s="97"/>
      <c r="G13" s="97"/>
      <c r="H13" s="100"/>
      <c r="I13" s="427" t="str">
        <f>'Tournament format'!D32</f>
        <v>CYBERHERO</v>
      </c>
      <c r="J13" s="97"/>
      <c r="K13" s="97"/>
      <c r="L13" s="100"/>
    </row>
    <row r="14">
      <c r="A14" s="428" t="s">
        <v>488</v>
      </c>
      <c r="B14" s="14" t="s">
        <v>494</v>
      </c>
      <c r="C14" s="14" t="s">
        <v>336</v>
      </c>
      <c r="D14" s="171" t="s">
        <v>537</v>
      </c>
      <c r="E14" s="428" t="s">
        <v>488</v>
      </c>
      <c r="F14" s="14" t="s">
        <v>503</v>
      </c>
      <c r="G14" s="14" t="s">
        <v>326</v>
      </c>
      <c r="H14" s="14" t="s">
        <v>538</v>
      </c>
      <c r="I14" s="429" t="s">
        <v>488</v>
      </c>
      <c r="J14" s="30" t="s">
        <v>498</v>
      </c>
      <c r="K14" s="109" t="s">
        <v>333</v>
      </c>
      <c r="L14" s="373" t="s">
        <v>539</v>
      </c>
    </row>
    <row r="15">
      <c r="A15" s="429" t="s">
        <v>497</v>
      </c>
      <c r="B15" s="109" t="s">
        <v>498</v>
      </c>
      <c r="C15" s="109" t="s">
        <v>383</v>
      </c>
      <c r="D15" s="373" t="s">
        <v>540</v>
      </c>
      <c r="E15" s="429" t="s">
        <v>497</v>
      </c>
      <c r="F15" s="109" t="s">
        <v>507</v>
      </c>
      <c r="G15" s="109" t="s">
        <v>330</v>
      </c>
      <c r="H15" s="109" t="s">
        <v>541</v>
      </c>
      <c r="I15" s="429" t="s">
        <v>497</v>
      </c>
      <c r="J15" s="109" t="s">
        <v>507</v>
      </c>
      <c r="K15" s="109" t="s">
        <v>364</v>
      </c>
      <c r="L15" s="373" t="s">
        <v>542</v>
      </c>
    </row>
    <row r="16">
      <c r="A16" s="429" t="s">
        <v>497</v>
      </c>
      <c r="B16" s="109" t="s">
        <v>507</v>
      </c>
      <c r="C16" s="109" t="s">
        <v>366</v>
      </c>
      <c r="D16" s="373" t="s">
        <v>543</v>
      </c>
      <c r="E16" s="429" t="s">
        <v>497</v>
      </c>
      <c r="F16" s="109" t="s">
        <v>498</v>
      </c>
      <c r="G16" s="109" t="s">
        <v>338</v>
      </c>
      <c r="H16" s="109" t="s">
        <v>544</v>
      </c>
      <c r="I16" s="429" t="s">
        <v>497</v>
      </c>
      <c r="J16" s="30" t="s">
        <v>494</v>
      </c>
      <c r="K16" s="109" t="s">
        <v>339</v>
      </c>
      <c r="L16" s="373" t="s">
        <v>545</v>
      </c>
    </row>
    <row r="17">
      <c r="A17" s="429" t="s">
        <v>497</v>
      </c>
      <c r="B17" s="109" t="s">
        <v>492</v>
      </c>
      <c r="C17" s="109" t="s">
        <v>394</v>
      </c>
      <c r="D17" s="373" t="s">
        <v>546</v>
      </c>
      <c r="E17" s="429" t="s">
        <v>497</v>
      </c>
      <c r="F17" s="109" t="s">
        <v>494</v>
      </c>
      <c r="G17" s="109" t="s">
        <v>349</v>
      </c>
      <c r="H17" s="109" t="s">
        <v>547</v>
      </c>
      <c r="I17" s="429" t="s">
        <v>497</v>
      </c>
      <c r="J17" s="30" t="s">
        <v>492</v>
      </c>
      <c r="K17" s="109" t="s">
        <v>350</v>
      </c>
      <c r="L17" s="373" t="s">
        <v>548</v>
      </c>
    </row>
    <row r="18">
      <c r="A18" s="429" t="s">
        <v>497</v>
      </c>
      <c r="B18" s="109" t="s">
        <v>503</v>
      </c>
      <c r="C18" s="109" t="s">
        <v>353</v>
      </c>
      <c r="D18" s="373" t="s">
        <v>549</v>
      </c>
      <c r="E18" s="429" t="s">
        <v>497</v>
      </c>
      <c r="F18" s="109" t="s">
        <v>492</v>
      </c>
      <c r="G18" s="109" t="s">
        <v>378</v>
      </c>
      <c r="H18" s="109" t="s">
        <v>550</v>
      </c>
      <c r="I18" s="429" t="s">
        <v>497</v>
      </c>
      <c r="J18" s="30" t="s">
        <v>503</v>
      </c>
      <c r="K18" s="109" t="s">
        <v>355</v>
      </c>
      <c r="L18" s="373" t="s">
        <v>551</v>
      </c>
    </row>
    <row r="19">
      <c r="A19" s="429" t="s">
        <v>514</v>
      </c>
      <c r="B19" s="109" t="s">
        <v>515</v>
      </c>
      <c r="C19" s="109" t="s">
        <v>552</v>
      </c>
      <c r="D19" s="373" t="s">
        <v>553</v>
      </c>
      <c r="E19" s="429" t="s">
        <v>514</v>
      </c>
      <c r="F19" s="30"/>
      <c r="G19" s="30"/>
      <c r="H19" s="30"/>
      <c r="I19" s="429" t="s">
        <v>514</v>
      </c>
      <c r="J19" s="30" t="s">
        <v>515</v>
      </c>
      <c r="K19" s="109" t="s">
        <v>554</v>
      </c>
      <c r="L19" s="373" t="s">
        <v>555</v>
      </c>
    </row>
    <row r="20">
      <c r="A20" s="429" t="s">
        <v>514</v>
      </c>
      <c r="B20" s="30"/>
      <c r="E20" s="429" t="s">
        <v>514</v>
      </c>
      <c r="F20" s="30"/>
      <c r="G20" s="30"/>
      <c r="H20" s="30"/>
      <c r="I20" s="429" t="s">
        <v>514</v>
      </c>
      <c r="J20" s="30" t="s">
        <v>498</v>
      </c>
      <c r="K20" s="109" t="s">
        <v>556</v>
      </c>
      <c r="L20" s="373" t="s">
        <v>557</v>
      </c>
    </row>
    <row r="21">
      <c r="A21" s="429" t="s">
        <v>525</v>
      </c>
      <c r="B21" s="30"/>
      <c r="C21" s="109" t="s">
        <v>558</v>
      </c>
      <c r="D21" s="69"/>
      <c r="E21" s="429" t="s">
        <v>525</v>
      </c>
      <c r="F21" s="30"/>
      <c r="G21" s="30"/>
      <c r="H21" s="60"/>
      <c r="I21" s="429" t="s">
        <v>525</v>
      </c>
      <c r="J21" s="30"/>
      <c r="K21" s="109" t="s">
        <v>559</v>
      </c>
      <c r="L21" s="373" t="s">
        <v>560</v>
      </c>
    </row>
    <row r="22">
      <c r="A22" s="430" t="s">
        <v>532</v>
      </c>
      <c r="B22" s="431"/>
      <c r="C22" s="132" t="s">
        <v>561</v>
      </c>
      <c r="D22" s="396" t="s">
        <v>562</v>
      </c>
      <c r="E22" s="430" t="s">
        <v>532</v>
      </c>
      <c r="F22" s="132" t="s">
        <v>498</v>
      </c>
      <c r="G22" s="132" t="s">
        <v>563</v>
      </c>
      <c r="H22" s="132" t="s">
        <v>564</v>
      </c>
      <c r="I22" s="430" t="s">
        <v>532</v>
      </c>
      <c r="J22" s="431"/>
      <c r="K22" s="132" t="s">
        <v>565</v>
      </c>
      <c r="L22" s="396" t="s">
        <v>566</v>
      </c>
    </row>
    <row r="23">
      <c r="A23" s="427" t="str">
        <f>'Tournament format'!D33</f>
        <v>Magic</v>
      </c>
      <c r="B23" s="97"/>
      <c r="C23" s="97"/>
      <c r="D23" s="100"/>
      <c r="E23" s="427" t="str">
        <f>'Tournament format'!D34</f>
        <v>Aura Farmers</v>
      </c>
      <c r="F23" s="97"/>
      <c r="G23" s="97"/>
      <c r="H23" s="100"/>
      <c r="I23" s="432" t="str">
        <f>'Tournament format'!D35</f>
        <v>The Soulless Team</v>
      </c>
      <c r="J23" s="22"/>
      <c r="K23" s="22"/>
      <c r="L23" s="93"/>
    </row>
    <row r="24">
      <c r="A24" s="428" t="s">
        <v>488</v>
      </c>
      <c r="B24" s="14" t="s">
        <v>494</v>
      </c>
      <c r="C24" s="14" t="s">
        <v>462</v>
      </c>
      <c r="D24" s="171" t="s">
        <v>567</v>
      </c>
      <c r="E24" s="428" t="s">
        <v>488</v>
      </c>
      <c r="F24" s="14" t="s">
        <v>498</v>
      </c>
      <c r="G24" s="14" t="s">
        <v>437</v>
      </c>
      <c r="H24" s="171" t="s">
        <v>568</v>
      </c>
      <c r="I24" s="428" t="s">
        <v>488</v>
      </c>
      <c r="J24" s="14" t="s">
        <v>494</v>
      </c>
      <c r="K24" s="14" t="s">
        <v>316</v>
      </c>
      <c r="L24" s="171" t="s">
        <v>569</v>
      </c>
    </row>
    <row r="25">
      <c r="A25" s="429" t="s">
        <v>497</v>
      </c>
      <c r="B25" s="109" t="s">
        <v>503</v>
      </c>
      <c r="C25" s="109" t="s">
        <v>458</v>
      </c>
      <c r="D25" s="373" t="s">
        <v>570</v>
      </c>
      <c r="E25" s="429" t="s">
        <v>497</v>
      </c>
      <c r="F25" s="109" t="s">
        <v>503</v>
      </c>
      <c r="G25" s="109" t="s">
        <v>426</v>
      </c>
      <c r="H25" s="373" t="s">
        <v>571</v>
      </c>
      <c r="I25" s="429" t="s">
        <v>497</v>
      </c>
      <c r="J25" s="109" t="s">
        <v>492</v>
      </c>
      <c r="K25" s="109" t="s">
        <v>344</v>
      </c>
      <c r="L25" s="373" t="s">
        <v>572</v>
      </c>
    </row>
    <row r="26">
      <c r="A26" s="429" t="s">
        <v>497</v>
      </c>
      <c r="B26" s="109" t="s">
        <v>498</v>
      </c>
      <c r="C26" s="109" t="s">
        <v>464</v>
      </c>
      <c r="D26" s="373" t="s">
        <v>573</v>
      </c>
      <c r="E26" s="429" t="s">
        <v>497</v>
      </c>
      <c r="F26" s="109" t="s">
        <v>507</v>
      </c>
      <c r="G26" s="109" t="s">
        <v>442</v>
      </c>
      <c r="H26" s="373" t="s">
        <v>574</v>
      </c>
      <c r="I26" s="429" t="s">
        <v>497</v>
      </c>
      <c r="J26" s="109" t="s">
        <v>503</v>
      </c>
      <c r="K26" s="109" t="s">
        <v>358</v>
      </c>
      <c r="L26" s="373" t="s">
        <v>575</v>
      </c>
    </row>
    <row r="27">
      <c r="A27" s="429" t="s">
        <v>497</v>
      </c>
      <c r="B27" s="109" t="s">
        <v>507</v>
      </c>
      <c r="C27" s="109" t="s">
        <v>576</v>
      </c>
      <c r="D27" s="373" t="s">
        <v>577</v>
      </c>
      <c r="E27" s="429" t="s">
        <v>497</v>
      </c>
      <c r="F27" s="109" t="s">
        <v>494</v>
      </c>
      <c r="G27" s="109" t="s">
        <v>431</v>
      </c>
      <c r="H27" s="373" t="s">
        <v>578</v>
      </c>
      <c r="I27" s="429" t="s">
        <v>497</v>
      </c>
      <c r="J27" s="109" t="s">
        <v>498</v>
      </c>
      <c r="K27" s="109" t="s">
        <v>370</v>
      </c>
      <c r="L27" s="373" t="s">
        <v>579</v>
      </c>
    </row>
    <row r="28">
      <c r="A28" s="429" t="s">
        <v>497</v>
      </c>
      <c r="B28" s="109" t="s">
        <v>492</v>
      </c>
      <c r="C28" s="109" t="s">
        <v>468</v>
      </c>
      <c r="D28" s="373" t="s">
        <v>580</v>
      </c>
      <c r="E28" s="429" t="s">
        <v>497</v>
      </c>
      <c r="F28" s="109" t="s">
        <v>492</v>
      </c>
      <c r="G28" s="109" t="s">
        <v>422</v>
      </c>
      <c r="H28" s="373" t="s">
        <v>581</v>
      </c>
      <c r="I28" s="429" t="s">
        <v>497</v>
      </c>
      <c r="J28" s="109" t="s">
        <v>507</v>
      </c>
      <c r="K28" s="109" t="s">
        <v>388</v>
      </c>
      <c r="L28" s="373" t="s">
        <v>582</v>
      </c>
    </row>
    <row r="29">
      <c r="A29" s="429" t="s">
        <v>514</v>
      </c>
      <c r="B29" s="109" t="s">
        <v>515</v>
      </c>
      <c r="C29" s="109" t="s">
        <v>583</v>
      </c>
      <c r="D29" s="373" t="s">
        <v>584</v>
      </c>
      <c r="E29" s="429" t="s">
        <v>514</v>
      </c>
      <c r="F29" s="30"/>
      <c r="G29" s="30"/>
      <c r="H29" s="433"/>
      <c r="I29" s="429" t="s">
        <v>514</v>
      </c>
      <c r="J29" s="30"/>
      <c r="K29" s="30"/>
      <c r="L29" s="433"/>
    </row>
    <row r="30">
      <c r="A30" s="429" t="s">
        <v>514</v>
      </c>
      <c r="B30" s="109" t="s">
        <v>507</v>
      </c>
      <c r="C30" s="109" t="s">
        <v>460</v>
      </c>
      <c r="D30" s="373" t="s">
        <v>585</v>
      </c>
      <c r="E30" s="429" t="s">
        <v>514</v>
      </c>
      <c r="F30" s="30"/>
      <c r="G30" s="30"/>
      <c r="H30" s="433"/>
      <c r="I30" s="429" t="s">
        <v>514</v>
      </c>
      <c r="J30" s="30"/>
      <c r="K30" s="30"/>
      <c r="L30" s="433"/>
    </row>
    <row r="31">
      <c r="A31" s="429" t="s">
        <v>525</v>
      </c>
      <c r="B31" s="30"/>
      <c r="C31" s="109" t="s">
        <v>586</v>
      </c>
      <c r="D31" s="373" t="s">
        <v>587</v>
      </c>
      <c r="E31" s="429" t="s">
        <v>525</v>
      </c>
      <c r="F31" s="30"/>
      <c r="G31" s="109" t="s">
        <v>588</v>
      </c>
      <c r="H31" s="373" t="s">
        <v>589</v>
      </c>
      <c r="I31" s="429" t="s">
        <v>525</v>
      </c>
      <c r="J31" s="109" t="s">
        <v>515</v>
      </c>
      <c r="K31" s="109" t="s">
        <v>590</v>
      </c>
      <c r="L31" s="373" t="s">
        <v>591</v>
      </c>
    </row>
    <row r="32">
      <c r="A32" s="430" t="s">
        <v>532</v>
      </c>
      <c r="B32" s="431"/>
      <c r="C32" s="132" t="s">
        <v>592</v>
      </c>
      <c r="D32" s="396" t="s">
        <v>593</v>
      </c>
      <c r="E32" s="430" t="s">
        <v>532</v>
      </c>
      <c r="F32" s="431"/>
      <c r="G32" s="132" t="s">
        <v>594</v>
      </c>
      <c r="H32" s="396" t="s">
        <v>595</v>
      </c>
      <c r="I32" s="430" t="s">
        <v>532</v>
      </c>
      <c r="J32" s="431"/>
      <c r="K32" s="431"/>
      <c r="L32" s="434"/>
    </row>
    <row r="33">
      <c r="A33" s="427" t="str">
        <f>'Tournament format'!D36</f>
        <v>HARD GRIND</v>
      </c>
      <c r="B33" s="97"/>
      <c r="C33" s="97"/>
      <c r="D33" s="100"/>
      <c r="E33" s="427" t="str">
        <f>'Tournament format'!D37</f>
        <v>TSA White</v>
      </c>
      <c r="F33" s="97"/>
      <c r="G33" s="97"/>
      <c r="H33" s="100"/>
      <c r="I33" s="427" t="str">
        <f>'Tournament format'!D38</f>
        <v>INVISION</v>
      </c>
      <c r="J33" s="97"/>
      <c r="K33" s="97"/>
      <c r="L33" s="100"/>
    </row>
    <row r="34">
      <c r="A34" s="428" t="s">
        <v>488</v>
      </c>
      <c r="B34" s="14" t="s">
        <v>498</v>
      </c>
      <c r="C34" s="14" t="s">
        <v>417</v>
      </c>
      <c r="D34" s="171" t="s">
        <v>596</v>
      </c>
      <c r="E34" s="428" t="s">
        <v>488</v>
      </c>
      <c r="F34" s="14" t="s">
        <v>498</v>
      </c>
      <c r="G34" s="14" t="s">
        <v>457</v>
      </c>
      <c r="H34" s="171" t="s">
        <v>597</v>
      </c>
      <c r="I34" s="428" t="s">
        <v>488</v>
      </c>
      <c r="J34" s="14" t="s">
        <v>498</v>
      </c>
      <c r="K34" s="14" t="s">
        <v>473</v>
      </c>
      <c r="L34" s="171" t="s">
        <v>598</v>
      </c>
    </row>
    <row r="35">
      <c r="A35" s="429" t="s">
        <v>497</v>
      </c>
      <c r="B35" s="109" t="s">
        <v>494</v>
      </c>
      <c r="C35" s="109" t="s">
        <v>423</v>
      </c>
      <c r="D35" s="373" t="s">
        <v>599</v>
      </c>
      <c r="E35" s="429" t="s">
        <v>497</v>
      </c>
      <c r="F35" s="109" t="s">
        <v>503</v>
      </c>
      <c r="G35" s="109" t="s">
        <v>459</v>
      </c>
      <c r="H35" s="373" t="s">
        <v>600</v>
      </c>
      <c r="I35" s="429" t="s">
        <v>497</v>
      </c>
      <c r="J35" s="109" t="s">
        <v>507</v>
      </c>
      <c r="K35" s="109" t="s">
        <v>475</v>
      </c>
      <c r="L35" s="373" t="s">
        <v>601</v>
      </c>
    </row>
    <row r="36">
      <c r="A36" s="429" t="s">
        <v>497</v>
      </c>
      <c r="B36" s="109" t="s">
        <v>503</v>
      </c>
      <c r="C36" s="109" t="s">
        <v>427</v>
      </c>
      <c r="D36" s="373" t="s">
        <v>602</v>
      </c>
      <c r="E36" s="429" t="s">
        <v>497</v>
      </c>
      <c r="F36" s="109" t="s">
        <v>507</v>
      </c>
      <c r="G36" s="109" t="s">
        <v>461</v>
      </c>
      <c r="H36" s="373" t="s">
        <v>603</v>
      </c>
      <c r="I36" s="429" t="s">
        <v>497</v>
      </c>
      <c r="J36" s="109" t="s">
        <v>503</v>
      </c>
      <c r="K36" s="109" t="s">
        <v>477</v>
      </c>
      <c r="L36" s="373" t="s">
        <v>604</v>
      </c>
    </row>
    <row r="37">
      <c r="A37" s="429" t="s">
        <v>497</v>
      </c>
      <c r="B37" s="109" t="s">
        <v>507</v>
      </c>
      <c r="C37" s="109" t="s">
        <v>605</v>
      </c>
      <c r="D37" s="373" t="s">
        <v>606</v>
      </c>
      <c r="E37" s="429" t="s">
        <v>497</v>
      </c>
      <c r="F37" s="109" t="s">
        <v>494</v>
      </c>
      <c r="G37" s="109" t="s">
        <v>463</v>
      </c>
      <c r="H37" s="373" t="s">
        <v>607</v>
      </c>
      <c r="I37" s="429" t="s">
        <v>497</v>
      </c>
      <c r="J37" s="109" t="s">
        <v>494</v>
      </c>
      <c r="K37" s="109" t="s">
        <v>479</v>
      </c>
      <c r="L37" s="373" t="s">
        <v>608</v>
      </c>
    </row>
    <row r="38">
      <c r="A38" s="429" t="s">
        <v>497</v>
      </c>
      <c r="B38" s="109" t="s">
        <v>492</v>
      </c>
      <c r="C38" s="109" t="s">
        <v>420</v>
      </c>
      <c r="D38" s="373" t="s">
        <v>609</v>
      </c>
      <c r="E38" s="429" t="s">
        <v>497</v>
      </c>
      <c r="F38" s="109" t="s">
        <v>492</v>
      </c>
      <c r="G38" s="109" t="s">
        <v>467</v>
      </c>
      <c r="H38" s="373" t="s">
        <v>610</v>
      </c>
      <c r="I38" s="429" t="s">
        <v>497</v>
      </c>
      <c r="J38" s="109" t="s">
        <v>492</v>
      </c>
      <c r="K38" s="109" t="s">
        <v>482</v>
      </c>
      <c r="L38" s="373" t="s">
        <v>611</v>
      </c>
    </row>
    <row r="39">
      <c r="A39" s="429" t="s">
        <v>514</v>
      </c>
      <c r="B39" s="109" t="s">
        <v>507</v>
      </c>
      <c r="C39" s="109" t="s">
        <v>429</v>
      </c>
      <c r="D39" s="373" t="s">
        <v>612</v>
      </c>
      <c r="E39" s="429" t="s">
        <v>514</v>
      </c>
      <c r="F39" s="30"/>
      <c r="G39" s="30"/>
      <c r="H39" s="433"/>
      <c r="I39" s="429" t="s">
        <v>514</v>
      </c>
      <c r="J39" s="109" t="s">
        <v>498</v>
      </c>
      <c r="K39" s="109" t="s">
        <v>613</v>
      </c>
      <c r="L39" s="373" t="s">
        <v>614</v>
      </c>
    </row>
    <row r="40">
      <c r="A40" s="429" t="s">
        <v>514</v>
      </c>
      <c r="B40" s="109"/>
      <c r="C40" s="30"/>
      <c r="D40" s="433"/>
      <c r="E40" s="429" t="s">
        <v>514</v>
      </c>
      <c r="F40" s="30"/>
      <c r="G40" s="30"/>
      <c r="H40" s="433"/>
      <c r="I40" s="429" t="s">
        <v>514</v>
      </c>
      <c r="J40" s="30"/>
      <c r="K40" s="30"/>
      <c r="L40" s="433"/>
    </row>
    <row r="41">
      <c r="A41" s="429" t="s">
        <v>525</v>
      </c>
      <c r="B41" s="30"/>
      <c r="C41" s="30"/>
      <c r="D41" s="69"/>
      <c r="E41" s="429" t="s">
        <v>525</v>
      </c>
      <c r="F41" s="30"/>
      <c r="G41" s="109" t="s">
        <v>615</v>
      </c>
      <c r="H41" s="373" t="s">
        <v>616</v>
      </c>
      <c r="I41" s="429" t="s">
        <v>525</v>
      </c>
      <c r="J41" s="109" t="s">
        <v>498</v>
      </c>
      <c r="K41" s="109"/>
      <c r="L41" s="373"/>
    </row>
    <row r="42">
      <c r="A42" s="430" t="s">
        <v>532</v>
      </c>
      <c r="B42" s="431"/>
      <c r="C42" s="431"/>
      <c r="D42" s="434"/>
      <c r="E42" s="430" t="s">
        <v>532</v>
      </c>
      <c r="F42" s="30"/>
      <c r="G42" s="30"/>
      <c r="H42" s="433"/>
      <c r="I42" s="430" t="s">
        <v>532</v>
      </c>
      <c r="J42" s="109" t="s">
        <v>515</v>
      </c>
      <c r="K42" s="435" t="s">
        <v>617</v>
      </c>
      <c r="L42" s="436" t="s">
        <v>618</v>
      </c>
    </row>
    <row r="43">
      <c r="A43" s="427" t="str">
        <f>'Tournament format'!D39</f>
        <v>Aterion Esports</v>
      </c>
      <c r="B43" s="97"/>
      <c r="C43" s="97"/>
      <c r="D43" s="100"/>
      <c r="E43" s="427" t="str">
        <f>'Tournament format'!D40</f>
        <v>Omnix</v>
      </c>
      <c r="F43" s="97"/>
      <c r="G43" s="97"/>
      <c r="H43" s="100"/>
      <c r="I43" s="437" t="str">
        <f>'Tournament format'!D41</f>
        <v>Dark Phoenix</v>
      </c>
      <c r="J43" s="8"/>
      <c r="K43" s="8"/>
      <c r="L43" s="68"/>
    </row>
    <row r="44">
      <c r="A44" s="428" t="s">
        <v>488</v>
      </c>
      <c r="B44" s="14" t="s">
        <v>498</v>
      </c>
      <c r="C44" s="14" t="s">
        <v>480</v>
      </c>
      <c r="D44" s="171" t="s">
        <v>619</v>
      </c>
      <c r="E44" s="428" t="s">
        <v>488</v>
      </c>
      <c r="F44" s="14" t="s">
        <v>492</v>
      </c>
      <c r="G44" s="14" t="s">
        <v>435</v>
      </c>
      <c r="H44" s="171" t="s">
        <v>620</v>
      </c>
      <c r="I44" s="428" t="s">
        <v>488</v>
      </c>
      <c r="J44" s="438" t="s">
        <v>492</v>
      </c>
      <c r="K44" s="439" t="s">
        <v>424</v>
      </c>
      <c r="L44" s="440" t="s">
        <v>621</v>
      </c>
    </row>
    <row r="45">
      <c r="A45" s="429" t="s">
        <v>497</v>
      </c>
      <c r="B45" s="109" t="s">
        <v>507</v>
      </c>
      <c r="C45" s="109" t="s">
        <v>476</v>
      </c>
      <c r="D45" s="373" t="s">
        <v>622</v>
      </c>
      <c r="E45" s="429" t="s">
        <v>497</v>
      </c>
      <c r="F45" s="109" t="s">
        <v>498</v>
      </c>
      <c r="G45" s="109" t="s">
        <v>430</v>
      </c>
      <c r="H45" s="373" t="s">
        <v>623</v>
      </c>
      <c r="I45" s="429" t="s">
        <v>497</v>
      </c>
      <c r="J45" s="109" t="s">
        <v>507</v>
      </c>
      <c r="K45" s="441" t="s">
        <v>419</v>
      </c>
      <c r="L45" s="442" t="s">
        <v>624</v>
      </c>
    </row>
    <row r="46">
      <c r="A46" s="429" t="s">
        <v>497</v>
      </c>
      <c r="B46" s="109" t="s">
        <v>494</v>
      </c>
      <c r="C46" s="109" t="s">
        <v>478</v>
      </c>
      <c r="D46" s="373" t="s">
        <v>625</v>
      </c>
      <c r="E46" s="429" t="s">
        <v>497</v>
      </c>
      <c r="F46" s="109" t="s">
        <v>507</v>
      </c>
      <c r="G46" s="109" t="s">
        <v>441</v>
      </c>
      <c r="H46" s="373" t="s">
        <v>626</v>
      </c>
      <c r="I46" s="429" t="s">
        <v>497</v>
      </c>
      <c r="J46" s="30" t="s">
        <v>503</v>
      </c>
      <c r="K46" s="441" t="s">
        <v>627</v>
      </c>
      <c r="L46" s="442" t="s">
        <v>628</v>
      </c>
    </row>
    <row r="47">
      <c r="A47" s="429" t="s">
        <v>497</v>
      </c>
      <c r="B47" s="109" t="s">
        <v>492</v>
      </c>
      <c r="C47" s="109" t="s">
        <v>481</v>
      </c>
      <c r="D47" s="373" t="s">
        <v>629</v>
      </c>
      <c r="E47" s="429" t="s">
        <v>497</v>
      </c>
      <c r="F47" s="109" t="s">
        <v>494</v>
      </c>
      <c r="G47" s="109" t="s">
        <v>421</v>
      </c>
      <c r="H47" s="373" t="s">
        <v>630</v>
      </c>
      <c r="I47" s="429" t="s">
        <v>497</v>
      </c>
      <c r="J47" s="30" t="s">
        <v>494</v>
      </c>
      <c r="K47" s="441" t="s">
        <v>428</v>
      </c>
      <c r="L47" s="442" t="s">
        <v>631</v>
      </c>
    </row>
    <row r="48">
      <c r="A48" s="429" t="s">
        <v>497</v>
      </c>
      <c r="B48" s="109" t="s">
        <v>503</v>
      </c>
      <c r="C48" s="109" t="s">
        <v>474</v>
      </c>
      <c r="D48" s="373" t="s">
        <v>632</v>
      </c>
      <c r="E48" s="429" t="s">
        <v>497</v>
      </c>
      <c r="F48" s="109" t="s">
        <v>503</v>
      </c>
      <c r="G48" s="109" t="s">
        <v>425</v>
      </c>
      <c r="H48" s="373" t="s">
        <v>633</v>
      </c>
      <c r="I48" s="429" t="s">
        <v>497</v>
      </c>
      <c r="J48" s="30" t="s">
        <v>498</v>
      </c>
      <c r="K48" s="441" t="s">
        <v>440</v>
      </c>
      <c r="L48" s="442" t="s">
        <v>634</v>
      </c>
    </row>
    <row r="49">
      <c r="A49" s="429" t="s">
        <v>514</v>
      </c>
      <c r="B49" s="109" t="s">
        <v>515</v>
      </c>
      <c r="C49" s="109" t="s">
        <v>635</v>
      </c>
      <c r="D49" s="373" t="s">
        <v>636</v>
      </c>
      <c r="E49" s="429" t="s">
        <v>514</v>
      </c>
      <c r="F49" s="109" t="s">
        <v>515</v>
      </c>
      <c r="G49" s="109" t="s">
        <v>637</v>
      </c>
      <c r="H49" s="373" t="s">
        <v>638</v>
      </c>
      <c r="I49" s="429" t="s">
        <v>514</v>
      </c>
      <c r="J49" s="30"/>
      <c r="K49" s="30"/>
      <c r="L49" s="433"/>
    </row>
    <row r="50">
      <c r="A50" s="429" t="s">
        <v>514</v>
      </c>
      <c r="B50" s="30"/>
      <c r="C50" s="30"/>
      <c r="D50" s="433"/>
      <c r="E50" s="429" t="s">
        <v>514</v>
      </c>
      <c r="F50" s="109" t="s">
        <v>515</v>
      </c>
      <c r="G50" s="109" t="s">
        <v>639</v>
      </c>
      <c r="H50" s="373" t="s">
        <v>640</v>
      </c>
      <c r="I50" s="429" t="s">
        <v>514</v>
      </c>
      <c r="J50" s="30" t="s">
        <v>515</v>
      </c>
      <c r="K50" s="441" t="s">
        <v>433</v>
      </c>
      <c r="L50" s="442" t="s">
        <v>641</v>
      </c>
    </row>
    <row r="51">
      <c r="A51" s="429" t="s">
        <v>525</v>
      </c>
      <c r="B51" s="30"/>
      <c r="C51" s="109" t="s">
        <v>642</v>
      </c>
      <c r="D51" s="373" t="s">
        <v>643</v>
      </c>
      <c r="E51" s="429" t="s">
        <v>525</v>
      </c>
      <c r="F51" s="109" t="s">
        <v>515</v>
      </c>
      <c r="G51" s="109" t="s">
        <v>644</v>
      </c>
      <c r="H51" s="373" t="s">
        <v>645</v>
      </c>
      <c r="I51" s="429" t="s">
        <v>525</v>
      </c>
      <c r="J51" s="30" t="s">
        <v>515</v>
      </c>
      <c r="K51" s="441" t="s">
        <v>646</v>
      </c>
      <c r="L51" s="443" t="s">
        <v>647</v>
      </c>
    </row>
    <row r="52">
      <c r="A52" s="430" t="s">
        <v>532</v>
      </c>
      <c r="B52" s="431"/>
      <c r="C52" s="444" t="s">
        <v>648</v>
      </c>
      <c r="D52" s="445" t="s">
        <v>649</v>
      </c>
      <c r="E52" s="430" t="s">
        <v>532</v>
      </c>
      <c r="F52" s="431"/>
      <c r="G52" s="431"/>
      <c r="H52" s="434"/>
      <c r="I52" s="430" t="s">
        <v>532</v>
      </c>
      <c r="J52" s="431" t="s">
        <v>515</v>
      </c>
      <c r="K52" s="41" t="s">
        <v>650</v>
      </c>
      <c r="L52" s="446" t="s">
        <v>651</v>
      </c>
    </row>
    <row r="53">
      <c r="A53" s="427" t="str">
        <f>'Tournament format'!D42</f>
        <v>Suplex team</v>
      </c>
      <c r="B53" s="97"/>
      <c r="C53" s="97"/>
      <c r="D53" s="100"/>
      <c r="E53" s="447"/>
    </row>
    <row r="54">
      <c r="A54" s="428" t="s">
        <v>488</v>
      </c>
      <c r="B54" s="14" t="s">
        <v>498</v>
      </c>
      <c r="C54" s="14" t="s">
        <v>323</v>
      </c>
      <c r="D54" s="171" t="s">
        <v>652</v>
      </c>
    </row>
    <row r="55">
      <c r="A55" s="429" t="s">
        <v>497</v>
      </c>
      <c r="B55" s="109" t="s">
        <v>503</v>
      </c>
      <c r="C55" s="109" t="s">
        <v>345</v>
      </c>
      <c r="D55" s="373" t="s">
        <v>653</v>
      </c>
    </row>
    <row r="56">
      <c r="A56" s="429" t="s">
        <v>497</v>
      </c>
      <c r="B56" s="109" t="s">
        <v>507</v>
      </c>
      <c r="C56" s="109" t="s">
        <v>360</v>
      </c>
      <c r="D56" s="373" t="s">
        <v>654</v>
      </c>
    </row>
    <row r="57">
      <c r="A57" s="429" t="s">
        <v>497</v>
      </c>
      <c r="B57" s="109" t="s">
        <v>494</v>
      </c>
      <c r="C57" s="109" t="s">
        <v>390</v>
      </c>
      <c r="D57" s="373" t="s">
        <v>655</v>
      </c>
    </row>
    <row r="58">
      <c r="A58" s="429" t="s">
        <v>497</v>
      </c>
      <c r="B58" s="109" t="s">
        <v>492</v>
      </c>
      <c r="C58" s="109" t="s">
        <v>372</v>
      </c>
      <c r="D58" s="373" t="s">
        <v>656</v>
      </c>
    </row>
    <row r="59">
      <c r="A59" s="429" t="s">
        <v>514</v>
      </c>
      <c r="B59" s="30"/>
      <c r="C59" s="30"/>
      <c r="D59" s="433"/>
    </row>
    <row r="60">
      <c r="A60" s="429" t="s">
        <v>514</v>
      </c>
      <c r="B60" s="30"/>
      <c r="C60" s="30"/>
      <c r="D60" s="433"/>
    </row>
    <row r="61">
      <c r="A61" s="429" t="s">
        <v>525</v>
      </c>
      <c r="B61" s="109" t="s">
        <v>515</v>
      </c>
      <c r="C61" s="109" t="s">
        <v>657</v>
      </c>
      <c r="D61" s="373" t="s">
        <v>658</v>
      </c>
    </row>
    <row r="62">
      <c r="A62" s="430" t="s">
        <v>532</v>
      </c>
      <c r="B62" s="132" t="s">
        <v>515</v>
      </c>
      <c r="C62" s="132" t="s">
        <v>659</v>
      </c>
      <c r="D62" s="396" t="s">
        <v>660</v>
      </c>
    </row>
  </sheetData>
  <mergeCells count="18">
    <mergeCell ref="A1:L1"/>
    <mergeCell ref="A3:D3"/>
    <mergeCell ref="E3:H3"/>
    <mergeCell ref="I3:L3"/>
    <mergeCell ref="A13:D13"/>
    <mergeCell ref="E13:H13"/>
    <mergeCell ref="I13:L13"/>
    <mergeCell ref="E43:H43"/>
    <mergeCell ref="I43:L43"/>
    <mergeCell ref="A53:D53"/>
    <mergeCell ref="E53:L62"/>
    <mergeCell ref="A23:D23"/>
    <mergeCell ref="E23:H23"/>
    <mergeCell ref="I23:L23"/>
    <mergeCell ref="A33:D33"/>
    <mergeCell ref="E33:H33"/>
    <mergeCell ref="I33:L33"/>
    <mergeCell ref="A43:D43"/>
  </mergeCells>
  <dataValidations>
    <dataValidation type="list" allowBlank="1" showErrorMessage="1" sqref="B5:B7 F5:F7 J5:J7 F9 J15 B15:B16 F15:F16 F25:F26 J25:J26 B25:B27 J28 B30 F35:F36 J35:J36 B35:B37 B39 J45 B45:B46 F45:F46 B55:B56">
      <formula1>"Roam,Exp,Jungler,Gold,Mid,Multirole"</formula1>
    </dataValidation>
    <dataValidation type="list" allowBlank="1" showErrorMessage="1" sqref="B4 F4 J4 F8 B8:B12 F10:F12 J8:J12 B14 F14 J14 B17:B22 F17:F22 J16:J22 B24 F24 J24 J27 B28:B29 B31:B32 F27:F32 J29:J32 B34 F34 J34 B38 B40:B42 F37:F42 J37:J42 B44 F44 J44 B47:B52 F47:F52 J46:J52 B54 B57:B62">
      <formula1>"Roam,Exp,Junger,Gold,Mid,Multirole"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pane ySplit="2.0" topLeftCell="A3" activePane="bottomLeft" state="frozen"/>
      <selection activeCell="B4" sqref="B4" pane="bottomLeft"/>
    </sheetView>
  </sheetViews>
  <sheetFormatPr customHeight="1" defaultColWidth="11.22" defaultRowHeight="15.75"/>
  <cols>
    <col customWidth="1" min="1" max="1" width="9.89"/>
    <col customWidth="1" min="2" max="3" width="13.56"/>
    <col customWidth="1" min="4" max="4" width="5.78"/>
    <col customWidth="1" min="5" max="5" width="12.56"/>
    <col customWidth="1" min="6" max="8" width="9.0"/>
    <col customWidth="1" min="9" max="9" width="12.56"/>
    <col customWidth="1" min="11" max="11" width="12.56"/>
    <col customWidth="1" min="12" max="14" width="9.0"/>
    <col customWidth="1" min="15" max="15" width="12.56"/>
  </cols>
  <sheetData>
    <row r="1" ht="24.75" customHeight="1">
      <c r="A1" s="448"/>
      <c r="B1" s="448"/>
      <c r="C1" s="449"/>
      <c r="D1" s="211"/>
      <c r="E1" s="450" t="s">
        <v>3</v>
      </c>
      <c r="F1" s="8"/>
      <c r="G1" s="8"/>
      <c r="H1" s="8"/>
      <c r="I1" s="8"/>
      <c r="J1" s="8"/>
      <c r="K1" s="8"/>
      <c r="L1" s="8"/>
      <c r="M1" s="8"/>
      <c r="N1" s="8"/>
      <c r="O1" s="8"/>
      <c r="P1" s="68"/>
    </row>
    <row r="2" ht="24.75" customHeight="1">
      <c r="A2" s="451" t="s">
        <v>661</v>
      </c>
      <c r="B2" s="452" t="s">
        <v>115</v>
      </c>
      <c r="C2" s="449"/>
      <c r="D2" s="211"/>
      <c r="E2" s="453" t="s">
        <v>662</v>
      </c>
      <c r="F2" s="454"/>
      <c r="G2" s="454"/>
      <c r="H2" s="454"/>
      <c r="I2" s="454"/>
      <c r="J2" s="455"/>
      <c r="K2" s="453" t="s">
        <v>663</v>
      </c>
      <c r="L2" s="454"/>
      <c r="M2" s="454"/>
      <c r="N2" s="454"/>
      <c r="O2" s="454"/>
      <c r="P2" s="455"/>
    </row>
    <row r="3">
      <c r="A3" s="18">
        <v>1.0</v>
      </c>
      <c r="B3" s="456" t="s">
        <v>472</v>
      </c>
      <c r="C3" s="449"/>
      <c r="D3" s="216"/>
      <c r="E3" s="457">
        <v>46133.0</v>
      </c>
      <c r="F3" s="22"/>
      <c r="G3" s="22"/>
      <c r="H3" s="22"/>
      <c r="I3" s="22"/>
      <c r="J3" s="93"/>
      <c r="K3" s="458">
        <v>46154.0</v>
      </c>
      <c r="L3" s="22"/>
      <c r="M3" s="22"/>
      <c r="N3" s="22"/>
      <c r="O3" s="22"/>
      <c r="P3" s="144"/>
    </row>
    <row r="4">
      <c r="A4" s="18">
        <v>2.0</v>
      </c>
      <c r="B4" s="18" t="s">
        <v>664</v>
      </c>
      <c r="D4" s="223"/>
      <c r="E4" s="224" t="s">
        <v>258</v>
      </c>
      <c r="F4" s="225" t="s">
        <v>259</v>
      </c>
      <c r="G4" s="226" t="s">
        <v>260</v>
      </c>
      <c r="H4" s="225" t="s">
        <v>259</v>
      </c>
      <c r="I4" s="226" t="s">
        <v>261</v>
      </c>
      <c r="J4" s="228" t="s">
        <v>263</v>
      </c>
      <c r="K4" s="224" t="s">
        <v>258</v>
      </c>
      <c r="L4" s="225" t="s">
        <v>259</v>
      </c>
      <c r="M4" s="226" t="s">
        <v>260</v>
      </c>
      <c r="N4" s="225" t="s">
        <v>259</v>
      </c>
      <c r="O4" s="226" t="s">
        <v>261</v>
      </c>
      <c r="P4" s="228" t="s">
        <v>263</v>
      </c>
    </row>
    <row r="5">
      <c r="A5" s="18">
        <v>3.0</v>
      </c>
      <c r="B5" s="459" t="s">
        <v>303</v>
      </c>
      <c r="D5" s="211"/>
      <c r="E5" s="224" t="str">
        <f>$B$3</f>
        <v>Aura Farmers</v>
      </c>
      <c r="F5" s="225">
        <f>'Matches | 1 Division'!D15</f>
        <v>0</v>
      </c>
      <c r="G5" s="460">
        <v>0.75</v>
      </c>
      <c r="H5" s="461">
        <f>'Matches | 1 Division'!E15</f>
        <v>2</v>
      </c>
      <c r="I5" s="226" t="str">
        <f>$B$6</f>
        <v>Team Spirit</v>
      </c>
      <c r="J5" s="226" t="s">
        <v>72</v>
      </c>
      <c r="K5" s="224" t="str">
        <f>$B$6</f>
        <v>Team Spirit</v>
      </c>
      <c r="L5" s="225">
        <f>'Matches | 1 Division'!D43</f>
        <v>2</v>
      </c>
      <c r="M5" s="460">
        <v>0.75</v>
      </c>
      <c r="N5" s="225">
        <f>'Matches | 1 Division'!E43</f>
        <v>0</v>
      </c>
      <c r="O5" s="226" t="str">
        <f>$B$4</f>
        <v>Magic</v>
      </c>
      <c r="P5" s="228" t="s">
        <v>665</v>
      </c>
    </row>
    <row r="6">
      <c r="A6" s="18">
        <v>4.0</v>
      </c>
      <c r="B6" s="18" t="s">
        <v>666</v>
      </c>
      <c r="D6" s="238"/>
      <c r="E6" s="247" t="str">
        <f>$B$10</f>
        <v>Verso Time</v>
      </c>
      <c r="F6" s="243">
        <f>'Matches | 1 Division'!D16</f>
        <v>2</v>
      </c>
      <c r="G6" s="462">
        <v>0.8125</v>
      </c>
      <c r="H6" s="463">
        <f>'Matches | 1 Division'!E16</f>
        <v>0</v>
      </c>
      <c r="I6" s="243" t="str">
        <f>$B$7</f>
        <v>FORZE</v>
      </c>
      <c r="J6" s="211" t="s">
        <v>81</v>
      </c>
      <c r="K6" s="264" t="str">
        <f>$B$9</f>
        <v>Team Yandex</v>
      </c>
      <c r="L6" s="243">
        <f>'Matches | 1 Division'!D44</f>
        <v>2</v>
      </c>
      <c r="M6" s="462">
        <v>0.8125</v>
      </c>
      <c r="N6" s="243">
        <f>'Matches | 1 Division'!E44</f>
        <v>1</v>
      </c>
      <c r="O6" s="263" t="str">
        <f>$B$7</f>
        <v>FORZE</v>
      </c>
      <c r="P6" s="464" t="s">
        <v>667</v>
      </c>
    </row>
    <row r="7">
      <c r="A7" s="18">
        <v>5.0</v>
      </c>
      <c r="B7" s="18" t="s">
        <v>305</v>
      </c>
      <c r="D7" s="211"/>
      <c r="E7" s="247" t="str">
        <f>$B$8</f>
        <v>CYBERHERO</v>
      </c>
      <c r="F7" s="243">
        <f>'Matches | 1 Division'!D17</f>
        <v>2</v>
      </c>
      <c r="G7" s="462">
        <v>0.875</v>
      </c>
      <c r="H7" s="463">
        <f>'Matches | 1 Division'!E17</f>
        <v>0</v>
      </c>
      <c r="I7" s="243" t="str">
        <f>$B$9</f>
        <v>Team Yandex</v>
      </c>
      <c r="J7" s="211" t="s">
        <v>88</v>
      </c>
      <c r="K7" s="264" t="str">
        <f>$B$10</f>
        <v>Verso Time</v>
      </c>
      <c r="L7" s="243">
        <f>'Matches | 1 Division'!D45</f>
        <v>2</v>
      </c>
      <c r="M7" s="462">
        <v>0.875</v>
      </c>
      <c r="N7" s="243">
        <f>'Matches | 1 Division'!E45</f>
        <v>0</v>
      </c>
      <c r="O7" s="263" t="str">
        <f>$B$8</f>
        <v>CYBERHERO</v>
      </c>
      <c r="P7" s="464" t="s">
        <v>668</v>
      </c>
    </row>
    <row r="8">
      <c r="A8" s="18">
        <v>6.0</v>
      </c>
      <c r="B8" s="18" t="s">
        <v>306</v>
      </c>
      <c r="D8" s="211"/>
      <c r="E8" s="251" t="str">
        <f>$B$4</f>
        <v>Magic</v>
      </c>
      <c r="F8" s="255">
        <f>'Matches | 1 Division'!D18</f>
        <v>1</v>
      </c>
      <c r="G8" s="465">
        <v>0.9375</v>
      </c>
      <c r="H8" s="466">
        <f>'Matches | 1 Division'!E18</f>
        <v>2</v>
      </c>
      <c r="I8" s="467" t="str">
        <f>$B$5</f>
        <v>Virtus.pro</v>
      </c>
      <c r="J8" s="468" t="s">
        <v>94</v>
      </c>
      <c r="K8" s="469" t="str">
        <f>$B$5</f>
        <v>Virtus.pro</v>
      </c>
      <c r="L8" s="255">
        <f>'Matches | 1 Division'!D46</f>
        <v>2</v>
      </c>
      <c r="M8" s="465">
        <v>0.9375</v>
      </c>
      <c r="N8" s="255">
        <f>'Matches | 1 Division'!E46</f>
        <v>0</v>
      </c>
      <c r="O8" s="470" t="str">
        <f>$B$3</f>
        <v>Aura Farmers</v>
      </c>
      <c r="P8" s="471" t="s">
        <v>669</v>
      </c>
    </row>
    <row r="9">
      <c r="A9" s="18">
        <v>7.0</v>
      </c>
      <c r="B9" s="18" t="s">
        <v>304</v>
      </c>
      <c r="D9" s="216"/>
      <c r="E9" s="472">
        <v>46134.0</v>
      </c>
      <c r="F9" s="22"/>
      <c r="G9" s="22"/>
      <c r="H9" s="22"/>
      <c r="I9" s="22"/>
      <c r="J9" s="93"/>
      <c r="K9" s="458">
        <v>46155.0</v>
      </c>
      <c r="L9" s="22"/>
      <c r="M9" s="22"/>
      <c r="N9" s="22"/>
      <c r="O9" s="22"/>
      <c r="P9" s="144"/>
    </row>
    <row r="10">
      <c r="A10" s="473">
        <v>8.0</v>
      </c>
      <c r="B10" s="473" t="s">
        <v>670</v>
      </c>
      <c r="D10" s="223"/>
      <c r="E10" s="474" t="s">
        <v>258</v>
      </c>
      <c r="F10" s="475" t="s">
        <v>259</v>
      </c>
      <c r="G10" s="476" t="s">
        <v>260</v>
      </c>
      <c r="H10" s="475" t="s">
        <v>259</v>
      </c>
      <c r="I10" s="476" t="s">
        <v>261</v>
      </c>
      <c r="J10" s="477" t="s">
        <v>263</v>
      </c>
      <c r="K10" s="474" t="s">
        <v>258</v>
      </c>
      <c r="L10" s="475" t="s">
        <v>259</v>
      </c>
      <c r="M10" s="476" t="s">
        <v>260</v>
      </c>
      <c r="N10" s="475" t="s">
        <v>259</v>
      </c>
      <c r="O10" s="476" t="s">
        <v>261</v>
      </c>
      <c r="P10" s="477" t="s">
        <v>263</v>
      </c>
    </row>
    <row r="11">
      <c r="D11" s="211"/>
      <c r="E11" s="224" t="str">
        <f>$B$6</f>
        <v>Team Spirit</v>
      </c>
      <c r="F11" s="225">
        <f>'Matches | 1 Division'!D19</f>
        <v>2</v>
      </c>
      <c r="G11" s="460">
        <v>0.75</v>
      </c>
      <c r="H11" s="225">
        <f>'Matches | 1 Division'!E19</f>
        <v>0</v>
      </c>
      <c r="I11" s="226" t="str">
        <f>$B$8</f>
        <v>CYBERHERO</v>
      </c>
      <c r="J11" s="226" t="s">
        <v>73</v>
      </c>
      <c r="K11" s="224" t="str">
        <f>$B$9</f>
        <v>Team Yandex</v>
      </c>
      <c r="L11" s="225">
        <f>'Matches | 1 Division'!D47</f>
        <v>1</v>
      </c>
      <c r="M11" s="460">
        <v>0.75</v>
      </c>
      <c r="N11" s="225">
        <f>'Matches | 1 Division'!E47</f>
        <v>2</v>
      </c>
      <c r="O11" s="478" t="str">
        <f>$B$5</f>
        <v>Virtus.pro</v>
      </c>
      <c r="P11" s="228" t="s">
        <v>671</v>
      </c>
    </row>
    <row r="12">
      <c r="A12" s="447"/>
      <c r="B12" s="447"/>
      <c r="D12" s="263"/>
      <c r="E12" s="267" t="str">
        <f>$B$5</f>
        <v>Virtus.pro</v>
      </c>
      <c r="F12" s="243">
        <f>'Matches | 1 Division'!D20</f>
        <v>2</v>
      </c>
      <c r="G12" s="462">
        <v>0.8125</v>
      </c>
      <c r="H12" s="243">
        <f>'Matches | 1 Division'!E20</f>
        <v>1</v>
      </c>
      <c r="I12" s="263" t="str">
        <f>$B$7</f>
        <v>FORZE</v>
      </c>
      <c r="J12" s="211" t="s">
        <v>82</v>
      </c>
      <c r="K12" s="264" t="str">
        <f>$B$4</f>
        <v>Magic</v>
      </c>
      <c r="L12" s="243">
        <f>'Matches | 1 Division'!D48</f>
        <v>0</v>
      </c>
      <c r="M12" s="462">
        <v>0.8125</v>
      </c>
      <c r="N12" s="243">
        <f>'Matches | 1 Division'!E48</f>
        <v>2</v>
      </c>
      <c r="O12" s="263" t="str">
        <f>$B$7</f>
        <v>FORZE</v>
      </c>
      <c r="P12" s="464" t="s">
        <v>672</v>
      </c>
    </row>
    <row r="13">
      <c r="A13" s="447"/>
      <c r="B13" s="447"/>
      <c r="D13" s="266"/>
      <c r="E13" s="264" t="str">
        <f>$B$4</f>
        <v>Magic</v>
      </c>
      <c r="F13" s="243">
        <f>'Matches | 1 Division'!D21</f>
        <v>0</v>
      </c>
      <c r="G13" s="462">
        <v>0.875</v>
      </c>
      <c r="H13" s="243">
        <f>'Matches | 1 Division'!E21</f>
        <v>2</v>
      </c>
      <c r="I13" s="263" t="str">
        <f>$B$10</f>
        <v>Verso Time</v>
      </c>
      <c r="J13" s="211" t="s">
        <v>89</v>
      </c>
      <c r="K13" s="264" t="str">
        <f>$B$10</f>
        <v>Verso Time</v>
      </c>
      <c r="L13" s="243">
        <f>'Matches | 1 Division'!D49</f>
        <v>1</v>
      </c>
      <c r="M13" s="462">
        <v>0.875</v>
      </c>
      <c r="N13" s="243">
        <f>'Matches | 1 Division'!E49</f>
        <v>2</v>
      </c>
      <c r="O13" s="263" t="str">
        <f>$B$6</f>
        <v>Team Spirit</v>
      </c>
      <c r="P13" s="464" t="s">
        <v>673</v>
      </c>
    </row>
    <row r="14">
      <c r="A14" s="479" t="s">
        <v>103</v>
      </c>
      <c r="B14" s="480" t="s">
        <v>115</v>
      </c>
      <c r="C14" s="481" t="s">
        <v>674</v>
      </c>
      <c r="D14" s="263"/>
      <c r="E14" s="270" t="str">
        <f>$B$9</f>
        <v>Team Yandex</v>
      </c>
      <c r="F14" s="255">
        <f>'Matches | 1 Division'!D22</f>
        <v>2</v>
      </c>
      <c r="G14" s="465">
        <v>0.9375</v>
      </c>
      <c r="H14" s="255">
        <f>'Matches | 1 Division'!E22</f>
        <v>0</v>
      </c>
      <c r="I14" s="470" t="str">
        <f>$B$3</f>
        <v>Aura Farmers</v>
      </c>
      <c r="J14" s="468" t="s">
        <v>95</v>
      </c>
      <c r="K14" s="270" t="str">
        <f>$B$3</f>
        <v>Aura Farmers</v>
      </c>
      <c r="L14" s="255">
        <f>'Matches | 1 Division'!D50</f>
        <v>0</v>
      </c>
      <c r="M14" s="465">
        <v>0.9375</v>
      </c>
      <c r="N14" s="255">
        <f>'Matches | 1 Division'!E50</f>
        <v>2</v>
      </c>
      <c r="O14" s="470" t="str">
        <f>$B$8</f>
        <v>CYBERHERO</v>
      </c>
      <c r="P14" s="471" t="s">
        <v>675</v>
      </c>
    </row>
    <row r="15">
      <c r="A15" s="482">
        <v>1.0</v>
      </c>
      <c r="B15" s="483" t="str">
        <f>B6</f>
        <v>Team Spirit</v>
      </c>
      <c r="C15" s="484" t="s">
        <v>676</v>
      </c>
      <c r="D15" s="216"/>
      <c r="E15" s="472">
        <v>46140.0</v>
      </c>
      <c r="F15" s="22"/>
      <c r="G15" s="22"/>
      <c r="H15" s="22"/>
      <c r="I15" s="22"/>
      <c r="J15" s="93"/>
      <c r="K15" s="458">
        <v>46168.0</v>
      </c>
      <c r="L15" s="22"/>
      <c r="M15" s="22"/>
      <c r="N15" s="22"/>
      <c r="O15" s="22"/>
      <c r="P15" s="144"/>
    </row>
    <row r="16">
      <c r="A16" s="485">
        <v>2.0</v>
      </c>
      <c r="B16" s="486" t="str">
        <f>B10</f>
        <v>Verso Time</v>
      </c>
      <c r="C16" s="487" t="s">
        <v>676</v>
      </c>
      <c r="D16" s="223"/>
      <c r="E16" s="224" t="s">
        <v>258</v>
      </c>
      <c r="F16" s="225" t="s">
        <v>259</v>
      </c>
      <c r="G16" s="226" t="s">
        <v>260</v>
      </c>
      <c r="H16" s="225" t="s">
        <v>259</v>
      </c>
      <c r="I16" s="226" t="s">
        <v>261</v>
      </c>
      <c r="J16" s="228" t="s">
        <v>263</v>
      </c>
      <c r="K16" s="224" t="s">
        <v>258</v>
      </c>
      <c r="L16" s="225" t="s">
        <v>259</v>
      </c>
      <c r="M16" s="226" t="s">
        <v>260</v>
      </c>
      <c r="N16" s="225" t="s">
        <v>259</v>
      </c>
      <c r="O16" s="226" t="s">
        <v>261</v>
      </c>
      <c r="P16" s="228" t="s">
        <v>263</v>
      </c>
    </row>
    <row r="17">
      <c r="A17" s="488">
        <v>3.0</v>
      </c>
      <c r="B17" s="489" t="str">
        <f>B5</f>
        <v>Virtus.pro</v>
      </c>
      <c r="C17" s="490" t="s">
        <v>677</v>
      </c>
      <c r="D17" s="211"/>
      <c r="E17" s="491" t="str">
        <f>$B$5</f>
        <v>Virtus.pro</v>
      </c>
      <c r="F17" s="225">
        <f>'Matches | 1 Division'!D23</f>
        <v>2</v>
      </c>
      <c r="G17" s="460">
        <v>0.75</v>
      </c>
      <c r="H17" s="225">
        <f>'Matches | 1 Division'!E23</f>
        <v>1</v>
      </c>
      <c r="I17" s="226" t="str">
        <f>$B$9</f>
        <v>Team Yandex</v>
      </c>
      <c r="J17" s="226" t="s">
        <v>76</v>
      </c>
      <c r="K17" s="224" t="str">
        <f>$B$8</f>
        <v>CYBERHERO</v>
      </c>
      <c r="L17" s="225">
        <f>'Matches | 1 Division'!D51</f>
        <v>0</v>
      </c>
      <c r="M17" s="460">
        <v>0.75</v>
      </c>
      <c r="N17" s="225">
        <f>'Matches | 1 Division'!E51</f>
        <v>2</v>
      </c>
      <c r="O17" s="226" t="str">
        <f>$B$6</f>
        <v>Team Spirit</v>
      </c>
      <c r="P17" s="228" t="s">
        <v>678</v>
      </c>
    </row>
    <row r="18">
      <c r="A18" s="492">
        <v>4.0</v>
      </c>
      <c r="B18" s="493" t="str">
        <f>B9</f>
        <v>Team Yandex</v>
      </c>
      <c r="C18" s="494" t="s">
        <v>679</v>
      </c>
      <c r="D18" s="263"/>
      <c r="E18" s="264" t="str">
        <f>$B$6</f>
        <v>Team Spirit</v>
      </c>
      <c r="F18" s="243">
        <f>'Matches | 1 Division'!D24</f>
        <v>2</v>
      </c>
      <c r="G18" s="462">
        <v>0.8125</v>
      </c>
      <c r="H18" s="243">
        <f>'Matches | 1 Division'!E24</f>
        <v>1</v>
      </c>
      <c r="I18" s="263" t="str">
        <f>$B$10</f>
        <v>Verso Time</v>
      </c>
      <c r="J18" s="211" t="s">
        <v>92</v>
      </c>
      <c r="K18" s="264" t="str">
        <f>$B$3</f>
        <v>Aura Farmers</v>
      </c>
      <c r="L18" s="243">
        <f>'Matches | 1 Division'!D52</f>
        <v>0</v>
      </c>
      <c r="M18" s="462">
        <v>0.8125</v>
      </c>
      <c r="N18" s="243">
        <f>'Matches | 1 Division'!E52</f>
        <v>2</v>
      </c>
      <c r="O18" s="263" t="str">
        <f>$B$9</f>
        <v>Team Yandex</v>
      </c>
      <c r="P18" s="464" t="s">
        <v>680</v>
      </c>
    </row>
    <row r="19">
      <c r="A19" s="485">
        <v>5.0</v>
      </c>
      <c r="B19" s="486" t="str">
        <f t="shared" ref="B19:B20" si="1">B7</f>
        <v>FORZE</v>
      </c>
      <c r="C19" s="487" t="s">
        <v>681</v>
      </c>
      <c r="D19" s="263"/>
      <c r="E19" s="264" t="str">
        <f>$B$8</f>
        <v>CYBERHERO</v>
      </c>
      <c r="F19" s="243">
        <f>'Matches | 1 Division'!D25</f>
        <v>2</v>
      </c>
      <c r="G19" s="462">
        <v>0.875</v>
      </c>
      <c r="H19" s="243">
        <f>'Matches | 1 Division'!E25</f>
        <v>1</v>
      </c>
      <c r="I19" s="263" t="str">
        <f>$B$3</f>
        <v>Aura Farmers</v>
      </c>
      <c r="J19" s="211" t="s">
        <v>77</v>
      </c>
      <c r="K19" s="264" t="str">
        <f>$B$7</f>
        <v>FORZE</v>
      </c>
      <c r="L19" s="243">
        <f>'Matches | 1 Division'!D53</f>
        <v>1</v>
      </c>
      <c r="M19" s="462">
        <v>0.875</v>
      </c>
      <c r="N19" s="243">
        <f>'Matches | 1 Division'!E53</f>
        <v>2</v>
      </c>
      <c r="O19" s="495" t="str">
        <f>$B$5</f>
        <v>Virtus.pro</v>
      </c>
      <c r="P19" s="464" t="s">
        <v>682</v>
      </c>
    </row>
    <row r="20">
      <c r="A20" s="485">
        <v>6.0</v>
      </c>
      <c r="B20" s="486" t="str">
        <f t="shared" si="1"/>
        <v>CYBERHERO</v>
      </c>
      <c r="C20" s="487" t="s">
        <v>683</v>
      </c>
      <c r="D20" s="263"/>
      <c r="E20" s="270" t="str">
        <f>$B$7</f>
        <v>FORZE</v>
      </c>
      <c r="F20" s="255">
        <f>'Matches | 1 Division'!D26</f>
        <v>2</v>
      </c>
      <c r="G20" s="465">
        <v>0.9375</v>
      </c>
      <c r="H20" s="255">
        <f>'Matches | 1 Division'!E26</f>
        <v>1</v>
      </c>
      <c r="I20" s="470" t="str">
        <f>$B$4</f>
        <v>Magic</v>
      </c>
      <c r="J20" s="468" t="s">
        <v>93</v>
      </c>
      <c r="K20" s="270" t="str">
        <f>$B$10</f>
        <v>Verso Time</v>
      </c>
      <c r="L20" s="255">
        <f>'Matches | 1 Division'!D54</f>
        <v>2</v>
      </c>
      <c r="M20" s="465">
        <v>0.9375</v>
      </c>
      <c r="N20" s="255">
        <f>'Matches | 1 Division'!E54</f>
        <v>0</v>
      </c>
      <c r="O20" s="470" t="str">
        <f>$B$4</f>
        <v>Magic</v>
      </c>
      <c r="P20" s="471" t="s">
        <v>684</v>
      </c>
    </row>
    <row r="21">
      <c r="A21" s="485">
        <v>7.0</v>
      </c>
      <c r="B21" s="486" t="str">
        <f>B4</f>
        <v>Magic</v>
      </c>
      <c r="C21" s="487" t="s">
        <v>685</v>
      </c>
      <c r="D21" s="216"/>
      <c r="E21" s="472">
        <v>46141.0</v>
      </c>
      <c r="F21" s="22"/>
      <c r="G21" s="22"/>
      <c r="H21" s="22"/>
      <c r="I21" s="22"/>
      <c r="J21" s="93"/>
      <c r="K21" s="458">
        <v>46169.0</v>
      </c>
      <c r="L21" s="22"/>
      <c r="M21" s="22"/>
      <c r="N21" s="22"/>
      <c r="O21" s="22"/>
      <c r="P21" s="144"/>
    </row>
    <row r="22">
      <c r="A22" s="496">
        <v>8.0</v>
      </c>
      <c r="B22" s="497" t="str">
        <f>B3</f>
        <v>Aura Farmers</v>
      </c>
      <c r="C22" s="498" t="s">
        <v>686</v>
      </c>
      <c r="D22" s="223"/>
      <c r="E22" s="224" t="s">
        <v>258</v>
      </c>
      <c r="F22" s="225" t="s">
        <v>259</v>
      </c>
      <c r="G22" s="226" t="s">
        <v>260</v>
      </c>
      <c r="H22" s="225" t="s">
        <v>259</v>
      </c>
      <c r="I22" s="226" t="s">
        <v>261</v>
      </c>
      <c r="J22" s="228" t="s">
        <v>263</v>
      </c>
      <c r="K22" s="224" t="s">
        <v>258</v>
      </c>
      <c r="L22" s="225" t="s">
        <v>259</v>
      </c>
      <c r="M22" s="226" t="s">
        <v>260</v>
      </c>
      <c r="N22" s="225" t="s">
        <v>259</v>
      </c>
      <c r="O22" s="226" t="s">
        <v>261</v>
      </c>
      <c r="P22" s="228" t="s">
        <v>263</v>
      </c>
    </row>
    <row r="23">
      <c r="A23" s="447"/>
      <c r="B23" s="447"/>
      <c r="D23" s="211"/>
      <c r="E23" s="224" t="str">
        <f>$B$7</f>
        <v>FORZE</v>
      </c>
      <c r="F23" s="225">
        <f>'Matches | 1 Division'!D27</f>
        <v>2</v>
      </c>
      <c r="G23" s="460">
        <v>0.75</v>
      </c>
      <c r="H23" s="225">
        <f>'Matches | 1 Division'!E27</f>
        <v>1</v>
      </c>
      <c r="I23" s="226" t="str">
        <f>$B$3</f>
        <v>Aura Farmers</v>
      </c>
      <c r="J23" s="226" t="s">
        <v>85</v>
      </c>
      <c r="K23" s="277" t="str">
        <f>$B$5</f>
        <v>Virtus.pro</v>
      </c>
      <c r="L23" s="225">
        <f>'Matches | 1 Division'!D55</f>
        <v>1</v>
      </c>
      <c r="M23" s="460">
        <v>0.75</v>
      </c>
      <c r="N23" s="225">
        <f>'Matches | 1 Division'!E55</f>
        <v>2</v>
      </c>
      <c r="O23" s="226" t="str">
        <f>$B$10</f>
        <v>Verso Time</v>
      </c>
      <c r="P23" s="228" t="s">
        <v>687</v>
      </c>
    </row>
    <row r="24">
      <c r="A24" s="447"/>
      <c r="B24" s="447"/>
      <c r="D24" s="263"/>
      <c r="E24" s="264" t="str">
        <f>$B$6</f>
        <v>Team Spirit</v>
      </c>
      <c r="F24" s="243">
        <f>'Matches | 1 Division'!D28</f>
        <v>2</v>
      </c>
      <c r="G24" s="462">
        <v>0.8125</v>
      </c>
      <c r="H24" s="243">
        <f>'Matches | 1 Division'!E28</f>
        <v>0</v>
      </c>
      <c r="I24" s="263" t="str">
        <f>$B$9</f>
        <v>Team Yandex</v>
      </c>
      <c r="J24" s="211" t="s">
        <v>97</v>
      </c>
      <c r="K24" s="264" t="str">
        <f>$B$3</f>
        <v>Aura Farmers</v>
      </c>
      <c r="L24" s="243">
        <f>'Matches | 1 Division'!D56</f>
        <v>1</v>
      </c>
      <c r="M24" s="462">
        <v>0.8125</v>
      </c>
      <c r="N24" s="243">
        <f>'Matches | 1 Division'!E56</f>
        <v>2</v>
      </c>
      <c r="O24" s="263" t="str">
        <f>$B$7</f>
        <v>FORZE</v>
      </c>
      <c r="P24" s="464" t="s">
        <v>688</v>
      </c>
    </row>
    <row r="25">
      <c r="A25" s="447"/>
      <c r="B25" s="447"/>
      <c r="D25" s="263"/>
      <c r="E25" s="264" t="str">
        <f>$B$8</f>
        <v>CYBERHERO</v>
      </c>
      <c r="F25" s="243">
        <f>'Matches | 1 Division'!D29</f>
        <v>2</v>
      </c>
      <c r="G25" s="462">
        <v>0.875</v>
      </c>
      <c r="H25" s="243">
        <f>'Matches | 1 Division'!E29</f>
        <v>0</v>
      </c>
      <c r="I25" s="263" t="str">
        <f>$B$4</f>
        <v>Magic</v>
      </c>
      <c r="J25" s="211" t="s">
        <v>100</v>
      </c>
      <c r="K25" s="264" t="str">
        <f>$B$4</f>
        <v>Magic</v>
      </c>
      <c r="L25" s="243">
        <f>'Matches | 1 Division'!D57</f>
        <v>2</v>
      </c>
      <c r="M25" s="462">
        <v>0.875</v>
      </c>
      <c r="N25" s="243">
        <f>'Matches | 1 Division'!E57</f>
        <v>0</v>
      </c>
      <c r="O25" s="263" t="str">
        <f>$B$8</f>
        <v>CYBERHERO</v>
      </c>
      <c r="P25" s="464" t="s">
        <v>689</v>
      </c>
    </row>
    <row r="26">
      <c r="A26" s="447"/>
      <c r="B26" s="447"/>
      <c r="D26" s="263"/>
      <c r="E26" s="270" t="str">
        <f>$B$10</f>
        <v>Verso Time</v>
      </c>
      <c r="F26" s="255">
        <f>'Matches | 1 Division'!D30</f>
        <v>2</v>
      </c>
      <c r="G26" s="465">
        <v>0.9375</v>
      </c>
      <c r="H26" s="255">
        <f>'Matches | 1 Division'!E30</f>
        <v>0</v>
      </c>
      <c r="I26" s="499" t="str">
        <f>$B$5</f>
        <v>Virtus.pro</v>
      </c>
      <c r="J26" s="468" t="s">
        <v>98</v>
      </c>
      <c r="K26" s="270" t="str">
        <f>$B$9</f>
        <v>Team Yandex</v>
      </c>
      <c r="L26" s="255">
        <f>'Matches | 1 Division'!D58</f>
        <v>2</v>
      </c>
      <c r="M26" s="465">
        <v>0.9375</v>
      </c>
      <c r="N26" s="255">
        <f>'Matches | 1 Division'!E58</f>
        <v>1</v>
      </c>
      <c r="O26" s="470" t="str">
        <f>$B$6</f>
        <v>Team Spirit</v>
      </c>
      <c r="P26" s="471" t="s">
        <v>690</v>
      </c>
    </row>
    <row r="27">
      <c r="A27" s="447"/>
      <c r="B27" s="447"/>
      <c r="D27" s="216"/>
      <c r="E27" s="457">
        <v>46147.0</v>
      </c>
      <c r="F27" s="22"/>
      <c r="G27" s="22"/>
      <c r="H27" s="22"/>
      <c r="I27" s="22"/>
      <c r="J27" s="93"/>
      <c r="K27" s="458">
        <v>46170.0</v>
      </c>
      <c r="L27" s="22"/>
      <c r="M27" s="22"/>
      <c r="N27" s="22"/>
      <c r="O27" s="22"/>
      <c r="P27" s="144"/>
    </row>
    <row r="28">
      <c r="A28" s="447"/>
      <c r="B28" s="447"/>
      <c r="D28" s="223"/>
      <c r="E28" s="224" t="s">
        <v>258</v>
      </c>
      <c r="F28" s="225" t="s">
        <v>259</v>
      </c>
      <c r="G28" s="226" t="s">
        <v>260</v>
      </c>
      <c r="H28" s="225" t="s">
        <v>259</v>
      </c>
      <c r="I28" s="226" t="s">
        <v>261</v>
      </c>
      <c r="J28" s="228" t="s">
        <v>263</v>
      </c>
      <c r="K28" s="224" t="s">
        <v>258</v>
      </c>
      <c r="L28" s="225" t="s">
        <v>259</v>
      </c>
      <c r="M28" s="226" t="s">
        <v>260</v>
      </c>
      <c r="N28" s="225" t="s">
        <v>259</v>
      </c>
      <c r="O28" s="226" t="s">
        <v>261</v>
      </c>
      <c r="P28" s="228" t="s">
        <v>263</v>
      </c>
    </row>
    <row r="29">
      <c r="A29" s="27"/>
      <c r="B29" s="27"/>
      <c r="D29" s="292"/>
      <c r="E29" s="224" t="str">
        <f>$B$7</f>
        <v>FORZE</v>
      </c>
      <c r="F29" s="225">
        <f>'Matches | 1 Division'!D31</f>
        <v>2</v>
      </c>
      <c r="G29" s="460">
        <v>0.75</v>
      </c>
      <c r="H29" s="225">
        <f>'Matches | 1 Division'!E31</f>
        <v>0</v>
      </c>
      <c r="I29" s="226" t="str">
        <f>$B$9</f>
        <v>Team Yandex</v>
      </c>
      <c r="J29" s="226" t="s">
        <v>99</v>
      </c>
      <c r="K29" s="500" t="str">
        <f>$B$10</f>
        <v>Verso Time</v>
      </c>
      <c r="L29" s="225">
        <f>'Matches | 1 Division'!D59</f>
        <v>2</v>
      </c>
      <c r="M29" s="460">
        <v>0.75</v>
      </c>
      <c r="N29" s="225">
        <f>'Matches | 1 Division'!E59</f>
        <v>0</v>
      </c>
      <c r="O29" s="501" t="str">
        <f>$B$3</f>
        <v>Aura Farmers</v>
      </c>
      <c r="P29" s="228" t="s">
        <v>691</v>
      </c>
    </row>
    <row r="30">
      <c r="A30" s="27"/>
      <c r="B30" s="27"/>
      <c r="D30" s="502"/>
      <c r="E30" s="264" t="str">
        <f>$B$8</f>
        <v>CYBERHERO</v>
      </c>
      <c r="F30" s="243">
        <f>'Matches | 1 Division'!D32</f>
        <v>0</v>
      </c>
      <c r="G30" s="462">
        <v>0.8125</v>
      </c>
      <c r="H30" s="243">
        <f>'Matches | 1 Division'!E32</f>
        <v>2</v>
      </c>
      <c r="I30" s="263" t="str">
        <f>$B$10</f>
        <v>Verso Time</v>
      </c>
      <c r="J30" s="211" t="s">
        <v>692</v>
      </c>
      <c r="K30" s="503" t="str">
        <f>$B$9</f>
        <v>Team Yandex</v>
      </c>
      <c r="L30" s="243">
        <f>'Matches | 1 Division'!D60</f>
        <v>2</v>
      </c>
      <c r="M30" s="462">
        <v>0.8125</v>
      </c>
      <c r="N30" s="243">
        <f>'Matches | 1 Division'!E60</f>
        <v>0</v>
      </c>
      <c r="O30" s="502" t="str">
        <f>$B$4</f>
        <v>Magic</v>
      </c>
      <c r="P30" s="464" t="s">
        <v>693</v>
      </c>
    </row>
    <row r="31">
      <c r="A31" s="27"/>
      <c r="B31" s="27"/>
      <c r="D31" s="502"/>
      <c r="E31" s="264" t="str">
        <f>$B$3</f>
        <v>Aura Farmers</v>
      </c>
      <c r="F31" s="243">
        <f>'Matches | 1 Division'!D33</f>
        <v>2</v>
      </c>
      <c r="G31" s="462">
        <v>0.875</v>
      </c>
      <c r="H31" s="243">
        <f>'Matches | 1 Division'!E33</f>
        <v>1</v>
      </c>
      <c r="I31" s="495" t="str">
        <f>$B$5</f>
        <v>Virtus.pro</v>
      </c>
      <c r="J31" s="211" t="s">
        <v>694</v>
      </c>
      <c r="K31" s="503" t="str">
        <f>$B$8</f>
        <v>CYBERHERO</v>
      </c>
      <c r="L31" s="243">
        <f>'Matches | 1 Division'!D61</f>
        <v>0</v>
      </c>
      <c r="M31" s="462">
        <v>0.875</v>
      </c>
      <c r="N31" s="243">
        <f>'Matches | 1 Division'!E61</f>
        <v>2</v>
      </c>
      <c r="O31" s="504" t="str">
        <f>$B$5</f>
        <v>Virtus.pro</v>
      </c>
      <c r="P31" s="464" t="s">
        <v>695</v>
      </c>
    </row>
    <row r="32">
      <c r="A32" s="27"/>
      <c r="B32" s="27"/>
      <c r="D32" s="505"/>
      <c r="E32" s="270" t="str">
        <f>$B$4</f>
        <v>Magic</v>
      </c>
      <c r="F32" s="255">
        <f>'Matches | 1 Division'!D34</f>
        <v>0</v>
      </c>
      <c r="G32" s="465">
        <v>0.9375</v>
      </c>
      <c r="H32" s="255">
        <f>'Matches | 1 Division'!E34</f>
        <v>2</v>
      </c>
      <c r="I32" s="470" t="str">
        <f>$B$6</f>
        <v>Team Spirit</v>
      </c>
      <c r="J32" s="468" t="s">
        <v>696</v>
      </c>
      <c r="K32" s="506" t="str">
        <f>$B$7</f>
        <v>FORZE</v>
      </c>
      <c r="L32" s="255">
        <f>'Matches | 1 Division'!D62</f>
        <v>0</v>
      </c>
      <c r="M32" s="465">
        <v>0.9375</v>
      </c>
      <c r="N32" s="255">
        <f>'Matches | 1 Division'!E62</f>
        <v>2</v>
      </c>
      <c r="O32" s="507" t="str">
        <f>$B$6</f>
        <v>Team Spirit</v>
      </c>
      <c r="P32" s="471" t="s">
        <v>697</v>
      </c>
    </row>
    <row r="33">
      <c r="A33" s="27"/>
      <c r="B33" s="447"/>
      <c r="D33" s="216"/>
      <c r="E33" s="458">
        <v>46148.0</v>
      </c>
      <c r="F33" s="22"/>
      <c r="G33" s="22"/>
      <c r="H33" s="22"/>
      <c r="I33" s="22"/>
      <c r="J33" s="144"/>
      <c r="K33" s="458">
        <v>46175.0</v>
      </c>
      <c r="L33" s="22"/>
      <c r="M33" s="22"/>
      <c r="N33" s="22"/>
      <c r="O33" s="22"/>
      <c r="P33" s="93"/>
    </row>
    <row r="34">
      <c r="A34" s="27"/>
      <c r="B34" s="27"/>
      <c r="D34" s="223"/>
      <c r="E34" s="224" t="s">
        <v>258</v>
      </c>
      <c r="F34" s="225" t="s">
        <v>259</v>
      </c>
      <c r="G34" s="226" t="s">
        <v>260</v>
      </c>
      <c r="H34" s="225" t="s">
        <v>259</v>
      </c>
      <c r="I34" s="226" t="s">
        <v>261</v>
      </c>
      <c r="J34" s="228" t="s">
        <v>263</v>
      </c>
      <c r="K34" s="224" t="s">
        <v>258</v>
      </c>
      <c r="L34" s="225" t="s">
        <v>259</v>
      </c>
      <c r="M34" s="226" t="s">
        <v>260</v>
      </c>
      <c r="N34" s="225" t="s">
        <v>259</v>
      </c>
      <c r="O34" s="226" t="s">
        <v>261</v>
      </c>
      <c r="P34" s="228" t="s">
        <v>263</v>
      </c>
    </row>
    <row r="35">
      <c r="A35" s="447"/>
      <c r="B35" s="447"/>
      <c r="D35" s="508"/>
      <c r="E35" s="509" t="str">
        <f>$B$3</f>
        <v>Aura Farmers</v>
      </c>
      <c r="F35" s="225">
        <f>'Matches | 1 Division'!D35</f>
        <v>0</v>
      </c>
      <c r="G35" s="460">
        <v>0.75</v>
      </c>
      <c r="H35" s="225">
        <f>'Matches | 1 Division'!E35</f>
        <v>2</v>
      </c>
      <c r="I35" s="510" t="str">
        <f>$B$10</f>
        <v>Verso Time</v>
      </c>
      <c r="J35" s="226" t="s">
        <v>698</v>
      </c>
      <c r="K35" s="500" t="str">
        <f>$B$7</f>
        <v>FORZE</v>
      </c>
      <c r="L35" s="225">
        <f>'Matches | 1 Division'!D63</f>
        <v>0</v>
      </c>
      <c r="M35" s="460">
        <v>0.75</v>
      </c>
      <c r="N35" s="225">
        <f>'Matches | 1 Division'!E63</f>
        <v>2</v>
      </c>
      <c r="O35" s="501" t="str">
        <f>$B$10</f>
        <v>Verso Time</v>
      </c>
      <c r="P35" s="228" t="s">
        <v>699</v>
      </c>
    </row>
    <row r="36">
      <c r="A36" s="447"/>
      <c r="B36" s="447"/>
      <c r="D36" s="502"/>
      <c r="E36" s="264" t="str">
        <f>$B$4</f>
        <v>Magic</v>
      </c>
      <c r="F36" s="243">
        <f>'Matches | 1 Division'!D36</f>
        <v>0</v>
      </c>
      <c r="G36" s="462">
        <v>0.8125</v>
      </c>
      <c r="H36" s="243">
        <f>'Matches | 1 Division'!E36</f>
        <v>2</v>
      </c>
      <c r="I36" s="263" t="str">
        <f>$B$9</f>
        <v>Team Yandex</v>
      </c>
      <c r="J36" s="211" t="s">
        <v>700</v>
      </c>
      <c r="K36" s="511" t="str">
        <f>$B$5</f>
        <v>Virtus.pro</v>
      </c>
      <c r="L36" s="243">
        <f>'Matches | 1 Division'!D64</f>
        <v>2</v>
      </c>
      <c r="M36" s="462">
        <v>0.8125</v>
      </c>
      <c r="N36" s="243">
        <f>'Matches | 1 Division'!E64</f>
        <v>0</v>
      </c>
      <c r="O36" s="263" t="str">
        <f>$B$4</f>
        <v>Magic</v>
      </c>
      <c r="P36" s="464" t="s">
        <v>701</v>
      </c>
    </row>
    <row r="37">
      <c r="A37" s="447"/>
      <c r="B37" s="447"/>
      <c r="D37" s="263"/>
      <c r="E37" s="267" t="str">
        <f>$B$5</f>
        <v>Virtus.pro</v>
      </c>
      <c r="F37" s="243">
        <f>'Matches | 1 Division'!D37</f>
        <v>2</v>
      </c>
      <c r="G37" s="462">
        <v>0.875</v>
      </c>
      <c r="H37" s="243">
        <f>'Matches | 1 Division'!E37</f>
        <v>0</v>
      </c>
      <c r="I37" s="263" t="str">
        <f>$B$8</f>
        <v>CYBERHERO</v>
      </c>
      <c r="J37" s="211" t="s">
        <v>702</v>
      </c>
      <c r="K37" s="503" t="str">
        <f>$B$6</f>
        <v>Team Spirit</v>
      </c>
      <c r="L37" s="243">
        <f>'Matches | 1 Division'!D65</f>
        <v>2</v>
      </c>
      <c r="M37" s="462">
        <v>0.875</v>
      </c>
      <c r="N37" s="243">
        <f>'Matches | 1 Division'!E65</f>
        <v>0</v>
      </c>
      <c r="O37" s="502" t="str">
        <f>$B$3</f>
        <v>Aura Farmers</v>
      </c>
      <c r="P37" s="464" t="s">
        <v>703</v>
      </c>
    </row>
    <row r="38">
      <c r="A38" s="447"/>
      <c r="B38" s="447"/>
      <c r="D38" s="505"/>
      <c r="E38" s="270" t="str">
        <f>$B$6</f>
        <v>Team Spirit</v>
      </c>
      <c r="F38" s="255">
        <f>'Matches | 1 Division'!D38</f>
        <v>2</v>
      </c>
      <c r="G38" s="465">
        <v>0.9375</v>
      </c>
      <c r="H38" s="255">
        <f>'Matches | 1 Division'!E38</f>
        <v>0</v>
      </c>
      <c r="I38" s="470" t="str">
        <f>$B$7</f>
        <v>FORZE</v>
      </c>
      <c r="J38" s="468" t="s">
        <v>704</v>
      </c>
      <c r="K38" s="270" t="str">
        <f>$B$9</f>
        <v>Team Yandex</v>
      </c>
      <c r="L38" s="255">
        <f>'Matches | 1 Division'!D66</f>
        <v>2</v>
      </c>
      <c r="M38" s="465">
        <v>0.9375</v>
      </c>
      <c r="N38" s="255">
        <f>'Matches | 1 Division'!E66</f>
        <v>0</v>
      </c>
      <c r="O38" s="507" t="str">
        <f>$B$8</f>
        <v>CYBERHERO</v>
      </c>
      <c r="P38" s="471" t="s">
        <v>705</v>
      </c>
    </row>
    <row r="39">
      <c r="A39" s="447"/>
      <c r="B39" s="447"/>
      <c r="D39" s="216"/>
      <c r="E39" s="458">
        <v>46149.0</v>
      </c>
      <c r="F39" s="22"/>
      <c r="G39" s="22"/>
      <c r="H39" s="22"/>
      <c r="I39" s="22"/>
      <c r="J39" s="144"/>
      <c r="K39" s="512">
        <v>46176.0</v>
      </c>
      <c r="L39" s="22"/>
      <c r="M39" s="22"/>
      <c r="N39" s="22"/>
      <c r="O39" s="22"/>
      <c r="P39" s="93"/>
    </row>
    <row r="40">
      <c r="A40" s="447"/>
      <c r="B40" s="447"/>
      <c r="D40" s="223"/>
      <c r="E40" s="224" t="s">
        <v>258</v>
      </c>
      <c r="F40" s="225" t="s">
        <v>259</v>
      </c>
      <c r="G40" s="226" t="s">
        <v>260</v>
      </c>
      <c r="H40" s="225" t="s">
        <v>259</v>
      </c>
      <c r="I40" s="226" t="s">
        <v>261</v>
      </c>
      <c r="J40" s="228" t="s">
        <v>263</v>
      </c>
      <c r="K40" s="224" t="s">
        <v>258</v>
      </c>
      <c r="L40" s="225" t="s">
        <v>259</v>
      </c>
      <c r="M40" s="226" t="s">
        <v>260</v>
      </c>
      <c r="N40" s="225" t="s">
        <v>259</v>
      </c>
      <c r="O40" s="226" t="s">
        <v>261</v>
      </c>
      <c r="P40" s="228" t="s">
        <v>263</v>
      </c>
    </row>
    <row r="41">
      <c r="A41" s="447"/>
      <c r="B41" s="447"/>
      <c r="D41" s="211"/>
      <c r="E41" s="224" t="str">
        <f>$B$9</f>
        <v>Team Yandex</v>
      </c>
      <c r="F41" s="225">
        <f>'Matches | 1 Division'!D39</f>
        <v>0</v>
      </c>
      <c r="G41" s="460">
        <v>0.75</v>
      </c>
      <c r="H41" s="225">
        <f>'Matches | 1 Division'!E39</f>
        <v>2</v>
      </c>
      <c r="I41" s="226" t="str">
        <f>$B$10</f>
        <v>Verso Time</v>
      </c>
      <c r="J41" s="226" t="s">
        <v>706</v>
      </c>
      <c r="K41" s="224" t="str">
        <f>$B$8</f>
        <v>CYBERHERO</v>
      </c>
      <c r="L41" s="225">
        <f>'Matches | 1 Division'!D67</f>
        <v>0</v>
      </c>
      <c r="M41" s="460">
        <v>0.75</v>
      </c>
      <c r="N41" s="225">
        <f>'Matches | 1 Division'!E67</f>
        <v>2</v>
      </c>
      <c r="O41" s="226" t="str">
        <f>$B$7</f>
        <v>FORZE</v>
      </c>
      <c r="P41" s="228" t="s">
        <v>707</v>
      </c>
    </row>
    <row r="42">
      <c r="A42" s="447"/>
      <c r="B42" s="447"/>
      <c r="D42" s="263"/>
      <c r="E42" s="264" t="str">
        <f>$B$3</f>
        <v>Aura Farmers</v>
      </c>
      <c r="F42" s="243">
        <f>'Matches | 1 Division'!D40</f>
        <v>0</v>
      </c>
      <c r="G42" s="462">
        <v>0.8125</v>
      </c>
      <c r="H42" s="243">
        <f>'Matches | 1 Division'!E40</f>
        <v>2</v>
      </c>
      <c r="I42" s="263" t="str">
        <f>$B$4</f>
        <v>Magic</v>
      </c>
      <c r="J42" s="211" t="s">
        <v>708</v>
      </c>
      <c r="K42" s="264" t="str">
        <f>$B$10</f>
        <v>Verso Time</v>
      </c>
      <c r="L42" s="243">
        <f>'Matches | 1 Division'!D68</f>
        <v>0</v>
      </c>
      <c r="M42" s="462">
        <v>0.8125</v>
      </c>
      <c r="N42" s="243">
        <f>'Matches | 1 Division'!E68</f>
        <v>2</v>
      </c>
      <c r="O42" s="263" t="str">
        <f>$B$9</f>
        <v>Team Yandex</v>
      </c>
      <c r="P42" s="464" t="s">
        <v>709</v>
      </c>
    </row>
    <row r="43">
      <c r="A43" s="447"/>
      <c r="B43" s="447"/>
      <c r="D43" s="263"/>
      <c r="E43" s="513" t="str">
        <f>$B$5</f>
        <v>Virtus.pro</v>
      </c>
      <c r="F43" s="243">
        <f>'Matches | 1 Division'!D41</f>
        <v>0</v>
      </c>
      <c r="G43" s="462">
        <v>0.875</v>
      </c>
      <c r="H43" s="243">
        <f>'Matches | 1 Division'!E41</f>
        <v>2</v>
      </c>
      <c r="I43" s="263" t="str">
        <f>$B$6</f>
        <v>Team Spirit</v>
      </c>
      <c r="J43" s="211" t="s">
        <v>710</v>
      </c>
      <c r="K43" s="264" t="str">
        <f>$B$4</f>
        <v>Magic</v>
      </c>
      <c r="L43" s="243">
        <f>'Matches | 1 Division'!D69</f>
        <v>1</v>
      </c>
      <c r="M43" s="462">
        <v>0.875</v>
      </c>
      <c r="N43" s="243">
        <f>'Matches | 1 Division'!E69</f>
        <v>2</v>
      </c>
      <c r="O43" s="263" t="str">
        <f>$B$3</f>
        <v>Aura Farmers</v>
      </c>
      <c r="P43" s="464" t="s">
        <v>711</v>
      </c>
    </row>
    <row r="44">
      <c r="A44" s="447"/>
      <c r="B44" s="447"/>
      <c r="D44" s="263"/>
      <c r="E44" s="270" t="str">
        <f>$B$7</f>
        <v>FORZE</v>
      </c>
      <c r="F44" s="255">
        <f>'Matches | 1 Division'!D42</f>
        <v>2</v>
      </c>
      <c r="G44" s="465">
        <v>0.9375</v>
      </c>
      <c r="H44" s="255">
        <f>'Matches | 1 Division'!E42</f>
        <v>0</v>
      </c>
      <c r="I44" s="470" t="str">
        <f>$B$8</f>
        <v>CYBERHERO</v>
      </c>
      <c r="J44" s="468" t="s">
        <v>712</v>
      </c>
      <c r="K44" s="270" t="str">
        <f>$B$6</f>
        <v>Team Spirit</v>
      </c>
      <c r="L44" s="255">
        <f>'Matches | 1 Division'!D70</f>
        <v>2</v>
      </c>
      <c r="M44" s="465">
        <v>0.9375</v>
      </c>
      <c r="N44" s="255">
        <f>'Matches | 1 Division'!E70</f>
        <v>1</v>
      </c>
      <c r="O44" s="499" t="str">
        <f>$B$5</f>
        <v>Virtus.pro</v>
      </c>
      <c r="P44" s="471" t="s">
        <v>713</v>
      </c>
    </row>
  </sheetData>
  <mergeCells count="17">
    <mergeCell ref="E1:P1"/>
    <mergeCell ref="E2:J2"/>
    <mergeCell ref="K2:P2"/>
    <mergeCell ref="E3:J3"/>
    <mergeCell ref="K3:P3"/>
    <mergeCell ref="E9:J9"/>
    <mergeCell ref="K9:P9"/>
    <mergeCell ref="E33:J33"/>
    <mergeCell ref="E39:J39"/>
    <mergeCell ref="K39:P39"/>
    <mergeCell ref="E15:J15"/>
    <mergeCell ref="K15:P15"/>
    <mergeCell ref="E21:J21"/>
    <mergeCell ref="K21:P21"/>
    <mergeCell ref="E27:J27"/>
    <mergeCell ref="K27:P27"/>
    <mergeCell ref="K33:P3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showGridLines="0" workbookViewId="0">
      <pane ySplit="2.0" topLeftCell="A3" activePane="bottomLeft" state="frozen"/>
      <selection activeCell="B4" sqref="B4" pane="bottomLeft"/>
    </sheetView>
  </sheetViews>
  <sheetFormatPr customHeight="1" defaultColWidth="11.22" defaultRowHeight="15.75"/>
  <cols>
    <col customWidth="1" min="1" max="1" width="12.0"/>
    <col customWidth="1" min="2" max="11" width="15.67"/>
    <col customWidth="1" min="12" max="12" width="3.33"/>
    <col customWidth="1" min="13" max="13" width="7.44"/>
    <col customWidth="1" min="14" max="14" width="15.89"/>
    <col customWidth="1" min="15" max="15" width="16.67"/>
    <col customWidth="1" min="16" max="16" width="15.89"/>
    <col customWidth="1" min="17" max="17" width="8.89"/>
    <col customWidth="1" min="18" max="19" width="7.89"/>
    <col customWidth="1" min="20" max="20" width="8.89"/>
    <col customWidth="1" min="21" max="21" width="15.89"/>
    <col customWidth="1" min="22" max="22" width="14.0"/>
    <col customWidth="1" min="23" max="23" width="15.89"/>
    <col customWidth="1" min="24" max="24" width="3.33"/>
    <col customWidth="1" min="25" max="25" width="7.44"/>
    <col customWidth="1" min="26" max="26" width="15.89"/>
    <col customWidth="1" min="27" max="27" width="16.67"/>
    <col customWidth="1" min="28" max="28" width="15.89"/>
    <col customWidth="1" min="29" max="29" width="8.89"/>
    <col customWidth="1" min="30" max="31" width="7.89"/>
    <col customWidth="1" min="32" max="32" width="8.89"/>
    <col customWidth="1" min="33" max="33" width="15.89"/>
    <col customWidth="1" min="34" max="34" width="14.0"/>
    <col customWidth="1" min="35" max="35" width="15.89"/>
    <col customWidth="1" min="36" max="36" width="3.33"/>
    <col customWidth="1" min="37" max="37" width="7.44"/>
    <col customWidth="1" min="38" max="38" width="15.89"/>
    <col customWidth="1" min="39" max="39" width="16.67"/>
    <col customWidth="1" min="40" max="40" width="15.89"/>
    <col customWidth="1" min="41" max="41" width="8.89"/>
    <col customWidth="1" min="42" max="43" width="7.89"/>
    <col customWidth="1" min="44" max="44" width="8.89"/>
    <col customWidth="1" min="45" max="45" width="15.89"/>
    <col customWidth="1" min="46" max="46" width="14.0"/>
    <col customWidth="1" min="47" max="47" width="15.89"/>
    <col customWidth="1" min="48" max="48" width="3.33"/>
    <col customWidth="1" min="49" max="49" width="7.44"/>
    <col customWidth="1" min="50" max="50" width="15.89"/>
    <col customWidth="1" min="51" max="51" width="16.67"/>
    <col customWidth="1" min="52" max="52" width="15.89"/>
    <col customWidth="1" min="53" max="53" width="8.89"/>
    <col customWidth="1" min="54" max="55" width="7.89"/>
    <col customWidth="1" min="56" max="56" width="8.89"/>
    <col customWidth="1" min="57" max="57" width="15.89"/>
    <col customWidth="1" min="58" max="58" width="14.0"/>
    <col customWidth="1" min="59" max="59" width="15.89"/>
    <col customWidth="1" min="60" max="60" width="3.33"/>
    <col customWidth="1" min="61" max="61" width="7.44"/>
    <col customWidth="1" min="62" max="62" width="15.89"/>
    <col customWidth="1" min="63" max="63" width="16.67"/>
    <col customWidth="1" min="64" max="64" width="15.89"/>
    <col customWidth="1" min="65" max="65" width="8.89"/>
    <col customWidth="1" min="66" max="67" width="7.89"/>
    <col customWidth="1" min="68" max="68" width="8.89"/>
    <col customWidth="1" min="69" max="69" width="15.89"/>
    <col customWidth="1" min="70" max="70" width="14.0"/>
    <col customWidth="1" min="71" max="71" width="15.89"/>
    <col customWidth="1" min="72" max="72" width="3.33"/>
    <col customWidth="1" min="73" max="73" width="7.44"/>
    <col customWidth="1" min="74" max="74" width="15.89"/>
    <col customWidth="1" min="75" max="75" width="16.67"/>
    <col customWidth="1" min="76" max="76" width="15.89"/>
    <col customWidth="1" min="77" max="77" width="8.89"/>
    <col customWidth="1" min="78" max="79" width="7.89"/>
    <col customWidth="1" min="80" max="80" width="8.89"/>
    <col customWidth="1" min="81" max="81" width="15.89"/>
    <col customWidth="1" min="82" max="82" width="14.0"/>
    <col customWidth="1" min="83" max="83" width="15.89"/>
    <col customWidth="1" min="84" max="84" width="3.33"/>
    <col customWidth="1" min="85" max="85" width="7.44"/>
    <col customWidth="1" min="86" max="86" width="15.89"/>
    <col customWidth="1" min="87" max="87" width="16.67"/>
    <col customWidth="1" min="88" max="88" width="15.89"/>
    <col customWidth="1" min="89" max="89" width="8.89"/>
    <col customWidth="1" min="90" max="91" width="7.89"/>
    <col customWidth="1" min="92" max="92" width="8.89"/>
    <col customWidth="1" min="93" max="93" width="15.89"/>
    <col customWidth="1" min="94" max="94" width="14.0"/>
    <col customWidth="1" min="95" max="95" width="15.89"/>
    <col customWidth="1" min="96" max="96" width="3.33"/>
    <col customWidth="1" min="97" max="97" width="7.44"/>
    <col customWidth="1" min="98" max="98" width="15.89"/>
    <col customWidth="1" min="99" max="99" width="16.67"/>
    <col customWidth="1" min="100" max="100" width="15.89"/>
    <col customWidth="1" min="101" max="101" width="8.89"/>
    <col customWidth="1" min="102" max="103" width="7.89"/>
    <col customWidth="1" min="104" max="104" width="8.89"/>
    <col customWidth="1" min="105" max="105" width="15.89"/>
    <col customWidth="1" min="106" max="106" width="14.0"/>
    <col customWidth="1" min="107" max="107" width="15.89"/>
    <col customWidth="1" min="108" max="108" width="3.33"/>
    <col customWidth="1" min="109" max="109" width="7.44"/>
    <col customWidth="1" min="110" max="110" width="15.89"/>
    <col customWidth="1" min="111" max="111" width="16.67"/>
    <col customWidth="1" min="112" max="112" width="15.89"/>
    <col customWidth="1" min="113" max="113" width="8.89"/>
    <col customWidth="1" min="114" max="115" width="7.89"/>
    <col customWidth="1" min="116" max="116" width="8.89"/>
    <col customWidth="1" min="117" max="117" width="15.89"/>
    <col customWidth="1" min="118" max="118" width="14.0"/>
    <col customWidth="1" min="119" max="119" width="15.89"/>
    <col customWidth="1" min="120" max="120" width="3.33"/>
    <col customWidth="1" min="121" max="121" width="7.44"/>
    <col customWidth="1" min="122" max="122" width="15.89"/>
    <col customWidth="1" min="123" max="123" width="16.67"/>
    <col customWidth="1" min="124" max="124" width="15.89"/>
    <col customWidth="1" min="125" max="125" width="8.89"/>
    <col customWidth="1" min="126" max="127" width="7.89"/>
    <col customWidth="1" min="128" max="128" width="8.89"/>
    <col customWidth="1" min="129" max="129" width="15.89"/>
    <col customWidth="1" min="130" max="130" width="14.0"/>
    <col customWidth="1" min="131" max="131" width="15.89"/>
    <col customWidth="1" min="132" max="132" width="3.33"/>
    <col customWidth="1" min="133" max="133" width="7.44"/>
    <col customWidth="1" min="134" max="134" width="15.89"/>
    <col customWidth="1" min="135" max="135" width="16.67"/>
    <col customWidth="1" min="136" max="136" width="15.89"/>
    <col customWidth="1" min="137" max="137" width="8.89"/>
    <col customWidth="1" min="138" max="139" width="7.89"/>
    <col customWidth="1" min="140" max="140" width="8.89"/>
    <col customWidth="1" min="141" max="141" width="15.89"/>
    <col customWidth="1" min="142" max="142" width="14.0"/>
    <col customWidth="1" min="143" max="143" width="15.89"/>
    <col customWidth="1" min="144" max="144" width="3.33"/>
    <col customWidth="1" min="145" max="145" width="7.44"/>
    <col customWidth="1" min="146" max="146" width="15.89"/>
    <col customWidth="1" min="147" max="147" width="16.67"/>
    <col customWidth="1" min="148" max="148" width="15.89"/>
    <col customWidth="1" min="149" max="149" width="8.89"/>
    <col customWidth="1" min="150" max="151" width="7.89"/>
    <col customWidth="1" min="152" max="152" width="8.89"/>
    <col customWidth="1" min="153" max="153" width="15.89"/>
    <col customWidth="1" min="154" max="154" width="14.0"/>
    <col customWidth="1" min="155" max="155" width="15.89"/>
    <col customWidth="1" min="156" max="156" width="3.33"/>
    <col customWidth="1" min="157" max="157" width="7.44"/>
    <col customWidth="1" min="158" max="158" width="15.89"/>
    <col customWidth="1" min="159" max="159" width="16.67"/>
    <col customWidth="1" min="160" max="160" width="15.89"/>
    <col customWidth="1" min="161" max="161" width="8.89"/>
    <col customWidth="1" min="162" max="163" width="7.89"/>
    <col customWidth="1" min="164" max="164" width="8.89"/>
    <col customWidth="1" min="165" max="165" width="15.89"/>
    <col customWidth="1" min="166" max="166" width="14.89"/>
    <col customWidth="1" min="167" max="167" width="15.89"/>
    <col customWidth="1" min="168" max="168" width="3.33"/>
    <col customWidth="1" min="169" max="169" width="7.44"/>
    <col customWidth="1" min="170" max="170" width="15.89"/>
    <col customWidth="1" min="171" max="171" width="16.67"/>
    <col customWidth="1" min="172" max="172" width="15.89"/>
    <col customWidth="1" min="173" max="173" width="8.89"/>
    <col customWidth="1" min="174" max="175" width="7.89"/>
    <col customWidth="1" min="176" max="176" width="8.89"/>
    <col customWidth="1" min="177" max="177" width="15.89"/>
    <col customWidth="1" min="178" max="178" width="14.0"/>
    <col customWidth="1" min="179" max="179" width="15.89"/>
    <col customWidth="1" min="180" max="180" width="3.33"/>
  </cols>
  <sheetData>
    <row r="1" ht="20.25" customHeight="1">
      <c r="A1" s="514" t="s">
        <v>714</v>
      </c>
      <c r="B1" s="8"/>
      <c r="C1" s="8"/>
      <c r="D1" s="8"/>
      <c r="E1" s="8"/>
      <c r="F1" s="8"/>
      <c r="G1" s="8"/>
      <c r="H1" s="8"/>
      <c r="I1" s="8"/>
      <c r="J1" s="8"/>
      <c r="K1" s="68"/>
      <c r="L1" s="515"/>
      <c r="M1" s="516"/>
      <c r="N1" s="517"/>
      <c r="O1" s="517"/>
      <c r="P1" s="517"/>
      <c r="Q1" s="517"/>
      <c r="R1" s="518" t="str">
        <f>'Schedule | 1 Division'!E2</f>
        <v>Round 1</v>
      </c>
      <c r="S1" s="8"/>
      <c r="T1" s="518"/>
      <c r="U1" s="518"/>
      <c r="V1" s="518"/>
      <c r="W1" s="519"/>
      <c r="X1" s="515"/>
      <c r="Y1" s="516"/>
      <c r="Z1" s="517"/>
      <c r="AA1" s="517"/>
      <c r="AB1" s="517"/>
      <c r="AC1" s="517"/>
      <c r="AD1" s="518" t="str">
        <f>'Schedule | 1 Division'!E2</f>
        <v>Round 1</v>
      </c>
      <c r="AE1" s="8"/>
      <c r="AF1" s="518"/>
      <c r="AG1" s="518"/>
      <c r="AH1" s="518"/>
      <c r="AI1" s="519"/>
      <c r="AJ1" s="515"/>
      <c r="AK1" s="516"/>
      <c r="AL1" s="8"/>
      <c r="AM1" s="8"/>
      <c r="AN1" s="8"/>
      <c r="AO1" s="8"/>
      <c r="AP1" s="518" t="str">
        <f>'Schedule | 1 Division'!E2</f>
        <v>Round 1</v>
      </c>
      <c r="AQ1" s="8"/>
      <c r="AR1" s="518"/>
      <c r="AS1" s="8"/>
      <c r="AT1" s="8"/>
      <c r="AU1" s="68"/>
      <c r="AV1" s="515"/>
      <c r="AW1" s="516"/>
      <c r="AX1" s="8"/>
      <c r="AY1" s="8"/>
      <c r="AZ1" s="8"/>
      <c r="BA1" s="8"/>
      <c r="BB1" s="518" t="str">
        <f>'Schedule | 1 Division'!E2</f>
        <v>Round 1</v>
      </c>
      <c r="BC1" s="8"/>
      <c r="BD1" s="518"/>
      <c r="BE1" s="8"/>
      <c r="BF1" s="8"/>
      <c r="BG1" s="68"/>
      <c r="BH1" s="515"/>
      <c r="BI1" s="516"/>
      <c r="BJ1" s="8"/>
      <c r="BK1" s="8"/>
      <c r="BL1" s="8"/>
      <c r="BM1" s="8"/>
      <c r="BN1" s="518" t="str">
        <f>'Schedule | 1 Division'!E2</f>
        <v>Round 1</v>
      </c>
      <c r="BO1" s="8"/>
      <c r="BP1" s="518"/>
      <c r="BQ1" s="8"/>
      <c r="BR1" s="8"/>
      <c r="BS1" s="68"/>
      <c r="BT1" s="515"/>
      <c r="BU1" s="516"/>
      <c r="BV1" s="8"/>
      <c r="BW1" s="8"/>
      <c r="BX1" s="8"/>
      <c r="BY1" s="8"/>
      <c r="BZ1" s="518" t="str">
        <f>'Schedule | 1 Division'!E2</f>
        <v>Round 1</v>
      </c>
      <c r="CA1" s="8"/>
      <c r="CB1" s="518"/>
      <c r="CC1" s="8"/>
      <c r="CD1" s="8"/>
      <c r="CE1" s="68"/>
      <c r="CF1" s="515"/>
      <c r="CG1" s="516"/>
      <c r="CH1" s="8"/>
      <c r="CI1" s="8"/>
      <c r="CJ1" s="8"/>
      <c r="CK1" s="8"/>
      <c r="CL1" s="518" t="str">
        <f>'Schedule | 1 Division'!E2</f>
        <v>Round 1</v>
      </c>
      <c r="CM1" s="8"/>
      <c r="CN1" s="518"/>
      <c r="CO1" s="8"/>
      <c r="CP1" s="8"/>
      <c r="CQ1" s="68"/>
      <c r="CR1" s="515"/>
      <c r="CS1" s="516"/>
      <c r="CT1" s="517"/>
      <c r="CU1" s="517"/>
      <c r="CV1" s="517"/>
      <c r="CW1" s="517"/>
      <c r="CX1" s="518" t="str">
        <f>'Schedule | 1 Division'!K2</f>
        <v>Round 2</v>
      </c>
      <c r="CY1" s="8"/>
      <c r="CZ1" s="518"/>
      <c r="DA1" s="518"/>
      <c r="DB1" s="518"/>
      <c r="DC1" s="519"/>
      <c r="DD1" s="515"/>
      <c r="DE1" s="516"/>
      <c r="DF1" s="517"/>
      <c r="DG1" s="517"/>
      <c r="DH1" s="517"/>
      <c r="DI1" s="517"/>
      <c r="DJ1" s="518" t="str">
        <f>'Schedule | 1 Division'!K2</f>
        <v>Round 2</v>
      </c>
      <c r="DK1" s="8"/>
      <c r="DL1" s="518"/>
      <c r="DM1" s="518"/>
      <c r="DN1" s="518"/>
      <c r="DO1" s="519"/>
      <c r="DP1" s="515"/>
      <c r="DQ1" s="516"/>
      <c r="DR1" s="8"/>
      <c r="DS1" s="8"/>
      <c r="DT1" s="8"/>
      <c r="DU1" s="8"/>
      <c r="DV1" s="518" t="str">
        <f>'Schedule | 1 Division'!K2</f>
        <v>Round 2</v>
      </c>
      <c r="DW1" s="8"/>
      <c r="DX1" s="518"/>
      <c r="DY1" s="8"/>
      <c r="DZ1" s="8"/>
      <c r="EA1" s="68"/>
      <c r="EB1" s="515"/>
      <c r="EC1" s="516"/>
      <c r="ED1" s="8"/>
      <c r="EE1" s="8"/>
      <c r="EF1" s="8"/>
      <c r="EG1" s="8"/>
      <c r="EH1" s="518" t="str">
        <f>'Schedule | 1 Division'!K2</f>
        <v>Round 2</v>
      </c>
      <c r="EI1" s="8"/>
      <c r="EJ1" s="518"/>
      <c r="EK1" s="8"/>
      <c r="EL1" s="8"/>
      <c r="EM1" s="68"/>
      <c r="EN1" s="515"/>
      <c r="EO1" s="516"/>
      <c r="EP1" s="8"/>
      <c r="EQ1" s="8"/>
      <c r="ER1" s="8"/>
      <c r="ES1" s="8"/>
      <c r="ET1" s="518" t="str">
        <f>'Schedule | 1 Division'!K2</f>
        <v>Round 2</v>
      </c>
      <c r="EU1" s="8"/>
      <c r="EV1" s="518"/>
      <c r="EW1" s="8"/>
      <c r="EX1" s="8"/>
      <c r="EY1" s="68"/>
      <c r="EZ1" s="515"/>
      <c r="FA1" s="516"/>
      <c r="FB1" s="8"/>
      <c r="FC1" s="8"/>
      <c r="FD1" s="8"/>
      <c r="FE1" s="8"/>
      <c r="FF1" s="518" t="str">
        <f>'Schedule | 1 Division'!K2</f>
        <v>Round 2</v>
      </c>
      <c r="FG1" s="8"/>
      <c r="FH1" s="518"/>
      <c r="FI1" s="8"/>
      <c r="FJ1" s="8"/>
      <c r="FK1" s="68"/>
      <c r="FL1" s="515"/>
      <c r="FM1" s="516"/>
      <c r="FN1" s="8"/>
      <c r="FO1" s="8"/>
      <c r="FP1" s="8"/>
      <c r="FQ1" s="8"/>
      <c r="FR1" s="518" t="str">
        <f>'Schedule | 1 Division'!K2</f>
        <v>Round 2</v>
      </c>
      <c r="FS1" s="8"/>
      <c r="FT1" s="518"/>
      <c r="FU1" s="8"/>
      <c r="FV1" s="8"/>
      <c r="FW1" s="68"/>
      <c r="FX1" s="515"/>
    </row>
    <row r="2" ht="20.25" customHeight="1">
      <c r="A2" s="61"/>
      <c r="B2" s="22"/>
      <c r="C2" s="22"/>
      <c r="D2" s="22"/>
      <c r="E2" s="22"/>
      <c r="F2" s="22"/>
      <c r="G2" s="22"/>
      <c r="H2" s="22"/>
      <c r="I2" s="22"/>
      <c r="J2" s="22"/>
      <c r="K2" s="93"/>
      <c r="L2" s="515"/>
      <c r="M2" s="520"/>
      <c r="N2" s="22"/>
      <c r="O2" s="22"/>
      <c r="P2" s="22"/>
      <c r="Q2" s="22"/>
      <c r="R2" s="521">
        <f>'Schedule | 1 Division'!E3</f>
        <v>46133</v>
      </c>
      <c r="S2" s="22"/>
      <c r="T2" s="522"/>
      <c r="U2" s="22"/>
      <c r="V2" s="22"/>
      <c r="W2" s="93"/>
      <c r="X2" s="515"/>
      <c r="Y2" s="520"/>
      <c r="Z2" s="22"/>
      <c r="AA2" s="22"/>
      <c r="AB2" s="22"/>
      <c r="AC2" s="22"/>
      <c r="AD2" s="521">
        <f>'Schedule | 1 Division'!E9</f>
        <v>46134</v>
      </c>
      <c r="AE2" s="22"/>
      <c r="AF2" s="522"/>
      <c r="AG2" s="22"/>
      <c r="AH2" s="22"/>
      <c r="AI2" s="93"/>
      <c r="AJ2" s="515"/>
      <c r="AK2" s="520"/>
      <c r="AL2" s="22"/>
      <c r="AM2" s="22"/>
      <c r="AN2" s="22"/>
      <c r="AO2" s="22"/>
      <c r="AP2" s="521">
        <f>'Schedule | 1 Division'!E15</f>
        <v>46140</v>
      </c>
      <c r="AQ2" s="22"/>
      <c r="AR2" s="522"/>
      <c r="AS2" s="22"/>
      <c r="AT2" s="22"/>
      <c r="AU2" s="93"/>
      <c r="AV2" s="515"/>
      <c r="AW2" s="520"/>
      <c r="AX2" s="22"/>
      <c r="AY2" s="22"/>
      <c r="AZ2" s="22"/>
      <c r="BA2" s="22"/>
      <c r="BB2" s="521">
        <f>'Schedule | 1 Division'!E21</f>
        <v>46141</v>
      </c>
      <c r="BC2" s="22"/>
      <c r="BD2" s="522"/>
      <c r="BE2" s="22"/>
      <c r="BF2" s="22"/>
      <c r="BG2" s="93"/>
      <c r="BH2" s="515"/>
      <c r="BI2" s="520"/>
      <c r="BJ2" s="22"/>
      <c r="BK2" s="22"/>
      <c r="BL2" s="22"/>
      <c r="BM2" s="22"/>
      <c r="BN2" s="521">
        <f>'Schedule | 1 Division'!E27</f>
        <v>46147</v>
      </c>
      <c r="BO2" s="22"/>
      <c r="BP2" s="522"/>
      <c r="BQ2" s="22"/>
      <c r="BR2" s="22"/>
      <c r="BS2" s="93"/>
      <c r="BT2" s="515"/>
      <c r="BU2" s="520"/>
      <c r="BV2" s="22"/>
      <c r="BW2" s="22"/>
      <c r="BX2" s="22"/>
      <c r="BY2" s="22"/>
      <c r="BZ2" s="521">
        <f>'Schedule | 1 Division'!E33</f>
        <v>46148</v>
      </c>
      <c r="CA2" s="22"/>
      <c r="CB2" s="522"/>
      <c r="CC2" s="22"/>
      <c r="CD2" s="22"/>
      <c r="CE2" s="93"/>
      <c r="CF2" s="515"/>
      <c r="CG2" s="520"/>
      <c r="CH2" s="22"/>
      <c r="CI2" s="22"/>
      <c r="CJ2" s="22"/>
      <c r="CK2" s="22"/>
      <c r="CL2" s="521">
        <f>'Schedule | 1 Division'!E39</f>
        <v>46149</v>
      </c>
      <c r="CM2" s="22"/>
      <c r="CN2" s="522"/>
      <c r="CO2" s="22"/>
      <c r="CP2" s="22"/>
      <c r="CQ2" s="93"/>
      <c r="CR2" s="515"/>
      <c r="CS2" s="520"/>
      <c r="CT2" s="22"/>
      <c r="CU2" s="22"/>
      <c r="CV2" s="22"/>
      <c r="CW2" s="22"/>
      <c r="CX2" s="521">
        <f>'Schedule | 1 Division'!K3</f>
        <v>46154</v>
      </c>
      <c r="CY2" s="22"/>
      <c r="CZ2" s="522"/>
      <c r="DA2" s="22"/>
      <c r="DB2" s="22"/>
      <c r="DC2" s="93"/>
      <c r="DD2" s="515"/>
      <c r="DE2" s="520"/>
      <c r="DF2" s="22"/>
      <c r="DG2" s="22"/>
      <c r="DH2" s="22"/>
      <c r="DI2" s="22"/>
      <c r="DJ2" s="521">
        <f>'Schedule | 1 Division'!K9</f>
        <v>46155</v>
      </c>
      <c r="DK2" s="22"/>
      <c r="DL2" s="522"/>
      <c r="DM2" s="22"/>
      <c r="DN2" s="22"/>
      <c r="DO2" s="93"/>
      <c r="DP2" s="515"/>
      <c r="DQ2" s="520"/>
      <c r="DR2" s="22"/>
      <c r="DS2" s="22"/>
      <c r="DT2" s="22"/>
      <c r="DU2" s="22"/>
      <c r="DV2" s="521">
        <f>'Schedule | 1 Division'!K15</f>
        <v>46168</v>
      </c>
      <c r="DW2" s="22"/>
      <c r="DX2" s="522"/>
      <c r="DY2" s="22"/>
      <c r="DZ2" s="22"/>
      <c r="EA2" s="93"/>
      <c r="EB2" s="515"/>
      <c r="EC2" s="520"/>
      <c r="ED2" s="22"/>
      <c r="EE2" s="22"/>
      <c r="EF2" s="22"/>
      <c r="EG2" s="22"/>
      <c r="EH2" s="521">
        <f>'Schedule | 1 Division'!K21</f>
        <v>46169</v>
      </c>
      <c r="EI2" s="22"/>
      <c r="EJ2" s="522"/>
      <c r="EK2" s="22"/>
      <c r="EL2" s="22"/>
      <c r="EM2" s="93"/>
      <c r="EN2" s="515"/>
      <c r="EO2" s="520"/>
      <c r="EP2" s="22"/>
      <c r="EQ2" s="22"/>
      <c r="ER2" s="22"/>
      <c r="ES2" s="22"/>
      <c r="ET2" s="521">
        <f>'Schedule | 1 Division'!K27</f>
        <v>46170</v>
      </c>
      <c r="EU2" s="22"/>
      <c r="EV2" s="522"/>
      <c r="EW2" s="22"/>
      <c r="EX2" s="22"/>
      <c r="EY2" s="93"/>
      <c r="EZ2" s="515"/>
      <c r="FA2" s="520"/>
      <c r="FB2" s="22"/>
      <c r="FC2" s="22"/>
      <c r="FD2" s="22"/>
      <c r="FE2" s="22"/>
      <c r="FF2" s="521">
        <f>'Schedule | 1 Division'!K33</f>
        <v>46175</v>
      </c>
      <c r="FG2" s="22"/>
      <c r="FH2" s="522"/>
      <c r="FI2" s="22"/>
      <c r="FJ2" s="22"/>
      <c r="FK2" s="93"/>
      <c r="FL2" s="515"/>
      <c r="FM2" s="520"/>
      <c r="FN2" s="22"/>
      <c r="FO2" s="22"/>
      <c r="FP2" s="22"/>
      <c r="FQ2" s="22"/>
      <c r="FR2" s="521">
        <f>'Schedule | 1 Division'!K39</f>
        <v>46176</v>
      </c>
      <c r="FS2" s="22"/>
      <c r="FT2" s="522"/>
      <c r="FU2" s="22"/>
      <c r="FV2" s="22"/>
      <c r="FW2" s="93"/>
      <c r="FX2" s="515"/>
    </row>
    <row r="3">
      <c r="A3" s="523" t="s">
        <v>715</v>
      </c>
      <c r="B3" s="524" t="s">
        <v>115</v>
      </c>
      <c r="C3" s="524" t="s">
        <v>716</v>
      </c>
      <c r="D3" s="525" t="s">
        <v>717</v>
      </c>
      <c r="E3" s="526" t="s">
        <v>718</v>
      </c>
      <c r="F3" s="526" t="s">
        <v>719</v>
      </c>
      <c r="G3" s="526" t="s">
        <v>720</v>
      </c>
      <c r="H3" s="527" t="s">
        <v>721</v>
      </c>
      <c r="I3" s="525" t="s">
        <v>722</v>
      </c>
      <c r="J3" s="528" t="s">
        <v>723</v>
      </c>
      <c r="K3" s="529" t="s">
        <v>724</v>
      </c>
      <c r="L3" s="530"/>
      <c r="M3" s="531" t="str">
        <f>'Schedule | 1 Division'!E5</f>
        <v>Aura Farmers</v>
      </c>
      <c r="R3" s="531" t="str">
        <f>'Schedule | 1 Division'!J5</f>
        <v>Match 1</v>
      </c>
      <c r="S3" s="92"/>
      <c r="T3" s="404" t="str">
        <f>'Schedule | 1 Division'!I5</f>
        <v>Team Spirit</v>
      </c>
      <c r="W3" s="92"/>
      <c r="X3" s="532"/>
      <c r="Y3" s="531" t="str">
        <f>'Schedule | 1 Division'!E11</f>
        <v>Team Spirit</v>
      </c>
      <c r="AD3" s="531" t="str">
        <f>'Schedule | 1 Division'!J11</f>
        <v>Match 5</v>
      </c>
      <c r="AE3" s="92"/>
      <c r="AF3" s="404" t="str">
        <f>'Schedule | 1 Division'!I11</f>
        <v>CYBERHERO</v>
      </c>
      <c r="AI3" s="92"/>
      <c r="AJ3" s="532"/>
      <c r="AK3" s="533" t="str">
        <f>'Schedule | 1 Division'!E17</f>
        <v>Virtus.pro</v>
      </c>
      <c r="AP3" s="531" t="str">
        <f>'Schedule | 1 Division'!J17</f>
        <v>Match 9</v>
      </c>
      <c r="AQ3" s="92"/>
      <c r="AR3" s="404" t="str">
        <f>'Schedule | 1 Division'!I17</f>
        <v>Team Yandex</v>
      </c>
      <c r="AU3" s="92"/>
      <c r="AV3" s="532"/>
      <c r="AW3" s="531" t="str">
        <f>'Schedule | 1 Division'!E23</f>
        <v>FORZE</v>
      </c>
      <c r="BB3" s="531" t="str">
        <f>'Schedule | 1 Division'!J23</f>
        <v>Match 13</v>
      </c>
      <c r="BC3" s="92"/>
      <c r="BD3" s="404" t="str">
        <f>'Schedule | 1 Division'!I23</f>
        <v>Aura Farmers</v>
      </c>
      <c r="BG3" s="92"/>
      <c r="BH3" s="532"/>
      <c r="BI3" s="531" t="str">
        <f>'Schedule | 1 Division'!E29</f>
        <v>FORZE</v>
      </c>
      <c r="BN3" s="531" t="str">
        <f>'Schedule | 1 Division'!J29</f>
        <v>Match 17</v>
      </c>
      <c r="BO3" s="92"/>
      <c r="BP3" s="404" t="str">
        <f>'Schedule | 1 Division'!I29</f>
        <v>Team Yandex</v>
      </c>
      <c r="BS3" s="92"/>
      <c r="BT3" s="532"/>
      <c r="BU3" s="534" t="str">
        <f>'Schedule | 1 Division'!E35</f>
        <v>Aura Farmers</v>
      </c>
      <c r="BZ3" s="531" t="str">
        <f>'Schedule | 1 Division'!J35</f>
        <v>Match 21</v>
      </c>
      <c r="CA3" s="92"/>
      <c r="CB3" s="535" t="str">
        <f>'Schedule | 1 Division'!I35</f>
        <v>Verso Time</v>
      </c>
      <c r="CE3" s="92"/>
      <c r="CF3" s="532"/>
      <c r="CG3" s="531" t="str">
        <f>'Schedule | 1 Division'!E41</f>
        <v>Team Yandex</v>
      </c>
      <c r="CL3" s="531" t="str">
        <f>'Schedule | 1 Division'!J41</f>
        <v>Match 25</v>
      </c>
      <c r="CM3" s="92"/>
      <c r="CN3" s="404" t="str">
        <f>'Schedule | 1 Division'!I41</f>
        <v>Verso Time</v>
      </c>
      <c r="CQ3" s="92"/>
      <c r="CR3" s="532"/>
      <c r="CS3" s="531" t="str">
        <f>'Schedule | 1 Division'!K5</f>
        <v>Team Spirit</v>
      </c>
      <c r="CX3" s="531" t="str">
        <f>'Schedule | 1 Division'!P5</f>
        <v>Match 29</v>
      </c>
      <c r="CY3" s="92"/>
      <c r="CZ3" s="404" t="str">
        <f>'Schedule | 1 Division'!O5</f>
        <v>Magic</v>
      </c>
      <c r="DC3" s="92"/>
      <c r="DD3" s="532"/>
      <c r="DE3" s="531" t="str">
        <f>'Schedule | 1 Division'!K11</f>
        <v>Team Yandex</v>
      </c>
      <c r="DJ3" s="531" t="str">
        <f>'Schedule | 1 Division'!P11</f>
        <v>Match 33</v>
      </c>
      <c r="DK3" s="92"/>
      <c r="DL3" s="536" t="str">
        <f>'Schedule | 1 Division'!O11</f>
        <v>Virtus.pro</v>
      </c>
      <c r="DO3" s="92"/>
      <c r="DP3" s="532"/>
      <c r="DQ3" s="531" t="str">
        <f>'Schedule | 1 Division'!K17</f>
        <v>CYBERHERO</v>
      </c>
      <c r="DV3" s="531" t="str">
        <f>'Schedule | 1 Division'!P17</f>
        <v>Match 37</v>
      </c>
      <c r="DW3" s="92"/>
      <c r="DX3" s="404" t="str">
        <f>'Schedule | 1 Division'!O17</f>
        <v>Team Spirit</v>
      </c>
      <c r="EA3" s="92"/>
      <c r="EB3" s="532"/>
      <c r="EC3" s="533" t="str">
        <f>'Schedule | 1 Division'!K23</f>
        <v>Virtus.pro</v>
      </c>
      <c r="EH3" s="531" t="str">
        <f>'Schedule | 1 Division'!P23</f>
        <v>Match 41</v>
      </c>
      <c r="EI3" s="92"/>
      <c r="EJ3" s="404" t="str">
        <f>'Schedule | 1 Division'!O23</f>
        <v>Verso Time</v>
      </c>
      <c r="EM3" s="92"/>
      <c r="EN3" s="532"/>
      <c r="EO3" s="531" t="str">
        <f>'Schedule | 1 Division'!K29</f>
        <v>Verso Time</v>
      </c>
      <c r="ET3" s="531" t="str">
        <f>'Schedule | 1 Division'!P29</f>
        <v>Match 45</v>
      </c>
      <c r="EU3" s="92"/>
      <c r="EV3" s="404" t="str">
        <f>'Schedule | 1 Division'!O29</f>
        <v>Aura Farmers</v>
      </c>
      <c r="EY3" s="92"/>
      <c r="EZ3" s="532"/>
      <c r="FA3" s="531" t="str">
        <f>'Schedule | 1 Division'!K35</f>
        <v>FORZE</v>
      </c>
      <c r="FF3" s="531" t="str">
        <f>'Schedule | 1 Division'!P35</f>
        <v>Match 49</v>
      </c>
      <c r="FG3" s="92"/>
      <c r="FH3" s="404" t="str">
        <f>'Schedule | 1 Division'!O35</f>
        <v>Verso Time</v>
      </c>
      <c r="FK3" s="92"/>
      <c r="FL3" s="532"/>
      <c r="FM3" s="531" t="str">
        <f>'Schedule | 1 Division'!K41</f>
        <v>CYBERHERO</v>
      </c>
      <c r="FR3" s="531" t="str">
        <f>'Schedule | 1 Division'!P41</f>
        <v>Match 53</v>
      </c>
      <c r="FS3" s="92"/>
      <c r="FT3" s="404" t="str">
        <f>'Schedule | 1 Division'!O41</f>
        <v>FORZE</v>
      </c>
      <c r="FW3" s="92"/>
      <c r="FX3" s="532"/>
    </row>
    <row r="4">
      <c r="A4" s="537">
        <v>1.0</v>
      </c>
      <c r="B4" s="538" t="str">
        <f>'Schedule | 1 Division'!B6</f>
        <v>Team Spirit</v>
      </c>
      <c r="C4" s="538">
        <f t="shared" ref="C4:C11" si="1">E4*3+F4*2+G4</f>
        <v>37</v>
      </c>
      <c r="D4" s="33">
        <f t="shared" ref="D4:D11" si="2">SUM(E4:H4)</f>
        <v>14</v>
      </c>
      <c r="E4" s="30">
        <f t="shared" ref="E4:E11" si="3">COUNTIF($G$15:$G$70, B4)</f>
        <v>10</v>
      </c>
      <c r="F4" s="30">
        <f t="shared" ref="F4:F11" si="4">COUNTIF($H$15:$H$70, B4)</f>
        <v>3</v>
      </c>
      <c r="G4" s="30">
        <f t="shared" ref="G4:G11" si="5">COUNTIF($I$15:$I$70, B4)</f>
        <v>1</v>
      </c>
      <c r="H4" s="433">
        <f t="shared" ref="H4:H11" si="6">COUNTIF($J$15:$J$70, B4)</f>
        <v>0</v>
      </c>
      <c r="I4" s="33">
        <f t="shared" ref="I4:I11" si="7">SUMIFS($D$15:$D$70,$C$15:$C$70,B4)+SUMIFS($E$15:$E$70,$F$15:$F$70,B4)</f>
        <v>27</v>
      </c>
      <c r="J4" s="30">
        <f t="shared" ref="J4:J11" si="8">SUMIFS($D$15:$D$70,$F$15:$F$70,B4)+SUMIFS($E$15:$E$70,$C$15:$C$70,B4)</f>
        <v>5</v>
      </c>
      <c r="K4" s="433">
        <f t="shared" ref="K4:K11" si="9">I4-J4</f>
        <v>22</v>
      </c>
      <c r="L4" s="530"/>
      <c r="M4" s="61"/>
      <c r="N4" s="22"/>
      <c r="O4" s="22"/>
      <c r="P4" s="22"/>
      <c r="Q4" s="22"/>
      <c r="R4" s="61"/>
      <c r="S4" s="93"/>
      <c r="T4" s="22"/>
      <c r="U4" s="22"/>
      <c r="V4" s="22"/>
      <c r="W4" s="93"/>
      <c r="X4" s="532"/>
      <c r="Y4" s="61"/>
      <c r="Z4" s="22"/>
      <c r="AA4" s="22"/>
      <c r="AB4" s="22"/>
      <c r="AC4" s="22"/>
      <c r="AD4" s="61"/>
      <c r="AE4" s="93"/>
      <c r="AF4" s="22"/>
      <c r="AG4" s="22"/>
      <c r="AH4" s="22"/>
      <c r="AI4" s="93"/>
      <c r="AJ4" s="532"/>
      <c r="AK4" s="61"/>
      <c r="AL4" s="22"/>
      <c r="AM4" s="22"/>
      <c r="AN4" s="22"/>
      <c r="AO4" s="22"/>
      <c r="AP4" s="61"/>
      <c r="AQ4" s="93"/>
      <c r="AR4" s="22"/>
      <c r="AS4" s="22"/>
      <c r="AT4" s="22"/>
      <c r="AU4" s="93"/>
      <c r="AV4" s="532"/>
      <c r="AW4" s="61"/>
      <c r="AX4" s="22"/>
      <c r="AY4" s="22"/>
      <c r="AZ4" s="22"/>
      <c r="BA4" s="22"/>
      <c r="BB4" s="61"/>
      <c r="BC4" s="93"/>
      <c r="BD4" s="22"/>
      <c r="BE4" s="22"/>
      <c r="BF4" s="22"/>
      <c r="BG4" s="93"/>
      <c r="BH4" s="532"/>
      <c r="BI4" s="61"/>
      <c r="BJ4" s="22"/>
      <c r="BK4" s="22"/>
      <c r="BL4" s="22"/>
      <c r="BM4" s="22"/>
      <c r="BN4" s="61"/>
      <c r="BO4" s="93"/>
      <c r="BP4" s="22"/>
      <c r="BQ4" s="22"/>
      <c r="BR4" s="22"/>
      <c r="BS4" s="93"/>
      <c r="BT4" s="532"/>
      <c r="BU4" s="61"/>
      <c r="BV4" s="22"/>
      <c r="BW4" s="22"/>
      <c r="BX4" s="22"/>
      <c r="BY4" s="22"/>
      <c r="BZ4" s="61"/>
      <c r="CA4" s="93"/>
      <c r="CB4" s="22"/>
      <c r="CC4" s="22"/>
      <c r="CD4" s="22"/>
      <c r="CE4" s="93"/>
      <c r="CF4" s="532"/>
      <c r="CG4" s="61"/>
      <c r="CH4" s="22"/>
      <c r="CI4" s="22"/>
      <c r="CJ4" s="22"/>
      <c r="CK4" s="22"/>
      <c r="CL4" s="61"/>
      <c r="CM4" s="93"/>
      <c r="CN4" s="22"/>
      <c r="CO4" s="22"/>
      <c r="CP4" s="22"/>
      <c r="CQ4" s="93"/>
      <c r="CR4" s="532"/>
      <c r="CS4" s="61"/>
      <c r="CT4" s="22"/>
      <c r="CU4" s="22"/>
      <c r="CV4" s="22"/>
      <c r="CW4" s="22"/>
      <c r="CX4" s="61"/>
      <c r="CY4" s="93"/>
      <c r="CZ4" s="22"/>
      <c r="DA4" s="22"/>
      <c r="DB4" s="22"/>
      <c r="DC4" s="93"/>
      <c r="DD4" s="532"/>
      <c r="DE4" s="61"/>
      <c r="DF4" s="22"/>
      <c r="DG4" s="22"/>
      <c r="DH4" s="22"/>
      <c r="DI4" s="22"/>
      <c r="DJ4" s="61"/>
      <c r="DK4" s="93"/>
      <c r="DL4" s="22"/>
      <c r="DM4" s="22"/>
      <c r="DN4" s="22"/>
      <c r="DO4" s="93"/>
      <c r="DP4" s="532"/>
      <c r="DQ4" s="61"/>
      <c r="DR4" s="22"/>
      <c r="DS4" s="22"/>
      <c r="DT4" s="22"/>
      <c r="DU4" s="22"/>
      <c r="DV4" s="61"/>
      <c r="DW4" s="93"/>
      <c r="DX4" s="22"/>
      <c r="DY4" s="22"/>
      <c r="DZ4" s="22"/>
      <c r="EA4" s="93"/>
      <c r="EB4" s="532"/>
      <c r="EC4" s="61"/>
      <c r="ED4" s="22"/>
      <c r="EE4" s="22"/>
      <c r="EF4" s="22"/>
      <c r="EG4" s="22"/>
      <c r="EH4" s="61"/>
      <c r="EI4" s="93"/>
      <c r="EJ4" s="22"/>
      <c r="EK4" s="22"/>
      <c r="EL4" s="22"/>
      <c r="EM4" s="93"/>
      <c r="EN4" s="532"/>
      <c r="EO4" s="61"/>
      <c r="EP4" s="22"/>
      <c r="EQ4" s="22"/>
      <c r="ER4" s="22"/>
      <c r="ES4" s="22"/>
      <c r="ET4" s="61"/>
      <c r="EU4" s="93"/>
      <c r="EV4" s="22"/>
      <c r="EW4" s="22"/>
      <c r="EX4" s="22"/>
      <c r="EY4" s="93"/>
      <c r="EZ4" s="532"/>
      <c r="FA4" s="61"/>
      <c r="FB4" s="22"/>
      <c r="FC4" s="22"/>
      <c r="FD4" s="22"/>
      <c r="FE4" s="22"/>
      <c r="FF4" s="61"/>
      <c r="FG4" s="93"/>
      <c r="FH4" s="22"/>
      <c r="FI4" s="22"/>
      <c r="FJ4" s="22"/>
      <c r="FK4" s="93"/>
      <c r="FL4" s="532"/>
      <c r="FM4" s="61"/>
      <c r="FN4" s="22"/>
      <c r="FO4" s="22"/>
      <c r="FP4" s="22"/>
      <c r="FQ4" s="22"/>
      <c r="FR4" s="61"/>
      <c r="FS4" s="93"/>
      <c r="FT4" s="22"/>
      <c r="FU4" s="22"/>
      <c r="FV4" s="22"/>
      <c r="FW4" s="93"/>
      <c r="FX4" s="532"/>
    </row>
    <row r="5">
      <c r="A5" s="537">
        <v>2.0</v>
      </c>
      <c r="B5" s="538" t="str">
        <f>'Schedule | 1 Division'!B10</f>
        <v>Verso Time</v>
      </c>
      <c r="C5" s="538">
        <f t="shared" si="1"/>
        <v>34</v>
      </c>
      <c r="D5" s="33">
        <f t="shared" si="2"/>
        <v>14</v>
      </c>
      <c r="E5" s="30">
        <f t="shared" si="3"/>
        <v>10</v>
      </c>
      <c r="F5" s="30">
        <f t="shared" si="4"/>
        <v>1</v>
      </c>
      <c r="G5" s="30">
        <f t="shared" si="5"/>
        <v>2</v>
      </c>
      <c r="H5" s="433">
        <f t="shared" si="6"/>
        <v>1</v>
      </c>
      <c r="I5" s="33">
        <f t="shared" si="7"/>
        <v>24</v>
      </c>
      <c r="J5" s="30">
        <f t="shared" si="8"/>
        <v>7</v>
      </c>
      <c r="K5" s="433">
        <f t="shared" si="9"/>
        <v>17</v>
      </c>
      <c r="L5" s="530"/>
      <c r="M5" s="356" t="s">
        <v>307</v>
      </c>
      <c r="N5" s="365" t="s">
        <v>308</v>
      </c>
      <c r="O5" s="358" t="s">
        <v>309</v>
      </c>
      <c r="P5" s="363" t="s">
        <v>310</v>
      </c>
      <c r="Q5" s="366" t="s">
        <v>311</v>
      </c>
      <c r="R5" s="360" t="s">
        <v>259</v>
      </c>
      <c r="S5" s="100"/>
      <c r="T5" s="360" t="s">
        <v>311</v>
      </c>
      <c r="U5" s="363" t="s">
        <v>312</v>
      </c>
      <c r="V5" s="358" t="s">
        <v>313</v>
      </c>
      <c r="W5" s="364" t="s">
        <v>314</v>
      </c>
      <c r="X5" s="532"/>
      <c r="Y5" s="356" t="s">
        <v>307</v>
      </c>
      <c r="Z5" s="365" t="s">
        <v>308</v>
      </c>
      <c r="AA5" s="363" t="s">
        <v>309</v>
      </c>
      <c r="AB5" s="363" t="s">
        <v>310</v>
      </c>
      <c r="AC5" s="366" t="s">
        <v>311</v>
      </c>
      <c r="AD5" s="360" t="s">
        <v>259</v>
      </c>
      <c r="AE5" s="100"/>
      <c r="AF5" s="360" t="s">
        <v>311</v>
      </c>
      <c r="AG5" s="363" t="s">
        <v>312</v>
      </c>
      <c r="AH5" s="363" t="s">
        <v>313</v>
      </c>
      <c r="AI5" s="364" t="s">
        <v>314</v>
      </c>
      <c r="AJ5" s="532"/>
      <c r="AK5" s="356" t="s">
        <v>307</v>
      </c>
      <c r="AL5" s="365" t="s">
        <v>308</v>
      </c>
      <c r="AM5" s="363" t="s">
        <v>309</v>
      </c>
      <c r="AN5" s="363" t="s">
        <v>310</v>
      </c>
      <c r="AO5" s="366" t="s">
        <v>311</v>
      </c>
      <c r="AP5" s="360" t="s">
        <v>259</v>
      </c>
      <c r="AQ5" s="100"/>
      <c r="AR5" s="360" t="s">
        <v>311</v>
      </c>
      <c r="AS5" s="363" t="s">
        <v>312</v>
      </c>
      <c r="AT5" s="363" t="s">
        <v>313</v>
      </c>
      <c r="AU5" s="364" t="s">
        <v>314</v>
      </c>
      <c r="AV5" s="532"/>
      <c r="AW5" s="356" t="s">
        <v>307</v>
      </c>
      <c r="AX5" s="365" t="s">
        <v>308</v>
      </c>
      <c r="AY5" s="363" t="s">
        <v>309</v>
      </c>
      <c r="AZ5" s="363" t="s">
        <v>310</v>
      </c>
      <c r="BA5" s="366" t="s">
        <v>311</v>
      </c>
      <c r="BB5" s="360" t="s">
        <v>259</v>
      </c>
      <c r="BC5" s="100"/>
      <c r="BD5" s="360" t="s">
        <v>311</v>
      </c>
      <c r="BE5" s="363" t="s">
        <v>312</v>
      </c>
      <c r="BF5" s="363" t="s">
        <v>313</v>
      </c>
      <c r="BG5" s="364" t="s">
        <v>314</v>
      </c>
      <c r="BH5" s="532"/>
      <c r="BI5" s="356" t="s">
        <v>307</v>
      </c>
      <c r="BJ5" s="365" t="s">
        <v>308</v>
      </c>
      <c r="BK5" s="363" t="s">
        <v>309</v>
      </c>
      <c r="BL5" s="363" t="s">
        <v>310</v>
      </c>
      <c r="BM5" s="366" t="s">
        <v>311</v>
      </c>
      <c r="BN5" s="360" t="s">
        <v>259</v>
      </c>
      <c r="BO5" s="100"/>
      <c r="BP5" s="360" t="s">
        <v>311</v>
      </c>
      <c r="BQ5" s="363" t="s">
        <v>312</v>
      </c>
      <c r="BR5" s="363" t="s">
        <v>313</v>
      </c>
      <c r="BS5" s="364" t="s">
        <v>314</v>
      </c>
      <c r="BT5" s="532"/>
      <c r="BU5" s="356" t="s">
        <v>307</v>
      </c>
      <c r="BV5" s="365" t="s">
        <v>308</v>
      </c>
      <c r="BW5" s="363" t="s">
        <v>309</v>
      </c>
      <c r="BX5" s="363" t="s">
        <v>310</v>
      </c>
      <c r="BY5" s="366" t="s">
        <v>311</v>
      </c>
      <c r="BZ5" s="360" t="s">
        <v>259</v>
      </c>
      <c r="CA5" s="100"/>
      <c r="CB5" s="360" t="s">
        <v>311</v>
      </c>
      <c r="CC5" s="363" t="s">
        <v>312</v>
      </c>
      <c r="CD5" s="363" t="s">
        <v>313</v>
      </c>
      <c r="CE5" s="364" t="s">
        <v>314</v>
      </c>
      <c r="CF5" s="532"/>
      <c r="CG5" s="356" t="s">
        <v>307</v>
      </c>
      <c r="CH5" s="365" t="s">
        <v>308</v>
      </c>
      <c r="CI5" s="363" t="s">
        <v>309</v>
      </c>
      <c r="CJ5" s="363" t="s">
        <v>310</v>
      </c>
      <c r="CK5" s="366" t="s">
        <v>311</v>
      </c>
      <c r="CL5" s="360" t="s">
        <v>259</v>
      </c>
      <c r="CM5" s="100"/>
      <c r="CN5" s="360" t="s">
        <v>311</v>
      </c>
      <c r="CO5" s="363" t="s">
        <v>312</v>
      </c>
      <c r="CP5" s="363" t="s">
        <v>313</v>
      </c>
      <c r="CQ5" s="364" t="s">
        <v>314</v>
      </c>
      <c r="CR5" s="532"/>
      <c r="CS5" s="356" t="s">
        <v>307</v>
      </c>
      <c r="CT5" s="365" t="s">
        <v>308</v>
      </c>
      <c r="CU5" s="363" t="s">
        <v>309</v>
      </c>
      <c r="CV5" s="363" t="s">
        <v>310</v>
      </c>
      <c r="CW5" s="366" t="s">
        <v>311</v>
      </c>
      <c r="CX5" s="360" t="s">
        <v>259</v>
      </c>
      <c r="CY5" s="100"/>
      <c r="CZ5" s="361" t="s">
        <v>311</v>
      </c>
      <c r="DA5" s="358" t="s">
        <v>312</v>
      </c>
      <c r="DB5" s="358" t="s">
        <v>313</v>
      </c>
      <c r="DC5" s="362" t="s">
        <v>314</v>
      </c>
      <c r="DD5" s="532"/>
      <c r="DE5" s="356" t="s">
        <v>307</v>
      </c>
      <c r="DF5" s="365" t="s">
        <v>308</v>
      </c>
      <c r="DG5" s="363" t="s">
        <v>309</v>
      </c>
      <c r="DH5" s="363" t="s">
        <v>310</v>
      </c>
      <c r="DI5" s="366" t="s">
        <v>311</v>
      </c>
      <c r="DJ5" s="360" t="s">
        <v>259</v>
      </c>
      <c r="DK5" s="100"/>
      <c r="DL5" s="360" t="s">
        <v>311</v>
      </c>
      <c r="DM5" s="363" t="s">
        <v>312</v>
      </c>
      <c r="DN5" s="363" t="s">
        <v>313</v>
      </c>
      <c r="DO5" s="364" t="s">
        <v>314</v>
      </c>
      <c r="DP5" s="532"/>
      <c r="DQ5" s="356" t="s">
        <v>307</v>
      </c>
      <c r="DR5" s="365" t="s">
        <v>308</v>
      </c>
      <c r="DS5" s="363" t="s">
        <v>309</v>
      </c>
      <c r="DT5" s="363" t="s">
        <v>310</v>
      </c>
      <c r="DU5" s="366" t="s">
        <v>311</v>
      </c>
      <c r="DV5" s="360" t="s">
        <v>259</v>
      </c>
      <c r="DW5" s="100"/>
      <c r="DX5" s="360" t="s">
        <v>311</v>
      </c>
      <c r="DY5" s="363" t="s">
        <v>312</v>
      </c>
      <c r="DZ5" s="363" t="s">
        <v>313</v>
      </c>
      <c r="EA5" s="364" t="s">
        <v>314</v>
      </c>
      <c r="EB5" s="532"/>
      <c r="EC5" s="356" t="s">
        <v>307</v>
      </c>
      <c r="ED5" s="365" t="s">
        <v>308</v>
      </c>
      <c r="EE5" s="363" t="s">
        <v>309</v>
      </c>
      <c r="EF5" s="363" t="s">
        <v>310</v>
      </c>
      <c r="EG5" s="366" t="s">
        <v>311</v>
      </c>
      <c r="EH5" s="360" t="s">
        <v>259</v>
      </c>
      <c r="EI5" s="100"/>
      <c r="EJ5" s="360" t="s">
        <v>311</v>
      </c>
      <c r="EK5" s="363" t="s">
        <v>312</v>
      </c>
      <c r="EL5" s="363" t="s">
        <v>313</v>
      </c>
      <c r="EM5" s="364" t="s">
        <v>314</v>
      </c>
      <c r="EN5" s="532"/>
      <c r="EO5" s="356" t="s">
        <v>307</v>
      </c>
      <c r="EP5" s="365" t="s">
        <v>308</v>
      </c>
      <c r="EQ5" s="363" t="s">
        <v>309</v>
      </c>
      <c r="ER5" s="363" t="s">
        <v>310</v>
      </c>
      <c r="ES5" s="366" t="s">
        <v>311</v>
      </c>
      <c r="ET5" s="360" t="s">
        <v>259</v>
      </c>
      <c r="EU5" s="100"/>
      <c r="EV5" s="360" t="s">
        <v>311</v>
      </c>
      <c r="EW5" s="363" t="s">
        <v>312</v>
      </c>
      <c r="EX5" s="363" t="s">
        <v>313</v>
      </c>
      <c r="EY5" s="364" t="s">
        <v>314</v>
      </c>
      <c r="EZ5" s="532"/>
      <c r="FA5" s="356" t="s">
        <v>307</v>
      </c>
      <c r="FB5" s="365" t="s">
        <v>308</v>
      </c>
      <c r="FC5" s="363" t="s">
        <v>309</v>
      </c>
      <c r="FD5" s="363" t="s">
        <v>310</v>
      </c>
      <c r="FE5" s="366" t="s">
        <v>311</v>
      </c>
      <c r="FF5" s="360" t="s">
        <v>259</v>
      </c>
      <c r="FG5" s="100"/>
      <c r="FH5" s="360" t="s">
        <v>311</v>
      </c>
      <c r="FI5" s="363" t="s">
        <v>312</v>
      </c>
      <c r="FJ5" s="363" t="s">
        <v>313</v>
      </c>
      <c r="FK5" s="364" t="s">
        <v>314</v>
      </c>
      <c r="FL5" s="532"/>
      <c r="FM5" s="356" t="s">
        <v>307</v>
      </c>
      <c r="FN5" s="365" t="s">
        <v>308</v>
      </c>
      <c r="FO5" s="363" t="s">
        <v>309</v>
      </c>
      <c r="FP5" s="363" t="s">
        <v>310</v>
      </c>
      <c r="FQ5" s="366" t="s">
        <v>311</v>
      </c>
      <c r="FR5" s="360" t="s">
        <v>259</v>
      </c>
      <c r="FS5" s="100"/>
      <c r="FT5" s="360" t="s">
        <v>311</v>
      </c>
      <c r="FU5" s="363" t="s">
        <v>312</v>
      </c>
      <c r="FV5" s="363" t="s">
        <v>313</v>
      </c>
      <c r="FW5" s="364" t="s">
        <v>314</v>
      </c>
      <c r="FX5" s="532"/>
    </row>
    <row r="6">
      <c r="A6" s="537">
        <v>3.0</v>
      </c>
      <c r="B6" s="539" t="str">
        <f>'Schedule | 1 Division'!B5</f>
        <v>Virtus.pro</v>
      </c>
      <c r="C6" s="538">
        <f t="shared" si="1"/>
        <v>25</v>
      </c>
      <c r="D6" s="33">
        <f t="shared" si="2"/>
        <v>14</v>
      </c>
      <c r="E6" s="30">
        <f t="shared" si="3"/>
        <v>4</v>
      </c>
      <c r="F6" s="30">
        <f t="shared" si="4"/>
        <v>5</v>
      </c>
      <c r="G6" s="30">
        <f t="shared" si="5"/>
        <v>3</v>
      </c>
      <c r="H6" s="433">
        <f t="shared" si="6"/>
        <v>2</v>
      </c>
      <c r="I6" s="33">
        <f t="shared" si="7"/>
        <v>21</v>
      </c>
      <c r="J6" s="30">
        <f t="shared" si="8"/>
        <v>15</v>
      </c>
      <c r="K6" s="433">
        <f t="shared" si="9"/>
        <v>6</v>
      </c>
      <c r="L6" s="540"/>
      <c r="M6" s="371">
        <v>1.0</v>
      </c>
      <c r="N6" s="169" t="s">
        <v>331</v>
      </c>
      <c r="O6" s="368" t="s">
        <v>437</v>
      </c>
      <c r="P6" s="14" t="s">
        <v>418</v>
      </c>
      <c r="Q6" s="171" t="s">
        <v>318</v>
      </c>
      <c r="R6" s="369" t="s">
        <v>320</v>
      </c>
      <c r="S6" s="370" t="s">
        <v>319</v>
      </c>
      <c r="T6" s="14" t="s">
        <v>321</v>
      </c>
      <c r="U6" s="14" t="s">
        <v>401</v>
      </c>
      <c r="V6" s="368" t="s">
        <v>386</v>
      </c>
      <c r="W6" s="171" t="s">
        <v>315</v>
      </c>
      <c r="X6" s="540"/>
      <c r="Y6" s="371">
        <v>1.0</v>
      </c>
      <c r="Z6" s="169" t="s">
        <v>315</v>
      </c>
      <c r="AA6" s="368" t="s">
        <v>356</v>
      </c>
      <c r="AB6" s="14" t="s">
        <v>325</v>
      </c>
      <c r="AC6" s="171" t="s">
        <v>318</v>
      </c>
      <c r="AD6" s="369" t="s">
        <v>319</v>
      </c>
      <c r="AE6" s="370" t="s">
        <v>320</v>
      </c>
      <c r="AF6" s="14" t="s">
        <v>321</v>
      </c>
      <c r="AG6" s="14" t="s">
        <v>352</v>
      </c>
      <c r="AH6" s="234" t="s">
        <v>350</v>
      </c>
      <c r="AI6" s="541" t="s">
        <v>324</v>
      </c>
      <c r="AJ6" s="540"/>
      <c r="AK6" s="371">
        <v>1.0</v>
      </c>
      <c r="AL6" s="169" t="s">
        <v>317</v>
      </c>
      <c r="AM6" s="234" t="s">
        <v>393</v>
      </c>
      <c r="AN6" s="14" t="s">
        <v>483</v>
      </c>
      <c r="AO6" s="171" t="s">
        <v>318</v>
      </c>
      <c r="AP6" s="369" t="s">
        <v>319</v>
      </c>
      <c r="AQ6" s="370" t="s">
        <v>320</v>
      </c>
      <c r="AR6" s="14" t="s">
        <v>321</v>
      </c>
      <c r="AS6" s="14" t="s">
        <v>328</v>
      </c>
      <c r="AT6" s="234" t="s">
        <v>336</v>
      </c>
      <c r="AU6" s="541" t="s">
        <v>324</v>
      </c>
      <c r="AV6" s="540"/>
      <c r="AW6" s="371">
        <v>1.0</v>
      </c>
      <c r="AX6" s="169" t="s">
        <v>334</v>
      </c>
      <c r="AY6" s="232" t="s">
        <v>326</v>
      </c>
      <c r="AZ6" s="14" t="s">
        <v>315</v>
      </c>
      <c r="BA6" s="171" t="s">
        <v>318</v>
      </c>
      <c r="BB6" s="369" t="s">
        <v>319</v>
      </c>
      <c r="BC6" s="370" t="s">
        <v>320</v>
      </c>
      <c r="BD6" s="14" t="s">
        <v>321</v>
      </c>
      <c r="BE6" s="14" t="s">
        <v>369</v>
      </c>
      <c r="BF6" s="234" t="s">
        <v>437</v>
      </c>
      <c r="BG6" s="541" t="s">
        <v>395</v>
      </c>
      <c r="BH6" s="540"/>
      <c r="BI6" s="371">
        <v>1.0</v>
      </c>
      <c r="BJ6" s="169" t="s">
        <v>328</v>
      </c>
      <c r="BK6" s="232" t="s">
        <v>338</v>
      </c>
      <c r="BL6" s="14" t="s">
        <v>434</v>
      </c>
      <c r="BM6" s="171" t="s">
        <v>318</v>
      </c>
      <c r="BN6" s="369" t="s">
        <v>319</v>
      </c>
      <c r="BO6" s="370" t="s">
        <v>320</v>
      </c>
      <c r="BP6" s="14" t="s">
        <v>321</v>
      </c>
      <c r="BQ6" s="14" t="s">
        <v>334</v>
      </c>
      <c r="BR6" s="234" t="s">
        <v>366</v>
      </c>
      <c r="BS6" s="541" t="s">
        <v>327</v>
      </c>
      <c r="BT6" s="540"/>
      <c r="BU6" s="371">
        <v>1.0</v>
      </c>
      <c r="BV6" s="169" t="s">
        <v>325</v>
      </c>
      <c r="BW6" s="242" t="s">
        <v>437</v>
      </c>
      <c r="BX6" s="14" t="s">
        <v>331</v>
      </c>
      <c r="BY6" s="171" t="s">
        <v>318</v>
      </c>
      <c r="BZ6" s="369" t="s">
        <v>320</v>
      </c>
      <c r="CA6" s="370" t="s">
        <v>319</v>
      </c>
      <c r="CB6" s="14" t="s">
        <v>321</v>
      </c>
      <c r="CC6" s="14" t="s">
        <v>412</v>
      </c>
      <c r="CD6" s="234" t="s">
        <v>450</v>
      </c>
      <c r="CE6" s="541" t="s">
        <v>324</v>
      </c>
      <c r="CF6" s="540"/>
      <c r="CG6" s="371">
        <v>1.0</v>
      </c>
      <c r="CH6" s="169" t="s">
        <v>331</v>
      </c>
      <c r="CI6" s="232" t="s">
        <v>336</v>
      </c>
      <c r="CJ6" s="14" t="s">
        <v>328</v>
      </c>
      <c r="CK6" s="171" t="s">
        <v>318</v>
      </c>
      <c r="CL6" s="369" t="s">
        <v>320</v>
      </c>
      <c r="CM6" s="370" t="s">
        <v>319</v>
      </c>
      <c r="CN6" s="14" t="s">
        <v>321</v>
      </c>
      <c r="CO6" s="14" t="s">
        <v>325</v>
      </c>
      <c r="CP6" s="234" t="s">
        <v>450</v>
      </c>
      <c r="CQ6" s="541" t="s">
        <v>317</v>
      </c>
      <c r="CR6" s="540"/>
      <c r="CS6" s="371">
        <v>1.0</v>
      </c>
      <c r="CT6" s="169" t="s">
        <v>328</v>
      </c>
      <c r="CU6" s="368" t="s">
        <v>397</v>
      </c>
      <c r="CV6" s="14" t="s">
        <v>331</v>
      </c>
      <c r="CW6" s="171" t="s">
        <v>318</v>
      </c>
      <c r="CX6" s="369" t="s">
        <v>319</v>
      </c>
      <c r="CY6" s="369" t="s">
        <v>320</v>
      </c>
      <c r="CZ6" s="169" t="s">
        <v>321</v>
      </c>
      <c r="DA6" s="14" t="s">
        <v>395</v>
      </c>
      <c r="DB6" s="234" t="s">
        <v>464</v>
      </c>
      <c r="DC6" s="171" t="s">
        <v>324</v>
      </c>
      <c r="DD6" s="540"/>
      <c r="DE6" s="371">
        <v>1.0</v>
      </c>
      <c r="DF6" s="169" t="s">
        <v>315</v>
      </c>
      <c r="DG6" s="232" t="s">
        <v>383</v>
      </c>
      <c r="DH6" s="14" t="s">
        <v>324</v>
      </c>
      <c r="DI6" s="171" t="s">
        <v>318</v>
      </c>
      <c r="DJ6" s="369" t="s">
        <v>320</v>
      </c>
      <c r="DK6" s="370" t="s">
        <v>319</v>
      </c>
      <c r="DL6" s="14" t="s">
        <v>321</v>
      </c>
      <c r="DM6" s="14" t="s">
        <v>328</v>
      </c>
      <c r="DN6" s="234" t="s">
        <v>393</v>
      </c>
      <c r="DO6" s="541" t="s">
        <v>327</v>
      </c>
      <c r="DP6" s="540"/>
      <c r="DQ6" s="371">
        <v>1.0</v>
      </c>
      <c r="DR6" s="169" t="s">
        <v>315</v>
      </c>
      <c r="DS6" s="242" t="s">
        <v>355</v>
      </c>
      <c r="DT6" s="14" t="s">
        <v>327</v>
      </c>
      <c r="DU6" s="171" t="s">
        <v>318</v>
      </c>
      <c r="DV6" s="369" t="s">
        <v>320</v>
      </c>
      <c r="DW6" s="370" t="s">
        <v>319</v>
      </c>
      <c r="DX6" s="14" t="s">
        <v>321</v>
      </c>
      <c r="DY6" s="14" t="s">
        <v>342</v>
      </c>
      <c r="DZ6" s="368" t="s">
        <v>367</v>
      </c>
      <c r="EA6" s="541" t="s">
        <v>328</v>
      </c>
      <c r="EB6" s="540"/>
      <c r="EC6" s="371">
        <v>1.0</v>
      </c>
      <c r="ED6" s="169" t="s">
        <v>317</v>
      </c>
      <c r="EE6" s="234" t="s">
        <v>393</v>
      </c>
      <c r="EF6" s="14" t="s">
        <v>401</v>
      </c>
      <c r="EG6" s="171" t="s">
        <v>318</v>
      </c>
      <c r="EH6" s="369" t="s">
        <v>320</v>
      </c>
      <c r="EI6" s="370" t="s">
        <v>319</v>
      </c>
      <c r="EJ6" s="14" t="s">
        <v>321</v>
      </c>
      <c r="EK6" s="14" t="s">
        <v>400</v>
      </c>
      <c r="EL6" s="234" t="s">
        <v>450</v>
      </c>
      <c r="EM6" s="541" t="s">
        <v>328</v>
      </c>
      <c r="EN6" s="540"/>
      <c r="EO6" s="371">
        <v>1.0</v>
      </c>
      <c r="EP6" s="169" t="s">
        <v>334</v>
      </c>
      <c r="EQ6" s="234" t="s">
        <v>454</v>
      </c>
      <c r="ER6" s="14" t="s">
        <v>342</v>
      </c>
      <c r="ES6" s="171" t="s">
        <v>318</v>
      </c>
      <c r="ET6" s="369" t="s">
        <v>319</v>
      </c>
      <c r="EU6" s="370" t="s">
        <v>320</v>
      </c>
      <c r="EV6" s="14" t="s">
        <v>321</v>
      </c>
      <c r="EW6" s="14" t="s">
        <v>328</v>
      </c>
      <c r="EX6" s="542" t="s">
        <v>725</v>
      </c>
      <c r="EY6" s="541" t="s">
        <v>324</v>
      </c>
      <c r="EZ6" s="540"/>
      <c r="FA6" s="541">
        <v>1.0</v>
      </c>
      <c r="FB6" s="169" t="s">
        <v>317</v>
      </c>
      <c r="FC6" s="232" t="s">
        <v>326</v>
      </c>
      <c r="FD6" s="14" t="s">
        <v>341</v>
      </c>
      <c r="FE6" s="171" t="s">
        <v>318</v>
      </c>
      <c r="FF6" s="369" t="s">
        <v>320</v>
      </c>
      <c r="FG6" s="370" t="s">
        <v>319</v>
      </c>
      <c r="FH6" s="14" t="s">
        <v>321</v>
      </c>
      <c r="FI6" s="14" t="s">
        <v>369</v>
      </c>
      <c r="FJ6" s="234" t="s">
        <v>449</v>
      </c>
      <c r="FK6" s="541" t="s">
        <v>331</v>
      </c>
      <c r="FL6" s="540"/>
      <c r="FM6" s="371">
        <v>1.0</v>
      </c>
      <c r="FN6" s="169" t="s">
        <v>317</v>
      </c>
      <c r="FO6" s="543" t="s">
        <v>556</v>
      </c>
      <c r="FP6" s="14" t="s">
        <v>324</v>
      </c>
      <c r="FQ6" s="171" t="s">
        <v>318</v>
      </c>
      <c r="FR6" s="369" t="s">
        <v>320</v>
      </c>
      <c r="FS6" s="370" t="s">
        <v>319</v>
      </c>
      <c r="FT6" s="14" t="s">
        <v>321</v>
      </c>
      <c r="FU6" s="14" t="s">
        <v>328</v>
      </c>
      <c r="FV6" s="232" t="s">
        <v>349</v>
      </c>
      <c r="FW6" s="541" t="s">
        <v>331</v>
      </c>
      <c r="FX6" s="540"/>
    </row>
    <row r="7">
      <c r="A7" s="537">
        <v>4.0</v>
      </c>
      <c r="B7" s="538" t="str">
        <f>'Schedule | 1 Division'!B9</f>
        <v>Team Yandex</v>
      </c>
      <c r="C7" s="538">
        <f t="shared" si="1"/>
        <v>24</v>
      </c>
      <c r="D7" s="33">
        <f t="shared" si="2"/>
        <v>14</v>
      </c>
      <c r="E7" s="30">
        <f t="shared" si="3"/>
        <v>6</v>
      </c>
      <c r="F7" s="30">
        <f t="shared" si="4"/>
        <v>2</v>
      </c>
      <c r="G7" s="30">
        <f t="shared" si="5"/>
        <v>2</v>
      </c>
      <c r="H7" s="433">
        <f t="shared" si="6"/>
        <v>4</v>
      </c>
      <c r="I7" s="33">
        <f t="shared" si="7"/>
        <v>18</v>
      </c>
      <c r="J7" s="30">
        <f t="shared" si="8"/>
        <v>14</v>
      </c>
      <c r="K7" s="433">
        <f t="shared" si="9"/>
        <v>4</v>
      </c>
      <c r="L7" s="540"/>
      <c r="M7" s="66"/>
      <c r="N7" s="29" t="s">
        <v>325</v>
      </c>
      <c r="O7" s="372" t="s">
        <v>725</v>
      </c>
      <c r="P7" s="109" t="s">
        <v>384</v>
      </c>
      <c r="Q7" s="92"/>
      <c r="S7" s="92"/>
      <c r="U7" s="109" t="s">
        <v>400</v>
      </c>
      <c r="V7" s="372" t="s">
        <v>356</v>
      </c>
      <c r="W7" s="373" t="s">
        <v>324</v>
      </c>
      <c r="X7" s="540"/>
      <c r="Y7" s="66"/>
      <c r="Z7" s="29" t="s">
        <v>387</v>
      </c>
      <c r="AA7" s="372" t="s">
        <v>340</v>
      </c>
      <c r="AB7" s="109" t="s">
        <v>354</v>
      </c>
      <c r="AC7" s="92"/>
      <c r="AE7" s="92"/>
      <c r="AG7" s="109" t="s">
        <v>19</v>
      </c>
      <c r="AH7" s="242" t="s">
        <v>556</v>
      </c>
      <c r="AI7" s="371" t="s">
        <v>328</v>
      </c>
      <c r="AJ7" s="540"/>
      <c r="AK7" s="66"/>
      <c r="AL7" s="29" t="s">
        <v>327</v>
      </c>
      <c r="AM7" s="242" t="s">
        <v>381</v>
      </c>
      <c r="AN7" s="109" t="s">
        <v>434</v>
      </c>
      <c r="AO7" s="92"/>
      <c r="AQ7" s="92"/>
      <c r="AS7" s="109" t="s">
        <v>369</v>
      </c>
      <c r="AT7" s="242" t="s">
        <v>383</v>
      </c>
      <c r="AU7" s="371" t="s">
        <v>315</v>
      </c>
      <c r="AV7" s="540"/>
      <c r="AW7" s="66"/>
      <c r="AX7" s="29" t="s">
        <v>328</v>
      </c>
      <c r="AY7" s="240" t="s">
        <v>330</v>
      </c>
      <c r="AZ7" s="109" t="s">
        <v>331</v>
      </c>
      <c r="BA7" s="92"/>
      <c r="BC7" s="92"/>
      <c r="BE7" s="109" t="s">
        <v>362</v>
      </c>
      <c r="BF7" s="242" t="s">
        <v>426</v>
      </c>
      <c r="BG7" s="371" t="s">
        <v>324</v>
      </c>
      <c r="BH7" s="540"/>
      <c r="BI7" s="66"/>
      <c r="BJ7" s="29" t="s">
        <v>337</v>
      </c>
      <c r="BK7" s="240" t="s">
        <v>326</v>
      </c>
      <c r="BL7" s="109" t="s">
        <v>315</v>
      </c>
      <c r="BM7" s="92"/>
      <c r="BO7" s="92"/>
      <c r="BQ7" s="109" t="s">
        <v>369</v>
      </c>
      <c r="BR7" s="242" t="s">
        <v>383</v>
      </c>
      <c r="BS7" s="371" t="s">
        <v>324</v>
      </c>
      <c r="BT7" s="540"/>
      <c r="BU7" s="66"/>
      <c r="BV7" s="29" t="s">
        <v>317</v>
      </c>
      <c r="BW7" s="242" t="s">
        <v>442</v>
      </c>
      <c r="BX7" s="109" t="s">
        <v>343</v>
      </c>
      <c r="BY7" s="92"/>
      <c r="CA7" s="92"/>
      <c r="CC7" s="109" t="s">
        <v>369</v>
      </c>
      <c r="CD7" s="242" t="s">
        <v>449</v>
      </c>
      <c r="CE7" s="371" t="s">
        <v>328</v>
      </c>
      <c r="CF7" s="540"/>
      <c r="CG7" s="66"/>
      <c r="CH7" s="29" t="s">
        <v>369</v>
      </c>
      <c r="CI7" s="240" t="s">
        <v>353</v>
      </c>
      <c r="CJ7" s="109" t="s">
        <v>408</v>
      </c>
      <c r="CK7" s="92"/>
      <c r="CM7" s="92"/>
      <c r="CO7" s="109" t="s">
        <v>389</v>
      </c>
      <c r="CP7" s="242" t="s">
        <v>449</v>
      </c>
      <c r="CQ7" s="371" t="s">
        <v>324</v>
      </c>
      <c r="CR7" s="540"/>
      <c r="CS7" s="66"/>
      <c r="CT7" s="29" t="s">
        <v>337</v>
      </c>
      <c r="CU7" s="372" t="s">
        <v>340</v>
      </c>
      <c r="CV7" s="109" t="s">
        <v>373</v>
      </c>
      <c r="CW7" s="92"/>
      <c r="CZ7" s="55"/>
      <c r="DA7" s="109" t="s">
        <v>400</v>
      </c>
      <c r="DB7" s="242" t="s">
        <v>576</v>
      </c>
      <c r="DC7" s="373" t="s">
        <v>342</v>
      </c>
      <c r="DD7" s="540"/>
      <c r="DE7" s="66"/>
      <c r="DF7" s="29" t="s">
        <v>331</v>
      </c>
      <c r="DG7" s="240" t="s">
        <v>366</v>
      </c>
      <c r="DH7" s="109" t="s">
        <v>343</v>
      </c>
      <c r="DI7" s="92"/>
      <c r="DK7" s="92"/>
      <c r="DM7" s="109" t="s">
        <v>342</v>
      </c>
      <c r="DN7" s="242" t="s">
        <v>351</v>
      </c>
      <c r="DO7" s="371" t="s">
        <v>317</v>
      </c>
      <c r="DP7" s="540"/>
      <c r="DQ7" s="66"/>
      <c r="DR7" s="29" t="s">
        <v>325</v>
      </c>
      <c r="DS7" s="242" t="s">
        <v>350</v>
      </c>
      <c r="DT7" s="109" t="s">
        <v>337</v>
      </c>
      <c r="DU7" s="92"/>
      <c r="DW7" s="92"/>
      <c r="DY7" s="109" t="s">
        <v>331</v>
      </c>
      <c r="DZ7" s="372" t="s">
        <v>356</v>
      </c>
      <c r="EA7" s="371" t="s">
        <v>317</v>
      </c>
      <c r="EB7" s="540"/>
      <c r="EC7" s="66"/>
      <c r="ED7" s="29" t="s">
        <v>337</v>
      </c>
      <c r="EE7" s="242" t="s">
        <v>351</v>
      </c>
      <c r="EF7" s="109" t="s">
        <v>346</v>
      </c>
      <c r="EG7" s="92"/>
      <c r="EI7" s="92"/>
      <c r="EK7" s="109" t="s">
        <v>352</v>
      </c>
      <c r="EL7" s="242" t="s">
        <v>454</v>
      </c>
      <c r="EM7" s="371" t="s">
        <v>324</v>
      </c>
      <c r="EN7" s="540"/>
      <c r="EO7" s="66"/>
      <c r="EP7" s="29" t="s">
        <v>315</v>
      </c>
      <c r="EQ7" s="242" t="s">
        <v>450</v>
      </c>
      <c r="ER7" s="109" t="s">
        <v>331</v>
      </c>
      <c r="ES7" s="92"/>
      <c r="EU7" s="92"/>
      <c r="EW7" s="109" t="s">
        <v>337</v>
      </c>
      <c r="EX7" s="242" t="s">
        <v>422</v>
      </c>
      <c r="EY7" s="371" t="s">
        <v>325</v>
      </c>
      <c r="EZ7" s="540"/>
      <c r="FA7" s="66"/>
      <c r="FB7" s="29" t="s">
        <v>315</v>
      </c>
      <c r="FC7" s="240" t="s">
        <v>330</v>
      </c>
      <c r="FD7" s="109" t="s">
        <v>343</v>
      </c>
      <c r="FE7" s="92"/>
      <c r="FG7" s="92"/>
      <c r="FI7" s="109" t="s">
        <v>325</v>
      </c>
      <c r="FJ7" s="242" t="s">
        <v>450</v>
      </c>
      <c r="FK7" s="371" t="s">
        <v>324</v>
      </c>
      <c r="FL7" s="540"/>
      <c r="FM7" s="66"/>
      <c r="FN7" s="29" t="s">
        <v>315</v>
      </c>
      <c r="FO7" s="543" t="s">
        <v>726</v>
      </c>
      <c r="FP7" s="109" t="s">
        <v>343</v>
      </c>
      <c r="FQ7" s="92"/>
      <c r="FS7" s="92"/>
      <c r="FU7" s="109" t="s">
        <v>342</v>
      </c>
      <c r="FV7" s="240" t="s">
        <v>378</v>
      </c>
      <c r="FW7" s="371" t="s">
        <v>327</v>
      </c>
      <c r="FX7" s="540"/>
    </row>
    <row r="8">
      <c r="A8" s="537">
        <v>5.0</v>
      </c>
      <c r="B8" s="538" t="str">
        <f>'Schedule | 1 Division'!B7</f>
        <v>FORZE</v>
      </c>
      <c r="C8" s="538">
        <f t="shared" si="1"/>
        <v>21</v>
      </c>
      <c r="D8" s="33">
        <f t="shared" si="2"/>
        <v>14</v>
      </c>
      <c r="E8" s="30">
        <f t="shared" si="3"/>
        <v>4</v>
      </c>
      <c r="F8" s="30">
        <f t="shared" si="4"/>
        <v>3</v>
      </c>
      <c r="G8" s="30">
        <f t="shared" si="5"/>
        <v>3</v>
      </c>
      <c r="H8" s="433">
        <f t="shared" si="6"/>
        <v>4</v>
      </c>
      <c r="I8" s="33">
        <f t="shared" si="7"/>
        <v>17</v>
      </c>
      <c r="J8" s="30">
        <f t="shared" si="8"/>
        <v>17</v>
      </c>
      <c r="K8" s="433">
        <f t="shared" si="9"/>
        <v>0</v>
      </c>
      <c r="L8" s="540"/>
      <c r="M8" s="66"/>
      <c r="N8" s="29" t="s">
        <v>352</v>
      </c>
      <c r="O8" s="372" t="s">
        <v>442</v>
      </c>
      <c r="P8" s="109" t="s">
        <v>334</v>
      </c>
      <c r="Q8" s="92"/>
      <c r="S8" s="92"/>
      <c r="U8" s="109" t="s">
        <v>342</v>
      </c>
      <c r="V8" s="372" t="s">
        <v>367</v>
      </c>
      <c r="W8" s="373" t="s">
        <v>369</v>
      </c>
      <c r="X8" s="540"/>
      <c r="Y8" s="66"/>
      <c r="Z8" s="29" t="s">
        <v>317</v>
      </c>
      <c r="AA8" s="372" t="s">
        <v>397</v>
      </c>
      <c r="AB8" s="109" t="s">
        <v>361</v>
      </c>
      <c r="AC8" s="92"/>
      <c r="AE8" s="92"/>
      <c r="AG8" s="109" t="s">
        <v>334</v>
      </c>
      <c r="AH8" s="242" t="s">
        <v>727</v>
      </c>
      <c r="AI8" s="371" t="s">
        <v>331</v>
      </c>
      <c r="AJ8" s="540"/>
      <c r="AK8" s="66"/>
      <c r="AL8" s="29" t="s">
        <v>337</v>
      </c>
      <c r="AM8" s="242" t="s">
        <v>365</v>
      </c>
      <c r="AN8" s="109" t="s">
        <v>373</v>
      </c>
      <c r="AO8" s="92"/>
      <c r="AQ8" s="92"/>
      <c r="AS8" s="109" t="s">
        <v>334</v>
      </c>
      <c r="AT8" s="242" t="s">
        <v>366</v>
      </c>
      <c r="AU8" s="371" t="s">
        <v>342</v>
      </c>
      <c r="AV8" s="540"/>
      <c r="AW8" s="66"/>
      <c r="AX8" s="29" t="s">
        <v>368</v>
      </c>
      <c r="AY8" s="240" t="s">
        <v>338</v>
      </c>
      <c r="AZ8" s="109" t="s">
        <v>399</v>
      </c>
      <c r="BA8" s="92"/>
      <c r="BC8" s="92"/>
      <c r="BE8" s="109" t="s">
        <v>317</v>
      </c>
      <c r="BF8" s="242" t="s">
        <v>442</v>
      </c>
      <c r="BG8" s="371" t="s">
        <v>342</v>
      </c>
      <c r="BH8" s="540"/>
      <c r="BI8" s="66"/>
      <c r="BJ8" s="29" t="s">
        <v>317</v>
      </c>
      <c r="BK8" s="240" t="s">
        <v>330</v>
      </c>
      <c r="BL8" s="109" t="s">
        <v>331</v>
      </c>
      <c r="BM8" s="92"/>
      <c r="BO8" s="92"/>
      <c r="BQ8" s="109" t="s">
        <v>384</v>
      </c>
      <c r="BR8" s="242" t="s">
        <v>336</v>
      </c>
      <c r="BS8" s="371" t="s">
        <v>342</v>
      </c>
      <c r="BT8" s="540"/>
      <c r="BU8" s="66"/>
      <c r="BV8" s="29" t="s">
        <v>342</v>
      </c>
      <c r="BW8" s="242" t="s">
        <v>426</v>
      </c>
      <c r="BX8" s="109" t="s">
        <v>348</v>
      </c>
      <c r="BY8" s="92"/>
      <c r="CA8" s="92"/>
      <c r="CC8" s="109" t="s">
        <v>405</v>
      </c>
      <c r="CD8" s="242" t="s">
        <v>454</v>
      </c>
      <c r="CE8" s="371" t="s">
        <v>327</v>
      </c>
      <c r="CF8" s="540"/>
      <c r="CG8" s="66"/>
      <c r="CH8" s="29" t="s">
        <v>337</v>
      </c>
      <c r="CI8" s="240" t="s">
        <v>366</v>
      </c>
      <c r="CJ8" s="109" t="s">
        <v>400</v>
      </c>
      <c r="CK8" s="92"/>
      <c r="CM8" s="92"/>
      <c r="CO8" s="109" t="s">
        <v>346</v>
      </c>
      <c r="CP8" s="242" t="s">
        <v>454</v>
      </c>
      <c r="CQ8" s="371" t="s">
        <v>342</v>
      </c>
      <c r="CR8" s="540"/>
      <c r="CS8" s="66"/>
      <c r="CT8" s="29" t="s">
        <v>19</v>
      </c>
      <c r="CU8" s="372" t="s">
        <v>367</v>
      </c>
      <c r="CV8" s="109" t="s">
        <v>352</v>
      </c>
      <c r="CW8" s="92"/>
      <c r="CZ8" s="55"/>
      <c r="DA8" s="109" t="s">
        <v>387</v>
      </c>
      <c r="DB8" s="242" t="s">
        <v>468</v>
      </c>
      <c r="DC8" s="373" t="s">
        <v>327</v>
      </c>
      <c r="DD8" s="540"/>
      <c r="DE8" s="66"/>
      <c r="DF8" s="29" t="s">
        <v>325</v>
      </c>
      <c r="DG8" s="240" t="s">
        <v>336</v>
      </c>
      <c r="DH8" s="109" t="s">
        <v>377</v>
      </c>
      <c r="DI8" s="92"/>
      <c r="DK8" s="92"/>
      <c r="DM8" s="109" t="s">
        <v>412</v>
      </c>
      <c r="DN8" s="242" t="s">
        <v>335</v>
      </c>
      <c r="DO8" s="371" t="s">
        <v>400</v>
      </c>
      <c r="DP8" s="540"/>
      <c r="DQ8" s="66"/>
      <c r="DR8" s="29" t="s">
        <v>324</v>
      </c>
      <c r="DS8" s="242" t="s">
        <v>556</v>
      </c>
      <c r="DT8" s="109" t="s">
        <v>19</v>
      </c>
      <c r="DU8" s="92"/>
      <c r="DW8" s="92"/>
      <c r="DY8" s="109" t="s">
        <v>377</v>
      </c>
      <c r="DZ8" s="372" t="s">
        <v>386</v>
      </c>
      <c r="EA8" s="371" t="s">
        <v>322</v>
      </c>
      <c r="EB8" s="540"/>
      <c r="EC8" s="66"/>
      <c r="ED8" s="29" t="s">
        <v>331</v>
      </c>
      <c r="EE8" s="242" t="s">
        <v>335</v>
      </c>
      <c r="EF8" s="109" t="s">
        <v>325</v>
      </c>
      <c r="EG8" s="92"/>
      <c r="EI8" s="92"/>
      <c r="EK8" s="109" t="s">
        <v>377</v>
      </c>
      <c r="EL8" s="242" t="s">
        <v>452</v>
      </c>
      <c r="EM8" s="371" t="s">
        <v>342</v>
      </c>
      <c r="EN8" s="540"/>
      <c r="EO8" s="66"/>
      <c r="EP8" s="29" t="s">
        <v>327</v>
      </c>
      <c r="EQ8" s="242" t="s">
        <v>452</v>
      </c>
      <c r="ER8" s="109" t="s">
        <v>377</v>
      </c>
      <c r="ES8" s="92"/>
      <c r="EU8" s="92"/>
      <c r="EW8" s="109" t="s">
        <v>343</v>
      </c>
      <c r="EX8" s="242" t="s">
        <v>442</v>
      </c>
      <c r="EY8" s="371" t="s">
        <v>400</v>
      </c>
      <c r="EZ8" s="540"/>
      <c r="FA8" s="66"/>
      <c r="FB8" s="29" t="s">
        <v>337</v>
      </c>
      <c r="FC8" s="240" t="s">
        <v>349</v>
      </c>
      <c r="FD8" s="109" t="s">
        <v>328</v>
      </c>
      <c r="FE8" s="92"/>
      <c r="FG8" s="92"/>
      <c r="FI8" s="109" t="s">
        <v>373</v>
      </c>
      <c r="FJ8" s="242" t="s">
        <v>448</v>
      </c>
      <c r="FK8" s="371" t="s">
        <v>342</v>
      </c>
      <c r="FL8" s="540"/>
      <c r="FM8" s="66"/>
      <c r="FN8" s="29" t="s">
        <v>337</v>
      </c>
      <c r="FO8" s="543" t="s">
        <v>339</v>
      </c>
      <c r="FP8" s="109" t="s">
        <v>728</v>
      </c>
      <c r="FQ8" s="92"/>
      <c r="FS8" s="92"/>
      <c r="FU8" s="109" t="s">
        <v>334</v>
      </c>
      <c r="FV8" s="240" t="s">
        <v>330</v>
      </c>
      <c r="FW8" s="371" t="s">
        <v>377</v>
      </c>
      <c r="FX8" s="540"/>
    </row>
    <row r="9">
      <c r="A9" s="537">
        <v>6.0</v>
      </c>
      <c r="B9" s="538" t="str">
        <f>'Schedule | 1 Division'!B8</f>
        <v>CYBERHERO</v>
      </c>
      <c r="C9" s="538">
        <f t="shared" si="1"/>
        <v>11</v>
      </c>
      <c r="D9" s="33">
        <f t="shared" si="2"/>
        <v>14</v>
      </c>
      <c r="E9" s="30">
        <f t="shared" si="3"/>
        <v>3</v>
      </c>
      <c r="F9" s="30">
        <f t="shared" si="4"/>
        <v>1</v>
      </c>
      <c r="G9" s="30">
        <f t="shared" si="5"/>
        <v>0</v>
      </c>
      <c r="H9" s="433">
        <f t="shared" si="6"/>
        <v>10</v>
      </c>
      <c r="I9" s="33">
        <f t="shared" si="7"/>
        <v>8</v>
      </c>
      <c r="J9" s="30">
        <f t="shared" si="8"/>
        <v>21</v>
      </c>
      <c r="K9" s="433">
        <f t="shared" si="9"/>
        <v>-13</v>
      </c>
      <c r="L9" s="540"/>
      <c r="M9" s="66"/>
      <c r="N9" s="29" t="s">
        <v>322</v>
      </c>
      <c r="O9" s="372" t="s">
        <v>422</v>
      </c>
      <c r="P9" s="109" t="s">
        <v>337</v>
      </c>
      <c r="Q9" s="92"/>
      <c r="S9" s="92"/>
      <c r="U9" s="109" t="s">
        <v>399</v>
      </c>
      <c r="V9" s="372" t="s">
        <v>397</v>
      </c>
      <c r="W9" s="373" t="s">
        <v>377</v>
      </c>
      <c r="X9" s="540"/>
      <c r="Y9" s="66"/>
      <c r="Z9" s="29" t="s">
        <v>337</v>
      </c>
      <c r="AA9" s="372" t="s">
        <v>386</v>
      </c>
      <c r="AB9" s="109" t="s">
        <v>483</v>
      </c>
      <c r="AC9" s="92"/>
      <c r="AE9" s="92"/>
      <c r="AG9" s="109" t="s">
        <v>414</v>
      </c>
      <c r="AH9" s="242" t="s">
        <v>729</v>
      </c>
      <c r="AI9" s="371" t="s">
        <v>401</v>
      </c>
      <c r="AJ9" s="540"/>
      <c r="AK9" s="66"/>
      <c r="AL9" s="29" t="s">
        <v>374</v>
      </c>
      <c r="AM9" s="242" t="s">
        <v>335</v>
      </c>
      <c r="AN9" s="109" t="s">
        <v>331</v>
      </c>
      <c r="AO9" s="92"/>
      <c r="AQ9" s="92"/>
      <c r="AS9" s="109" t="s">
        <v>352</v>
      </c>
      <c r="AT9" s="242" t="s">
        <v>339</v>
      </c>
      <c r="AU9" s="371" t="s">
        <v>401</v>
      </c>
      <c r="AV9" s="540"/>
      <c r="AW9" s="66"/>
      <c r="AX9" s="29" t="s">
        <v>348</v>
      </c>
      <c r="AY9" s="240" t="s">
        <v>349</v>
      </c>
      <c r="AZ9" s="109" t="s">
        <v>377</v>
      </c>
      <c r="BA9" s="92"/>
      <c r="BC9" s="92"/>
      <c r="BE9" s="109" t="s">
        <v>352</v>
      </c>
      <c r="BF9" s="242" t="s">
        <v>422</v>
      </c>
      <c r="BG9" s="371" t="s">
        <v>322</v>
      </c>
      <c r="BH9" s="540"/>
      <c r="BI9" s="66"/>
      <c r="BJ9" s="29" t="s">
        <v>348</v>
      </c>
      <c r="BK9" s="240" t="s">
        <v>378</v>
      </c>
      <c r="BL9" s="109" t="s">
        <v>385</v>
      </c>
      <c r="BM9" s="92"/>
      <c r="BO9" s="92"/>
      <c r="BQ9" s="109" t="s">
        <v>352</v>
      </c>
      <c r="BR9" s="242" t="s">
        <v>394</v>
      </c>
      <c r="BS9" s="371" t="s">
        <v>379</v>
      </c>
      <c r="BT9" s="540"/>
      <c r="BU9" s="66"/>
      <c r="BV9" s="29" t="s">
        <v>400</v>
      </c>
      <c r="BW9" s="242" t="s">
        <v>725</v>
      </c>
      <c r="BX9" s="109" t="s">
        <v>377</v>
      </c>
      <c r="BY9" s="92"/>
      <c r="CA9" s="92"/>
      <c r="CC9" s="109" t="s">
        <v>401</v>
      </c>
      <c r="CD9" s="242" t="s">
        <v>452</v>
      </c>
      <c r="CE9" s="371" t="s">
        <v>352</v>
      </c>
      <c r="CF9" s="540"/>
      <c r="CG9" s="66"/>
      <c r="CH9" s="29" t="s">
        <v>405</v>
      </c>
      <c r="CI9" s="240" t="s">
        <v>394</v>
      </c>
      <c r="CJ9" s="109" t="s">
        <v>387</v>
      </c>
      <c r="CK9" s="92"/>
      <c r="CM9" s="92"/>
      <c r="CO9" s="109" t="s">
        <v>401</v>
      </c>
      <c r="CP9" s="242" t="s">
        <v>452</v>
      </c>
      <c r="CQ9" s="371" t="s">
        <v>19</v>
      </c>
      <c r="CR9" s="540"/>
      <c r="CS9" s="66"/>
      <c r="CT9" s="29" t="s">
        <v>377</v>
      </c>
      <c r="CU9" s="372" t="s">
        <v>386</v>
      </c>
      <c r="CV9" s="109" t="s">
        <v>401</v>
      </c>
      <c r="CW9" s="92"/>
      <c r="CZ9" s="55"/>
      <c r="DA9" s="109" t="s">
        <v>348</v>
      </c>
      <c r="DB9" s="242" t="s">
        <v>458</v>
      </c>
      <c r="DC9" s="373" t="s">
        <v>369</v>
      </c>
      <c r="DD9" s="540"/>
      <c r="DE9" s="66"/>
      <c r="DF9" s="29" t="s">
        <v>322</v>
      </c>
      <c r="DG9" s="240" t="s">
        <v>353</v>
      </c>
      <c r="DH9" s="109" t="s">
        <v>348</v>
      </c>
      <c r="DI9" s="92"/>
      <c r="DK9" s="92"/>
      <c r="DM9" s="109" t="s">
        <v>361</v>
      </c>
      <c r="DN9" s="242" t="s">
        <v>381</v>
      </c>
      <c r="DO9" s="371" t="s">
        <v>387</v>
      </c>
      <c r="DP9" s="540"/>
      <c r="DQ9" s="66"/>
      <c r="DR9" s="29" t="s">
        <v>382</v>
      </c>
      <c r="DS9" s="242" t="s">
        <v>727</v>
      </c>
      <c r="DT9" s="109" t="s">
        <v>400</v>
      </c>
      <c r="DU9" s="92"/>
      <c r="DW9" s="92"/>
      <c r="DY9" s="109" t="s">
        <v>341</v>
      </c>
      <c r="DZ9" s="372" t="s">
        <v>340</v>
      </c>
      <c r="EA9" s="371" t="s">
        <v>380</v>
      </c>
      <c r="EB9" s="540"/>
      <c r="EC9" s="66"/>
      <c r="ED9" s="29" t="s">
        <v>348</v>
      </c>
      <c r="EE9" s="242" t="s">
        <v>381</v>
      </c>
      <c r="EF9" s="109" t="s">
        <v>399</v>
      </c>
      <c r="EG9" s="92"/>
      <c r="EI9" s="92"/>
      <c r="EK9" s="109" t="s">
        <v>382</v>
      </c>
      <c r="EL9" s="242" t="s">
        <v>449</v>
      </c>
      <c r="EM9" s="371" t="s">
        <v>395</v>
      </c>
      <c r="EN9" s="540"/>
      <c r="EO9" s="66"/>
      <c r="EP9" s="29" t="s">
        <v>19</v>
      </c>
      <c r="EQ9" s="242" t="s">
        <v>449</v>
      </c>
      <c r="ER9" s="109" t="s">
        <v>396</v>
      </c>
      <c r="ES9" s="92"/>
      <c r="EU9" s="92"/>
      <c r="EW9" s="109" t="s">
        <v>418</v>
      </c>
      <c r="EX9" s="242" t="s">
        <v>437</v>
      </c>
      <c r="EY9" s="544" t="s">
        <v>361</v>
      </c>
      <c r="EZ9" s="540"/>
      <c r="FA9" s="66"/>
      <c r="FB9" s="29" t="s">
        <v>414</v>
      </c>
      <c r="FC9" s="240" t="s">
        <v>378</v>
      </c>
      <c r="FD9" s="109" t="s">
        <v>443</v>
      </c>
      <c r="FE9" s="92"/>
      <c r="FG9" s="92"/>
      <c r="FI9" s="109" t="s">
        <v>377</v>
      </c>
      <c r="FJ9" s="242" t="s">
        <v>452</v>
      </c>
      <c r="FK9" s="371" t="s">
        <v>352</v>
      </c>
      <c r="FL9" s="540"/>
      <c r="FM9" s="66"/>
      <c r="FN9" s="29" t="s">
        <v>382</v>
      </c>
      <c r="FO9" s="543" t="s">
        <v>350</v>
      </c>
      <c r="FP9" s="109" t="s">
        <v>346</v>
      </c>
      <c r="FQ9" s="92"/>
      <c r="FS9" s="92"/>
      <c r="FU9" s="109" t="s">
        <v>389</v>
      </c>
      <c r="FV9" s="240" t="s">
        <v>338</v>
      </c>
      <c r="FW9" s="371" t="s">
        <v>414</v>
      </c>
      <c r="FX9" s="540"/>
    </row>
    <row r="10">
      <c r="A10" s="537">
        <v>7.0</v>
      </c>
      <c r="B10" s="545" t="str">
        <f>'Schedule | 1 Division'!B4</f>
        <v>Magic</v>
      </c>
      <c r="C10" s="538">
        <f t="shared" si="1"/>
        <v>9</v>
      </c>
      <c r="D10" s="33">
        <f t="shared" si="2"/>
        <v>14</v>
      </c>
      <c r="E10" s="30">
        <f t="shared" si="3"/>
        <v>2</v>
      </c>
      <c r="F10" s="30">
        <f t="shared" si="4"/>
        <v>0</v>
      </c>
      <c r="G10" s="30">
        <f t="shared" si="5"/>
        <v>3</v>
      </c>
      <c r="H10" s="433">
        <f t="shared" si="6"/>
        <v>9</v>
      </c>
      <c r="I10" s="33">
        <f t="shared" si="7"/>
        <v>7</v>
      </c>
      <c r="J10" s="30">
        <f t="shared" si="8"/>
        <v>24</v>
      </c>
      <c r="K10" s="433">
        <f t="shared" si="9"/>
        <v>-17</v>
      </c>
      <c r="L10" s="540"/>
      <c r="M10" s="66"/>
      <c r="N10" s="29" t="s">
        <v>361</v>
      </c>
      <c r="O10" s="372" t="s">
        <v>459</v>
      </c>
      <c r="P10" s="109" t="s">
        <v>373</v>
      </c>
      <c r="Q10" s="92"/>
      <c r="R10" s="374"/>
      <c r="S10" s="375"/>
      <c r="T10" s="374"/>
      <c r="U10" s="109" t="s">
        <v>327</v>
      </c>
      <c r="V10" s="372" t="s">
        <v>340</v>
      </c>
      <c r="W10" s="373" t="s">
        <v>396</v>
      </c>
      <c r="X10" s="540"/>
      <c r="Y10" s="66"/>
      <c r="Z10" s="29" t="s">
        <v>369</v>
      </c>
      <c r="AA10" s="372" t="s">
        <v>367</v>
      </c>
      <c r="AB10" s="109" t="s">
        <v>342</v>
      </c>
      <c r="AC10" s="92"/>
      <c r="AD10" s="374"/>
      <c r="AE10" s="375"/>
      <c r="AF10" s="374"/>
      <c r="AG10" s="109" t="s">
        <v>327</v>
      </c>
      <c r="AH10" s="242" t="s">
        <v>355</v>
      </c>
      <c r="AI10" s="371" t="s">
        <v>352</v>
      </c>
      <c r="AJ10" s="540"/>
      <c r="AK10" s="66"/>
      <c r="AL10" s="29" t="s">
        <v>470</v>
      </c>
      <c r="AM10" s="242" t="s">
        <v>351</v>
      </c>
      <c r="AN10" s="109" t="s">
        <v>379</v>
      </c>
      <c r="AO10" s="92"/>
      <c r="AP10" s="374"/>
      <c r="AQ10" s="375"/>
      <c r="AR10" s="374"/>
      <c r="AS10" s="109" t="s">
        <v>348</v>
      </c>
      <c r="AT10" s="242" t="s">
        <v>353</v>
      </c>
      <c r="AU10" s="371" t="s">
        <v>405</v>
      </c>
      <c r="AV10" s="540"/>
      <c r="AW10" s="66"/>
      <c r="AX10" s="29" t="s">
        <v>483</v>
      </c>
      <c r="AY10" s="240" t="s">
        <v>563</v>
      </c>
      <c r="AZ10" s="109" t="s">
        <v>379</v>
      </c>
      <c r="BA10" s="92"/>
      <c r="BB10" s="374"/>
      <c r="BC10" s="375"/>
      <c r="BD10" s="374"/>
      <c r="BE10" s="109" t="s">
        <v>384</v>
      </c>
      <c r="BF10" s="242" t="s">
        <v>725</v>
      </c>
      <c r="BG10" s="371" t="s">
        <v>327</v>
      </c>
      <c r="BH10" s="540"/>
      <c r="BI10" s="66"/>
      <c r="BJ10" s="29" t="s">
        <v>19</v>
      </c>
      <c r="BK10" s="240" t="s">
        <v>349</v>
      </c>
      <c r="BL10" s="109" t="s">
        <v>401</v>
      </c>
      <c r="BM10" s="92"/>
      <c r="BN10" s="374"/>
      <c r="BO10" s="375"/>
      <c r="BP10" s="374"/>
      <c r="BQ10" s="109" t="s">
        <v>392</v>
      </c>
      <c r="BR10" s="242" t="s">
        <v>353</v>
      </c>
      <c r="BS10" s="371" t="s">
        <v>399</v>
      </c>
      <c r="BT10" s="540"/>
      <c r="BU10" s="66"/>
      <c r="BV10" s="29" t="s">
        <v>403</v>
      </c>
      <c r="BW10" s="391" t="s">
        <v>422</v>
      </c>
      <c r="BX10" s="109" t="s">
        <v>404</v>
      </c>
      <c r="BY10" s="92"/>
      <c r="BZ10" s="374"/>
      <c r="CA10" s="375"/>
      <c r="CB10" s="374"/>
      <c r="CC10" s="109" t="s">
        <v>392</v>
      </c>
      <c r="CD10" s="242" t="s">
        <v>448</v>
      </c>
      <c r="CE10" s="371" t="s">
        <v>387</v>
      </c>
      <c r="CF10" s="540"/>
      <c r="CG10" s="66"/>
      <c r="CH10" s="29" t="s">
        <v>322</v>
      </c>
      <c r="CI10" s="240" t="s">
        <v>383</v>
      </c>
      <c r="CJ10" s="109" t="s">
        <v>361</v>
      </c>
      <c r="CK10" s="92"/>
      <c r="CL10" s="374"/>
      <c r="CM10" s="375"/>
      <c r="CN10" s="374"/>
      <c r="CO10" s="109" t="s">
        <v>315</v>
      </c>
      <c r="CP10" s="242" t="s">
        <v>448</v>
      </c>
      <c r="CQ10" s="371" t="s">
        <v>352</v>
      </c>
      <c r="CR10" s="540"/>
      <c r="CS10" s="66"/>
      <c r="CT10" s="29" t="s">
        <v>418</v>
      </c>
      <c r="CU10" s="372" t="s">
        <v>397</v>
      </c>
      <c r="CV10" s="109" t="s">
        <v>730</v>
      </c>
      <c r="CW10" s="92"/>
      <c r="CX10" s="374"/>
      <c r="CY10" s="374"/>
      <c r="CZ10" s="55"/>
      <c r="DA10" s="109" t="s">
        <v>375</v>
      </c>
      <c r="DB10" s="242" t="s">
        <v>462</v>
      </c>
      <c r="DC10" s="373" t="s">
        <v>361</v>
      </c>
      <c r="DD10" s="540"/>
      <c r="DE10" s="66"/>
      <c r="DF10" s="29" t="s">
        <v>19</v>
      </c>
      <c r="DG10" s="240" t="s">
        <v>394</v>
      </c>
      <c r="DH10" s="109" t="s">
        <v>405</v>
      </c>
      <c r="DI10" s="92"/>
      <c r="DJ10" s="374"/>
      <c r="DK10" s="375"/>
      <c r="DL10" s="374"/>
      <c r="DM10" s="109" t="s">
        <v>368</v>
      </c>
      <c r="DN10" s="242" t="s">
        <v>365</v>
      </c>
      <c r="DO10" s="371" t="s">
        <v>337</v>
      </c>
      <c r="DP10" s="540"/>
      <c r="DQ10" s="66"/>
      <c r="DR10" s="29" t="s">
        <v>354</v>
      </c>
      <c r="DS10" s="391" t="s">
        <v>339</v>
      </c>
      <c r="DT10" s="109" t="s">
        <v>401</v>
      </c>
      <c r="DU10" s="92"/>
      <c r="DV10" s="374"/>
      <c r="DW10" s="375"/>
      <c r="DX10" s="374"/>
      <c r="DY10" s="109" t="s">
        <v>410</v>
      </c>
      <c r="DZ10" s="372" t="s">
        <v>397</v>
      </c>
      <c r="EA10" s="371" t="s">
        <v>334</v>
      </c>
      <c r="EB10" s="540"/>
      <c r="EC10" s="66"/>
      <c r="ED10" s="29" t="s">
        <v>374</v>
      </c>
      <c r="EE10" s="242" t="s">
        <v>365</v>
      </c>
      <c r="EF10" s="109" t="s">
        <v>315</v>
      </c>
      <c r="EG10" s="92"/>
      <c r="EH10" s="374"/>
      <c r="EI10" s="375"/>
      <c r="EJ10" s="374"/>
      <c r="EK10" s="109" t="s">
        <v>408</v>
      </c>
      <c r="EL10" s="242" t="s">
        <v>448</v>
      </c>
      <c r="EM10" s="371" t="s">
        <v>376</v>
      </c>
      <c r="EN10" s="540"/>
      <c r="EO10" s="66"/>
      <c r="EP10" s="29" t="s">
        <v>348</v>
      </c>
      <c r="EQ10" s="242" t="s">
        <v>448</v>
      </c>
      <c r="ER10" s="109" t="s">
        <v>341</v>
      </c>
      <c r="ES10" s="92"/>
      <c r="ET10" s="374"/>
      <c r="EU10" s="375"/>
      <c r="EV10" s="374"/>
      <c r="EW10" s="109" t="s">
        <v>368</v>
      </c>
      <c r="EX10" s="391" t="s">
        <v>426</v>
      </c>
      <c r="EY10" s="544" t="s">
        <v>332</v>
      </c>
      <c r="EZ10" s="540"/>
      <c r="FA10" s="66"/>
      <c r="FB10" s="29" t="s">
        <v>346</v>
      </c>
      <c r="FC10" s="240" t="s">
        <v>338</v>
      </c>
      <c r="FD10" s="109" t="s">
        <v>19</v>
      </c>
      <c r="FE10" s="92"/>
      <c r="FF10" s="374"/>
      <c r="FG10" s="375"/>
      <c r="FH10" s="374"/>
      <c r="FI10" s="109" t="s">
        <v>405</v>
      </c>
      <c r="FJ10" s="242" t="s">
        <v>454</v>
      </c>
      <c r="FK10" s="371" t="s">
        <v>387</v>
      </c>
      <c r="FL10" s="540"/>
      <c r="FM10" s="66"/>
      <c r="FN10" s="29" t="s">
        <v>332</v>
      </c>
      <c r="FO10" s="546" t="s">
        <v>355</v>
      </c>
      <c r="FP10" s="109" t="s">
        <v>368</v>
      </c>
      <c r="FQ10" s="92"/>
      <c r="FR10" s="374"/>
      <c r="FS10" s="375"/>
      <c r="FT10" s="374"/>
      <c r="FU10" s="109" t="s">
        <v>341</v>
      </c>
      <c r="FV10" s="240" t="s">
        <v>326</v>
      </c>
      <c r="FW10" s="371" t="s">
        <v>401</v>
      </c>
      <c r="FX10" s="540"/>
    </row>
    <row r="11">
      <c r="A11" s="547">
        <v>8.0</v>
      </c>
      <c r="B11" s="548" t="str">
        <f>'Schedule | 1 Division'!B3</f>
        <v>Aura Farmers</v>
      </c>
      <c r="C11" s="548">
        <f t="shared" si="1"/>
        <v>7</v>
      </c>
      <c r="D11" s="40">
        <f t="shared" si="2"/>
        <v>14</v>
      </c>
      <c r="E11" s="431">
        <f t="shared" si="3"/>
        <v>0</v>
      </c>
      <c r="F11" s="431">
        <f t="shared" si="4"/>
        <v>2</v>
      </c>
      <c r="G11" s="431">
        <f t="shared" si="5"/>
        <v>3</v>
      </c>
      <c r="H11" s="434">
        <f t="shared" si="6"/>
        <v>9</v>
      </c>
      <c r="I11" s="40">
        <f t="shared" si="7"/>
        <v>7</v>
      </c>
      <c r="J11" s="431">
        <f t="shared" si="8"/>
        <v>26</v>
      </c>
      <c r="K11" s="434">
        <f t="shared" si="9"/>
        <v>-19</v>
      </c>
      <c r="L11" s="540"/>
      <c r="M11" s="383">
        <v>2.0</v>
      </c>
      <c r="N11" s="376" t="s">
        <v>331</v>
      </c>
      <c r="O11" s="377" t="s">
        <v>437</v>
      </c>
      <c r="P11" s="378" t="s">
        <v>418</v>
      </c>
      <c r="Q11" s="379" t="s">
        <v>318</v>
      </c>
      <c r="R11" s="381" t="s">
        <v>320</v>
      </c>
      <c r="S11" s="382" t="s">
        <v>319</v>
      </c>
      <c r="T11" s="378" t="s">
        <v>321</v>
      </c>
      <c r="U11" s="378" t="s">
        <v>327</v>
      </c>
      <c r="V11" s="377" t="s">
        <v>340</v>
      </c>
      <c r="W11" s="379" t="s">
        <v>315</v>
      </c>
      <c r="X11" s="540"/>
      <c r="Y11" s="383">
        <v>2.0</v>
      </c>
      <c r="Z11" s="376" t="s">
        <v>324</v>
      </c>
      <c r="AA11" s="377" t="s">
        <v>356</v>
      </c>
      <c r="AB11" s="378" t="s">
        <v>375</v>
      </c>
      <c r="AC11" s="379" t="s">
        <v>321</v>
      </c>
      <c r="AD11" s="380" t="s">
        <v>319</v>
      </c>
      <c r="AE11" s="393" t="s">
        <v>320</v>
      </c>
      <c r="AF11" s="378" t="s">
        <v>318</v>
      </c>
      <c r="AG11" s="378" t="s">
        <v>407</v>
      </c>
      <c r="AH11" s="384" t="s">
        <v>350</v>
      </c>
      <c r="AI11" s="383" t="s">
        <v>322</v>
      </c>
      <c r="AJ11" s="540"/>
      <c r="AK11" s="383">
        <v>2.0</v>
      </c>
      <c r="AL11" s="376" t="s">
        <v>324</v>
      </c>
      <c r="AM11" s="384" t="s">
        <v>393</v>
      </c>
      <c r="AN11" s="378" t="s">
        <v>384</v>
      </c>
      <c r="AO11" s="379" t="s">
        <v>321</v>
      </c>
      <c r="AP11" s="380" t="s">
        <v>320</v>
      </c>
      <c r="AQ11" s="393" t="s">
        <v>319</v>
      </c>
      <c r="AR11" s="378" t="s">
        <v>318</v>
      </c>
      <c r="AS11" s="378" t="s">
        <v>327</v>
      </c>
      <c r="AT11" s="384" t="s">
        <v>353</v>
      </c>
      <c r="AU11" s="383" t="s">
        <v>325</v>
      </c>
      <c r="AV11" s="540"/>
      <c r="AW11" s="383">
        <v>2.0</v>
      </c>
      <c r="AX11" s="376" t="s">
        <v>327</v>
      </c>
      <c r="AY11" s="385" t="s">
        <v>326</v>
      </c>
      <c r="AZ11" s="378" t="s">
        <v>354</v>
      </c>
      <c r="BA11" s="379" t="s">
        <v>321</v>
      </c>
      <c r="BB11" s="380" t="s">
        <v>320</v>
      </c>
      <c r="BC11" s="393" t="s">
        <v>319</v>
      </c>
      <c r="BD11" s="378" t="s">
        <v>318</v>
      </c>
      <c r="BE11" s="378" t="s">
        <v>324</v>
      </c>
      <c r="BF11" s="384" t="s">
        <v>437</v>
      </c>
      <c r="BG11" s="383" t="s">
        <v>315</v>
      </c>
      <c r="BH11" s="540"/>
      <c r="BI11" s="383">
        <v>2.0</v>
      </c>
      <c r="BJ11" s="376" t="s">
        <v>337</v>
      </c>
      <c r="BK11" s="385" t="s">
        <v>338</v>
      </c>
      <c r="BL11" s="378" t="s">
        <v>399</v>
      </c>
      <c r="BM11" s="379" t="s">
        <v>321</v>
      </c>
      <c r="BN11" s="380" t="s">
        <v>319</v>
      </c>
      <c r="BO11" s="393" t="s">
        <v>320</v>
      </c>
      <c r="BP11" s="378" t="s">
        <v>318</v>
      </c>
      <c r="BQ11" s="378" t="s">
        <v>327</v>
      </c>
      <c r="BR11" s="384" t="s">
        <v>353</v>
      </c>
      <c r="BS11" s="383" t="s">
        <v>334</v>
      </c>
      <c r="BT11" s="540"/>
      <c r="BU11" s="383">
        <v>2.0</v>
      </c>
      <c r="BV11" s="376" t="s">
        <v>325</v>
      </c>
      <c r="BW11" s="242" t="s">
        <v>422</v>
      </c>
      <c r="BX11" s="378" t="s">
        <v>342</v>
      </c>
      <c r="BY11" s="379" t="s">
        <v>318</v>
      </c>
      <c r="BZ11" s="380" t="s">
        <v>320</v>
      </c>
      <c r="CA11" s="393" t="s">
        <v>319</v>
      </c>
      <c r="CB11" s="378" t="s">
        <v>321</v>
      </c>
      <c r="CC11" s="378" t="s">
        <v>337</v>
      </c>
      <c r="CD11" s="384" t="s">
        <v>454</v>
      </c>
      <c r="CE11" s="383" t="s">
        <v>324</v>
      </c>
      <c r="CF11" s="540"/>
      <c r="CG11" s="383">
        <v>2.0</v>
      </c>
      <c r="CH11" s="376" t="s">
        <v>328</v>
      </c>
      <c r="CI11" s="385" t="s">
        <v>394</v>
      </c>
      <c r="CJ11" s="378" t="s">
        <v>342</v>
      </c>
      <c r="CK11" s="379" t="s">
        <v>318</v>
      </c>
      <c r="CL11" s="380" t="s">
        <v>320</v>
      </c>
      <c r="CM11" s="393" t="s">
        <v>319</v>
      </c>
      <c r="CN11" s="378" t="s">
        <v>321</v>
      </c>
      <c r="CO11" s="378" t="s">
        <v>405</v>
      </c>
      <c r="CP11" s="384" t="s">
        <v>454</v>
      </c>
      <c r="CQ11" s="383" t="s">
        <v>317</v>
      </c>
      <c r="CR11" s="540"/>
      <c r="CS11" s="383">
        <v>2.0</v>
      </c>
      <c r="CT11" s="376" t="s">
        <v>342</v>
      </c>
      <c r="CU11" s="377" t="s">
        <v>356</v>
      </c>
      <c r="CV11" s="378" t="s">
        <v>317</v>
      </c>
      <c r="CW11" s="379" t="s">
        <v>321</v>
      </c>
      <c r="CX11" s="380" t="s">
        <v>319</v>
      </c>
      <c r="CY11" s="380" t="s">
        <v>320</v>
      </c>
      <c r="CZ11" s="376" t="s">
        <v>318</v>
      </c>
      <c r="DA11" s="378" t="s">
        <v>324</v>
      </c>
      <c r="DB11" s="384" t="s">
        <v>464</v>
      </c>
      <c r="DC11" s="379" t="s">
        <v>328</v>
      </c>
      <c r="DD11" s="540"/>
      <c r="DE11" s="383">
        <v>2.0</v>
      </c>
      <c r="DF11" s="376" t="s">
        <v>315</v>
      </c>
      <c r="DG11" s="385" t="s">
        <v>394</v>
      </c>
      <c r="DH11" s="378" t="s">
        <v>342</v>
      </c>
      <c r="DI11" s="379" t="s">
        <v>318</v>
      </c>
      <c r="DJ11" s="380" t="s">
        <v>319</v>
      </c>
      <c r="DK11" s="393" t="s">
        <v>320</v>
      </c>
      <c r="DL11" s="378" t="s">
        <v>321</v>
      </c>
      <c r="DM11" s="378" t="s">
        <v>324</v>
      </c>
      <c r="DN11" s="384" t="s">
        <v>381</v>
      </c>
      <c r="DO11" s="383" t="s">
        <v>327</v>
      </c>
      <c r="DP11" s="540"/>
      <c r="DQ11" s="383">
        <v>2.0</v>
      </c>
      <c r="DR11" s="376" t="s">
        <v>315</v>
      </c>
      <c r="DS11" s="242" t="s">
        <v>355</v>
      </c>
      <c r="DT11" s="378" t="s">
        <v>327</v>
      </c>
      <c r="DU11" s="379" t="s">
        <v>318</v>
      </c>
      <c r="DV11" s="380" t="s">
        <v>320</v>
      </c>
      <c r="DW11" s="393" t="s">
        <v>319</v>
      </c>
      <c r="DX11" s="378" t="s">
        <v>321</v>
      </c>
      <c r="DY11" s="378" t="s">
        <v>342</v>
      </c>
      <c r="DZ11" s="377" t="s">
        <v>367</v>
      </c>
      <c r="EA11" s="383" t="s">
        <v>328</v>
      </c>
      <c r="EB11" s="540"/>
      <c r="EC11" s="383">
        <v>2.0</v>
      </c>
      <c r="ED11" s="376" t="s">
        <v>317</v>
      </c>
      <c r="EE11" s="384" t="s">
        <v>365</v>
      </c>
      <c r="EF11" s="378" t="s">
        <v>374</v>
      </c>
      <c r="EG11" s="379" t="s">
        <v>318</v>
      </c>
      <c r="EH11" s="380" t="s">
        <v>319</v>
      </c>
      <c r="EI11" s="393" t="s">
        <v>320</v>
      </c>
      <c r="EJ11" s="378" t="s">
        <v>321</v>
      </c>
      <c r="EK11" s="378" t="s">
        <v>327</v>
      </c>
      <c r="EL11" s="384" t="s">
        <v>448</v>
      </c>
      <c r="EM11" s="383" t="s">
        <v>328</v>
      </c>
      <c r="EN11" s="540"/>
      <c r="EO11" s="383">
        <v>2.0</v>
      </c>
      <c r="EP11" s="376" t="s">
        <v>317</v>
      </c>
      <c r="EQ11" s="384" t="s">
        <v>454</v>
      </c>
      <c r="ER11" s="378" t="s">
        <v>342</v>
      </c>
      <c r="ES11" s="379" t="s">
        <v>318</v>
      </c>
      <c r="ET11" s="380" t="s">
        <v>319</v>
      </c>
      <c r="EU11" s="393" t="s">
        <v>320</v>
      </c>
      <c r="EV11" s="378" t="s">
        <v>321</v>
      </c>
      <c r="EW11" s="378" t="s">
        <v>327</v>
      </c>
      <c r="EX11" s="242" t="s">
        <v>725</v>
      </c>
      <c r="EY11" s="383" t="s">
        <v>324</v>
      </c>
      <c r="EZ11" s="540"/>
      <c r="FA11" s="383">
        <v>2.0</v>
      </c>
      <c r="FB11" s="376" t="s">
        <v>317</v>
      </c>
      <c r="FC11" s="385" t="s">
        <v>338</v>
      </c>
      <c r="FD11" s="378" t="s">
        <v>369</v>
      </c>
      <c r="FE11" s="379" t="s">
        <v>318</v>
      </c>
      <c r="FF11" s="380" t="s">
        <v>320</v>
      </c>
      <c r="FG11" s="393" t="s">
        <v>319</v>
      </c>
      <c r="FH11" s="378" t="s">
        <v>321</v>
      </c>
      <c r="FI11" s="378" t="s">
        <v>341</v>
      </c>
      <c r="FJ11" s="384" t="s">
        <v>448</v>
      </c>
      <c r="FK11" s="383" t="s">
        <v>331</v>
      </c>
      <c r="FL11" s="540"/>
      <c r="FM11" s="383">
        <v>2.0</v>
      </c>
      <c r="FN11" s="376" t="s">
        <v>315</v>
      </c>
      <c r="FO11" s="240" t="s">
        <v>556</v>
      </c>
      <c r="FP11" s="378" t="s">
        <v>361</v>
      </c>
      <c r="FQ11" s="379" t="s">
        <v>318</v>
      </c>
      <c r="FR11" s="380" t="s">
        <v>320</v>
      </c>
      <c r="FS11" s="393" t="s">
        <v>319</v>
      </c>
      <c r="FT11" s="378" t="s">
        <v>321</v>
      </c>
      <c r="FU11" s="378" t="s">
        <v>369</v>
      </c>
      <c r="FV11" s="385" t="s">
        <v>338</v>
      </c>
      <c r="FW11" s="383" t="s">
        <v>324</v>
      </c>
      <c r="FX11" s="540"/>
    </row>
    <row r="12">
      <c r="A12" s="549"/>
      <c r="B12" s="550"/>
      <c r="C12" s="550"/>
      <c r="D12" s="550"/>
      <c r="E12" s="550"/>
      <c r="F12" s="550"/>
      <c r="G12" s="550"/>
      <c r="H12" s="550"/>
      <c r="I12" s="550"/>
      <c r="J12" s="550"/>
      <c r="K12" s="540"/>
      <c r="L12" s="540"/>
      <c r="M12" s="66"/>
      <c r="N12" s="29" t="s">
        <v>325</v>
      </c>
      <c r="O12" s="372" t="s">
        <v>442</v>
      </c>
      <c r="P12" s="109" t="s">
        <v>343</v>
      </c>
      <c r="Q12" s="92"/>
      <c r="S12" s="92"/>
      <c r="U12" s="109" t="s">
        <v>317</v>
      </c>
      <c r="V12" s="372" t="s">
        <v>356</v>
      </c>
      <c r="W12" s="373" t="s">
        <v>324</v>
      </c>
      <c r="X12" s="540"/>
      <c r="Y12" s="66"/>
      <c r="Z12" s="29" t="s">
        <v>331</v>
      </c>
      <c r="AA12" s="372" t="s">
        <v>340</v>
      </c>
      <c r="AB12" s="109" t="s">
        <v>327</v>
      </c>
      <c r="AC12" s="92"/>
      <c r="AE12" s="92"/>
      <c r="AG12" s="109" t="s">
        <v>389</v>
      </c>
      <c r="AH12" s="242" t="s">
        <v>556</v>
      </c>
      <c r="AI12" s="371" t="s">
        <v>325</v>
      </c>
      <c r="AJ12" s="540"/>
      <c r="AK12" s="66"/>
      <c r="AL12" s="29" t="s">
        <v>342</v>
      </c>
      <c r="AM12" s="242" t="s">
        <v>381</v>
      </c>
      <c r="AN12" s="109" t="s">
        <v>369</v>
      </c>
      <c r="AO12" s="92"/>
      <c r="AQ12" s="92"/>
      <c r="AS12" s="109" t="s">
        <v>352</v>
      </c>
      <c r="AT12" s="242" t="s">
        <v>339</v>
      </c>
      <c r="AU12" s="371" t="s">
        <v>315</v>
      </c>
      <c r="AV12" s="540"/>
      <c r="AW12" s="66"/>
      <c r="AX12" s="29" t="s">
        <v>317</v>
      </c>
      <c r="AY12" s="240" t="s">
        <v>330</v>
      </c>
      <c r="AZ12" s="109" t="s">
        <v>331</v>
      </c>
      <c r="BA12" s="92"/>
      <c r="BC12" s="92"/>
      <c r="BE12" s="109" t="s">
        <v>400</v>
      </c>
      <c r="BF12" s="242" t="s">
        <v>442</v>
      </c>
      <c r="BG12" s="371" t="s">
        <v>369</v>
      </c>
      <c r="BH12" s="540"/>
      <c r="BI12" s="66"/>
      <c r="BJ12" s="29" t="s">
        <v>317</v>
      </c>
      <c r="BK12" s="240" t="s">
        <v>326</v>
      </c>
      <c r="BL12" s="109" t="s">
        <v>15</v>
      </c>
      <c r="BM12" s="92"/>
      <c r="BO12" s="92"/>
      <c r="BQ12" s="109" t="s">
        <v>396</v>
      </c>
      <c r="BR12" s="242" t="s">
        <v>383</v>
      </c>
      <c r="BS12" s="371" t="s">
        <v>328</v>
      </c>
      <c r="BT12" s="540"/>
      <c r="BU12" s="66"/>
      <c r="BV12" s="29" t="s">
        <v>317</v>
      </c>
      <c r="BW12" s="242" t="s">
        <v>442</v>
      </c>
      <c r="BX12" s="109" t="s">
        <v>343</v>
      </c>
      <c r="BY12" s="92"/>
      <c r="CA12" s="92"/>
      <c r="CC12" s="109" t="s">
        <v>15</v>
      </c>
      <c r="CD12" s="242" t="s">
        <v>450</v>
      </c>
      <c r="CE12" s="371" t="s">
        <v>328</v>
      </c>
      <c r="CF12" s="540"/>
      <c r="CG12" s="66"/>
      <c r="CH12" s="29" t="s">
        <v>331</v>
      </c>
      <c r="CI12" s="240" t="s">
        <v>383</v>
      </c>
      <c r="CJ12" s="109" t="s">
        <v>322</v>
      </c>
      <c r="CK12" s="92"/>
      <c r="CM12" s="92"/>
      <c r="CO12" s="109" t="s">
        <v>325</v>
      </c>
      <c r="CP12" s="242" t="s">
        <v>450</v>
      </c>
      <c r="CQ12" s="371" t="s">
        <v>324</v>
      </c>
      <c r="CR12" s="540"/>
      <c r="CS12" s="66"/>
      <c r="CT12" s="29" t="s">
        <v>331</v>
      </c>
      <c r="CU12" s="372" t="s">
        <v>340</v>
      </c>
      <c r="CV12" s="109" t="s">
        <v>327</v>
      </c>
      <c r="CW12" s="92"/>
      <c r="CZ12" s="55"/>
      <c r="DA12" s="109" t="s">
        <v>343</v>
      </c>
      <c r="DB12" s="242" t="s">
        <v>576</v>
      </c>
      <c r="DC12" s="373" t="s">
        <v>337</v>
      </c>
      <c r="DD12" s="540"/>
      <c r="DE12" s="66"/>
      <c r="DF12" s="29" t="s">
        <v>331</v>
      </c>
      <c r="DG12" s="240" t="s">
        <v>366</v>
      </c>
      <c r="DH12" s="109" t="s">
        <v>334</v>
      </c>
      <c r="DI12" s="92"/>
      <c r="DK12" s="92"/>
      <c r="DM12" s="109" t="s">
        <v>328</v>
      </c>
      <c r="DN12" s="242" t="s">
        <v>393</v>
      </c>
      <c r="DO12" s="371" t="s">
        <v>317</v>
      </c>
      <c r="DP12" s="540"/>
      <c r="DQ12" s="66"/>
      <c r="DR12" s="29" t="s">
        <v>325</v>
      </c>
      <c r="DS12" s="242" t="s">
        <v>350</v>
      </c>
      <c r="DT12" s="109" t="s">
        <v>337</v>
      </c>
      <c r="DU12" s="92"/>
      <c r="DW12" s="92"/>
      <c r="DY12" s="109" t="s">
        <v>331</v>
      </c>
      <c r="DZ12" s="372" t="s">
        <v>356</v>
      </c>
      <c r="EA12" s="371" t="s">
        <v>317</v>
      </c>
      <c r="EB12" s="540"/>
      <c r="EC12" s="66"/>
      <c r="ED12" s="29" t="s">
        <v>337</v>
      </c>
      <c r="EE12" s="242" t="s">
        <v>381</v>
      </c>
      <c r="EF12" s="109" t="s">
        <v>361</v>
      </c>
      <c r="EG12" s="92"/>
      <c r="EI12" s="92"/>
      <c r="EK12" s="109" t="s">
        <v>331</v>
      </c>
      <c r="EL12" s="242" t="s">
        <v>450</v>
      </c>
      <c r="EM12" s="371" t="s">
        <v>324</v>
      </c>
      <c r="EN12" s="540"/>
      <c r="EO12" s="66"/>
      <c r="EP12" s="29" t="s">
        <v>315</v>
      </c>
      <c r="EQ12" s="242" t="s">
        <v>450</v>
      </c>
      <c r="ER12" s="109" t="s">
        <v>331</v>
      </c>
      <c r="ES12" s="92"/>
      <c r="EU12" s="92"/>
      <c r="EW12" s="109" t="s">
        <v>400</v>
      </c>
      <c r="EX12" s="242" t="s">
        <v>442</v>
      </c>
      <c r="EY12" s="371" t="s">
        <v>325</v>
      </c>
      <c r="EZ12" s="540"/>
      <c r="FA12" s="66"/>
      <c r="FB12" s="29" t="s">
        <v>315</v>
      </c>
      <c r="FC12" s="240" t="s">
        <v>326</v>
      </c>
      <c r="FD12" s="109" t="s">
        <v>368</v>
      </c>
      <c r="FE12" s="92"/>
      <c r="FG12" s="92"/>
      <c r="FI12" s="109" t="s">
        <v>325</v>
      </c>
      <c r="FJ12" s="242" t="s">
        <v>450</v>
      </c>
      <c r="FK12" s="371" t="s">
        <v>324</v>
      </c>
      <c r="FL12" s="540"/>
      <c r="FM12" s="66"/>
      <c r="FN12" s="29" t="s">
        <v>317</v>
      </c>
      <c r="FO12" s="240" t="s">
        <v>726</v>
      </c>
      <c r="FP12" s="109" t="s">
        <v>412</v>
      </c>
      <c r="FQ12" s="92"/>
      <c r="FS12" s="92"/>
      <c r="FU12" s="109" t="s">
        <v>325</v>
      </c>
      <c r="FV12" s="240" t="s">
        <v>330</v>
      </c>
      <c r="FW12" s="371" t="s">
        <v>342</v>
      </c>
      <c r="FX12" s="540"/>
    </row>
    <row r="13">
      <c r="A13" s="166" t="s">
        <v>731</v>
      </c>
      <c r="B13" s="97"/>
      <c r="C13" s="97"/>
      <c r="D13" s="97"/>
      <c r="E13" s="97"/>
      <c r="F13" s="97"/>
      <c r="G13" s="97"/>
      <c r="H13" s="97"/>
      <c r="I13" s="97"/>
      <c r="J13" s="100"/>
      <c r="K13" s="540"/>
      <c r="L13" s="540"/>
      <c r="M13" s="66"/>
      <c r="N13" s="29" t="s">
        <v>373</v>
      </c>
      <c r="O13" s="372" t="s">
        <v>422</v>
      </c>
      <c r="P13" s="109" t="s">
        <v>342</v>
      </c>
      <c r="Q13" s="92"/>
      <c r="S13" s="92"/>
      <c r="U13" s="109" t="s">
        <v>352</v>
      </c>
      <c r="V13" s="372" t="s">
        <v>397</v>
      </c>
      <c r="W13" s="373" t="s">
        <v>369</v>
      </c>
      <c r="X13" s="540"/>
      <c r="Y13" s="66"/>
      <c r="Z13" s="29" t="s">
        <v>315</v>
      </c>
      <c r="AA13" s="372" t="s">
        <v>397</v>
      </c>
      <c r="AB13" s="109" t="s">
        <v>412</v>
      </c>
      <c r="AC13" s="92"/>
      <c r="AE13" s="92"/>
      <c r="AG13" s="109" t="s">
        <v>328</v>
      </c>
      <c r="AH13" s="242" t="s">
        <v>729</v>
      </c>
      <c r="AI13" s="371" t="s">
        <v>334</v>
      </c>
      <c r="AJ13" s="540"/>
      <c r="AK13" s="66"/>
      <c r="AL13" s="29" t="s">
        <v>317</v>
      </c>
      <c r="AM13" s="242" t="s">
        <v>365</v>
      </c>
      <c r="AN13" s="109" t="s">
        <v>341</v>
      </c>
      <c r="AO13" s="92"/>
      <c r="AQ13" s="92"/>
      <c r="AS13" s="109" t="s">
        <v>361</v>
      </c>
      <c r="AT13" s="242" t="s">
        <v>383</v>
      </c>
      <c r="AU13" s="371" t="s">
        <v>328</v>
      </c>
      <c r="AV13" s="540"/>
      <c r="AW13" s="66"/>
      <c r="AX13" s="29" t="s">
        <v>325</v>
      </c>
      <c r="AY13" s="240" t="s">
        <v>338</v>
      </c>
      <c r="AZ13" s="109" t="s">
        <v>376</v>
      </c>
      <c r="BA13" s="92"/>
      <c r="BC13" s="92"/>
      <c r="BE13" s="109" t="s">
        <v>337</v>
      </c>
      <c r="BF13" s="242" t="s">
        <v>422</v>
      </c>
      <c r="BG13" s="371" t="s">
        <v>342</v>
      </c>
      <c r="BH13" s="540"/>
      <c r="BI13" s="66"/>
      <c r="BJ13" s="29" t="s">
        <v>315</v>
      </c>
      <c r="BK13" s="240" t="s">
        <v>330</v>
      </c>
      <c r="BL13" s="109" t="s">
        <v>331</v>
      </c>
      <c r="BM13" s="92"/>
      <c r="BO13" s="92"/>
      <c r="BQ13" s="109" t="s">
        <v>400</v>
      </c>
      <c r="BR13" s="242" t="s">
        <v>366</v>
      </c>
      <c r="BS13" s="371" t="s">
        <v>324</v>
      </c>
      <c r="BT13" s="540"/>
      <c r="BU13" s="66"/>
      <c r="BV13" s="29" t="s">
        <v>369</v>
      </c>
      <c r="BW13" s="242" t="s">
        <v>426</v>
      </c>
      <c r="BX13" s="109" t="s">
        <v>368</v>
      </c>
      <c r="BY13" s="92"/>
      <c r="CA13" s="92"/>
      <c r="CC13" s="109" t="s">
        <v>434</v>
      </c>
      <c r="CD13" s="242" t="s">
        <v>449</v>
      </c>
      <c r="CE13" s="371" t="s">
        <v>327</v>
      </c>
      <c r="CF13" s="540"/>
      <c r="CG13" s="66"/>
      <c r="CH13" s="29" t="s">
        <v>315</v>
      </c>
      <c r="CI13" s="240" t="s">
        <v>366</v>
      </c>
      <c r="CJ13" s="109" t="s">
        <v>400</v>
      </c>
      <c r="CK13" s="92"/>
      <c r="CM13" s="92"/>
      <c r="CO13" s="109" t="s">
        <v>369</v>
      </c>
      <c r="CP13" s="242" t="s">
        <v>449</v>
      </c>
      <c r="CQ13" s="371" t="s">
        <v>327</v>
      </c>
      <c r="CR13" s="540"/>
      <c r="CS13" s="66"/>
      <c r="CT13" s="29" t="s">
        <v>325</v>
      </c>
      <c r="CU13" s="372" t="s">
        <v>367</v>
      </c>
      <c r="CV13" s="109" t="s">
        <v>352</v>
      </c>
      <c r="CW13" s="92"/>
      <c r="CZ13" s="55"/>
      <c r="DA13" s="109" t="s">
        <v>408</v>
      </c>
      <c r="DB13" s="242" t="s">
        <v>458</v>
      </c>
      <c r="DC13" s="373" t="s">
        <v>315</v>
      </c>
      <c r="DD13" s="540"/>
      <c r="DE13" s="66"/>
      <c r="DF13" s="29" t="s">
        <v>325</v>
      </c>
      <c r="DG13" s="240" t="s">
        <v>336</v>
      </c>
      <c r="DH13" s="109" t="s">
        <v>377</v>
      </c>
      <c r="DI13" s="92"/>
      <c r="DK13" s="92"/>
      <c r="DM13" s="109" t="s">
        <v>352</v>
      </c>
      <c r="DN13" s="242" t="s">
        <v>351</v>
      </c>
      <c r="DO13" s="371" t="s">
        <v>400</v>
      </c>
      <c r="DP13" s="540"/>
      <c r="DQ13" s="66"/>
      <c r="DR13" s="29" t="s">
        <v>324</v>
      </c>
      <c r="DS13" s="242" t="s">
        <v>556</v>
      </c>
      <c r="DT13" s="109" t="s">
        <v>19</v>
      </c>
      <c r="DU13" s="92"/>
      <c r="DW13" s="92"/>
      <c r="DY13" s="109" t="s">
        <v>400</v>
      </c>
      <c r="DZ13" s="372" t="s">
        <v>340</v>
      </c>
      <c r="EA13" s="371" t="s">
        <v>322</v>
      </c>
      <c r="EB13" s="540"/>
      <c r="EC13" s="66"/>
      <c r="ED13" s="29" t="s">
        <v>325</v>
      </c>
      <c r="EE13" s="242" t="s">
        <v>351</v>
      </c>
      <c r="EF13" s="109" t="s">
        <v>342</v>
      </c>
      <c r="EG13" s="92"/>
      <c r="EI13" s="92"/>
      <c r="EK13" s="109" t="s">
        <v>332</v>
      </c>
      <c r="EL13" s="242" t="s">
        <v>449</v>
      </c>
      <c r="EM13" s="371" t="s">
        <v>315</v>
      </c>
      <c r="EN13" s="540"/>
      <c r="EO13" s="66"/>
      <c r="EP13" s="29" t="s">
        <v>334</v>
      </c>
      <c r="EQ13" s="242" t="s">
        <v>452</v>
      </c>
      <c r="ER13" s="109" t="s">
        <v>328</v>
      </c>
      <c r="ES13" s="92"/>
      <c r="EU13" s="92"/>
      <c r="EW13" s="109" t="s">
        <v>391</v>
      </c>
      <c r="EX13" s="242" t="s">
        <v>426</v>
      </c>
      <c r="EY13" s="371" t="s">
        <v>377</v>
      </c>
      <c r="EZ13" s="540"/>
      <c r="FA13" s="66"/>
      <c r="FB13" s="29" t="s">
        <v>337</v>
      </c>
      <c r="FC13" s="240" t="s">
        <v>330</v>
      </c>
      <c r="FD13" s="109" t="s">
        <v>412</v>
      </c>
      <c r="FE13" s="92"/>
      <c r="FG13" s="92"/>
      <c r="FI13" s="109" t="s">
        <v>346</v>
      </c>
      <c r="FJ13" s="242" t="s">
        <v>454</v>
      </c>
      <c r="FK13" s="371" t="s">
        <v>342</v>
      </c>
      <c r="FL13" s="540"/>
      <c r="FM13" s="66"/>
      <c r="FN13" s="29" t="s">
        <v>327</v>
      </c>
      <c r="FO13" s="240" t="s">
        <v>339</v>
      </c>
      <c r="FP13" s="109" t="s">
        <v>341</v>
      </c>
      <c r="FQ13" s="92"/>
      <c r="FS13" s="92"/>
      <c r="FU13" s="109" t="s">
        <v>391</v>
      </c>
      <c r="FV13" s="240" t="s">
        <v>326</v>
      </c>
      <c r="FW13" s="371" t="s">
        <v>331</v>
      </c>
      <c r="FX13" s="540"/>
    </row>
    <row r="14" ht="18.0" customHeight="1">
      <c r="A14" s="166" t="s">
        <v>732</v>
      </c>
      <c r="B14" s="551" t="s">
        <v>263</v>
      </c>
      <c r="C14" s="526" t="s">
        <v>258</v>
      </c>
      <c r="D14" s="552" t="s">
        <v>733</v>
      </c>
      <c r="E14" s="552" t="s">
        <v>734</v>
      </c>
      <c r="F14" s="526" t="s">
        <v>261</v>
      </c>
      <c r="G14" s="551" t="s">
        <v>718</v>
      </c>
      <c r="H14" s="526" t="s">
        <v>719</v>
      </c>
      <c r="I14" s="526" t="s">
        <v>720</v>
      </c>
      <c r="J14" s="527" t="s">
        <v>721</v>
      </c>
      <c r="K14" s="530"/>
      <c r="L14" s="530"/>
      <c r="M14" s="66"/>
      <c r="N14" s="29" t="s">
        <v>19</v>
      </c>
      <c r="O14" s="372" t="s">
        <v>459</v>
      </c>
      <c r="P14" s="109" t="s">
        <v>362</v>
      </c>
      <c r="Q14" s="92"/>
      <c r="S14" s="92"/>
      <c r="U14" s="109" t="s">
        <v>377</v>
      </c>
      <c r="V14" s="372" t="s">
        <v>386</v>
      </c>
      <c r="W14" s="373" t="s">
        <v>322</v>
      </c>
      <c r="X14" s="530"/>
      <c r="Y14" s="66"/>
      <c r="Z14" s="29" t="s">
        <v>470</v>
      </c>
      <c r="AA14" s="372" t="s">
        <v>386</v>
      </c>
      <c r="AB14" s="109" t="s">
        <v>382</v>
      </c>
      <c r="AC14" s="92"/>
      <c r="AE14" s="92"/>
      <c r="AG14" s="109" t="s">
        <v>735</v>
      </c>
      <c r="AH14" s="242" t="s">
        <v>355</v>
      </c>
      <c r="AI14" s="371" t="s">
        <v>369</v>
      </c>
      <c r="AJ14" s="530"/>
      <c r="AK14" s="66"/>
      <c r="AL14" s="29" t="s">
        <v>334</v>
      </c>
      <c r="AM14" s="242" t="s">
        <v>335</v>
      </c>
      <c r="AN14" s="109" t="s">
        <v>331</v>
      </c>
      <c r="AO14" s="92"/>
      <c r="AQ14" s="92"/>
      <c r="AS14" s="109" t="s">
        <v>400</v>
      </c>
      <c r="AT14" s="242" t="s">
        <v>366</v>
      </c>
      <c r="AU14" s="371" t="s">
        <v>374</v>
      </c>
      <c r="AV14" s="530"/>
      <c r="AW14" s="66"/>
      <c r="AX14" s="29" t="s">
        <v>348</v>
      </c>
      <c r="AY14" s="240" t="s">
        <v>349</v>
      </c>
      <c r="AZ14" s="109" t="s">
        <v>414</v>
      </c>
      <c r="BA14" s="92"/>
      <c r="BC14" s="92"/>
      <c r="BE14" s="109" t="s">
        <v>401</v>
      </c>
      <c r="BF14" s="242" t="s">
        <v>725</v>
      </c>
      <c r="BG14" s="371" t="s">
        <v>322</v>
      </c>
      <c r="BH14" s="530"/>
      <c r="BI14" s="66"/>
      <c r="BJ14" s="29" t="s">
        <v>439</v>
      </c>
      <c r="BK14" s="240" t="s">
        <v>378</v>
      </c>
      <c r="BL14" s="109" t="s">
        <v>342</v>
      </c>
      <c r="BM14" s="92"/>
      <c r="BO14" s="92"/>
      <c r="BQ14" s="109" t="s">
        <v>384</v>
      </c>
      <c r="BR14" s="242" t="s">
        <v>336</v>
      </c>
      <c r="BS14" s="371" t="s">
        <v>322</v>
      </c>
      <c r="BT14" s="530"/>
      <c r="BU14" s="66"/>
      <c r="BV14" s="29" t="s">
        <v>400</v>
      </c>
      <c r="BW14" s="242" t="s">
        <v>437</v>
      </c>
      <c r="BX14" s="109" t="s">
        <v>382</v>
      </c>
      <c r="BY14" s="92"/>
      <c r="CA14" s="92"/>
      <c r="CC14" s="109" t="s">
        <v>315</v>
      </c>
      <c r="CD14" s="242" t="s">
        <v>448</v>
      </c>
      <c r="CE14" s="371" t="s">
        <v>361</v>
      </c>
      <c r="CF14" s="530"/>
      <c r="CG14" s="66"/>
      <c r="CH14" s="29" t="s">
        <v>368</v>
      </c>
      <c r="CI14" s="240" t="s">
        <v>336</v>
      </c>
      <c r="CJ14" s="109" t="s">
        <v>377</v>
      </c>
      <c r="CK14" s="92"/>
      <c r="CM14" s="92"/>
      <c r="CO14" s="109" t="s">
        <v>401</v>
      </c>
      <c r="CP14" s="242" t="s">
        <v>452</v>
      </c>
      <c r="CQ14" s="371" t="s">
        <v>408</v>
      </c>
      <c r="CR14" s="530"/>
      <c r="CS14" s="66"/>
      <c r="CT14" s="29" t="s">
        <v>384</v>
      </c>
      <c r="CU14" s="372" t="s">
        <v>386</v>
      </c>
      <c r="CV14" s="109" t="s">
        <v>414</v>
      </c>
      <c r="CW14" s="92"/>
      <c r="CZ14" s="55"/>
      <c r="DA14" s="109" t="s">
        <v>405</v>
      </c>
      <c r="DB14" s="242" t="s">
        <v>468</v>
      </c>
      <c r="DC14" s="373" t="s">
        <v>418</v>
      </c>
      <c r="DD14" s="530"/>
      <c r="DE14" s="66"/>
      <c r="DF14" s="29" t="s">
        <v>412</v>
      </c>
      <c r="DG14" s="240" t="s">
        <v>383</v>
      </c>
      <c r="DH14" s="109" t="s">
        <v>418</v>
      </c>
      <c r="DI14" s="92"/>
      <c r="DK14" s="92"/>
      <c r="DM14" s="109" t="s">
        <v>376</v>
      </c>
      <c r="DN14" s="242" t="s">
        <v>335</v>
      </c>
      <c r="DO14" s="371" t="s">
        <v>361</v>
      </c>
      <c r="DP14" s="530"/>
      <c r="DQ14" s="66"/>
      <c r="DR14" s="29" t="s">
        <v>354</v>
      </c>
      <c r="DS14" s="242" t="s">
        <v>727</v>
      </c>
      <c r="DT14" s="109" t="s">
        <v>412</v>
      </c>
      <c r="DU14" s="92"/>
      <c r="DW14" s="92"/>
      <c r="DY14" s="109" t="s">
        <v>377</v>
      </c>
      <c r="DZ14" s="372" t="s">
        <v>386</v>
      </c>
      <c r="EA14" s="371" t="s">
        <v>334</v>
      </c>
      <c r="EB14" s="530"/>
      <c r="EC14" s="66"/>
      <c r="ED14" s="29" t="s">
        <v>346</v>
      </c>
      <c r="EE14" s="242" t="s">
        <v>393</v>
      </c>
      <c r="EF14" s="109" t="s">
        <v>485</v>
      </c>
      <c r="EG14" s="92"/>
      <c r="EI14" s="92"/>
      <c r="EK14" s="109" t="s">
        <v>377</v>
      </c>
      <c r="EL14" s="242" t="s">
        <v>452</v>
      </c>
      <c r="EM14" s="371" t="s">
        <v>400</v>
      </c>
      <c r="EN14" s="530"/>
      <c r="EO14" s="66"/>
      <c r="EP14" s="29" t="s">
        <v>337</v>
      </c>
      <c r="EQ14" s="242" t="s">
        <v>449</v>
      </c>
      <c r="ER14" s="109" t="s">
        <v>369</v>
      </c>
      <c r="ES14" s="92"/>
      <c r="EU14" s="92"/>
      <c r="EW14" s="109" t="s">
        <v>361</v>
      </c>
      <c r="EX14" s="242" t="s">
        <v>437</v>
      </c>
      <c r="EY14" s="371" t="s">
        <v>341</v>
      </c>
      <c r="EZ14" s="530"/>
      <c r="FA14" s="66"/>
      <c r="FB14" s="29" t="s">
        <v>382</v>
      </c>
      <c r="FC14" s="240" t="s">
        <v>378</v>
      </c>
      <c r="FD14" s="109" t="s">
        <v>451</v>
      </c>
      <c r="FE14" s="92"/>
      <c r="FG14" s="92"/>
      <c r="FI14" s="109" t="s">
        <v>418</v>
      </c>
      <c r="FJ14" s="242" t="s">
        <v>449</v>
      </c>
      <c r="FK14" s="371" t="s">
        <v>406</v>
      </c>
      <c r="FL14" s="530"/>
      <c r="FM14" s="66"/>
      <c r="FN14" s="29" t="s">
        <v>346</v>
      </c>
      <c r="FO14" s="240" t="s">
        <v>350</v>
      </c>
      <c r="FP14" s="109" t="s">
        <v>387</v>
      </c>
      <c r="FQ14" s="92"/>
      <c r="FS14" s="92"/>
      <c r="FU14" s="109" t="s">
        <v>337</v>
      </c>
      <c r="FV14" s="240" t="s">
        <v>378</v>
      </c>
      <c r="FW14" s="371" t="s">
        <v>19</v>
      </c>
      <c r="FX14" s="530"/>
    </row>
    <row r="15">
      <c r="A15" s="109">
        <v>1.0</v>
      </c>
      <c r="B15" s="429">
        <v>1.0</v>
      </c>
      <c r="C15" s="553" t="str">
        <f>'Schedule | 1 Division'!E5</f>
        <v>Aura Farmers</v>
      </c>
      <c r="D15" s="554">
        <f t="shared" ref="D15:E15" si="10">R21</f>
        <v>0</v>
      </c>
      <c r="E15" s="554">
        <f t="shared" si="10"/>
        <v>2</v>
      </c>
      <c r="F15" s="555" t="str">
        <f>'Schedule | 1 Division'!I5</f>
        <v>Team Spirit</v>
      </c>
      <c r="G15" s="556" t="str">
        <f t="shared" ref="G15:G70" si="12">IF(AND(D15=2, E15=0), C15, IF(AND(D15=0, E15=2), F15, ""))</f>
        <v>Team Spirit</v>
      </c>
      <c r="H15" s="557" t="str">
        <f t="shared" ref="H15:H70" si="13">IF(AND(D15=2, E15=1), C15, IF(AND(D15=1, E15=2), F15, ""))
</f>
        <v/>
      </c>
      <c r="I15" s="557" t="str">
        <f t="shared" ref="I15:I70" si="14">IF(AND(D15=1, E15=2), C15, IF(AND(D15=2, E15=1), F15, ""))
</f>
        <v/>
      </c>
      <c r="J15" s="558" t="str">
        <f t="shared" ref="J15:J70" si="15">IF(AND(D15=0, E15=2), C15, IF(AND(D15=2, E15=0), F15, ""))
</f>
        <v>Aura Farmers</v>
      </c>
      <c r="K15" s="530"/>
      <c r="L15" s="530"/>
      <c r="M15" s="134"/>
      <c r="N15" s="387" t="s">
        <v>408</v>
      </c>
      <c r="O15" s="388" t="s">
        <v>725</v>
      </c>
      <c r="P15" s="389" t="s">
        <v>401</v>
      </c>
      <c r="Q15" s="375"/>
      <c r="R15" s="374"/>
      <c r="S15" s="375"/>
      <c r="T15" s="374"/>
      <c r="U15" s="389" t="s">
        <v>396</v>
      </c>
      <c r="V15" s="388" t="s">
        <v>367</v>
      </c>
      <c r="W15" s="390" t="s">
        <v>384</v>
      </c>
      <c r="X15" s="530"/>
      <c r="Y15" s="134"/>
      <c r="Z15" s="387" t="s">
        <v>374</v>
      </c>
      <c r="AA15" s="388" t="s">
        <v>367</v>
      </c>
      <c r="AB15" s="389" t="s">
        <v>342</v>
      </c>
      <c r="AC15" s="375"/>
      <c r="AD15" s="374"/>
      <c r="AE15" s="375"/>
      <c r="AF15" s="374"/>
      <c r="AG15" s="389" t="s">
        <v>317</v>
      </c>
      <c r="AH15" s="391" t="s">
        <v>727</v>
      </c>
      <c r="AI15" s="559" t="s">
        <v>361</v>
      </c>
      <c r="AJ15" s="530"/>
      <c r="AK15" s="134"/>
      <c r="AL15" s="387" t="s">
        <v>403</v>
      </c>
      <c r="AM15" s="391" t="s">
        <v>351</v>
      </c>
      <c r="AN15" s="389" t="s">
        <v>337</v>
      </c>
      <c r="AO15" s="375"/>
      <c r="AP15" s="374"/>
      <c r="AQ15" s="375"/>
      <c r="AR15" s="374"/>
      <c r="AS15" s="389" t="s">
        <v>375</v>
      </c>
      <c r="AT15" s="391" t="s">
        <v>336</v>
      </c>
      <c r="AU15" s="559" t="s">
        <v>373</v>
      </c>
      <c r="AV15" s="530"/>
      <c r="AW15" s="134"/>
      <c r="AX15" s="387" t="s">
        <v>483</v>
      </c>
      <c r="AY15" s="392" t="s">
        <v>378</v>
      </c>
      <c r="AZ15" s="389" t="s">
        <v>352</v>
      </c>
      <c r="BA15" s="375"/>
      <c r="BB15" s="374"/>
      <c r="BC15" s="375"/>
      <c r="BD15" s="374"/>
      <c r="BE15" s="389" t="s">
        <v>368</v>
      </c>
      <c r="BF15" s="391" t="s">
        <v>426</v>
      </c>
      <c r="BG15" s="559" t="s">
        <v>328</v>
      </c>
      <c r="BH15" s="530"/>
      <c r="BI15" s="134"/>
      <c r="BJ15" s="387" t="s">
        <v>470</v>
      </c>
      <c r="BK15" s="392" t="s">
        <v>349</v>
      </c>
      <c r="BL15" s="389" t="s">
        <v>377</v>
      </c>
      <c r="BM15" s="375"/>
      <c r="BN15" s="374"/>
      <c r="BO15" s="375"/>
      <c r="BP15" s="374"/>
      <c r="BQ15" s="389" t="s">
        <v>436</v>
      </c>
      <c r="BR15" s="391" t="s">
        <v>394</v>
      </c>
      <c r="BS15" s="559" t="s">
        <v>395</v>
      </c>
      <c r="BT15" s="530"/>
      <c r="BU15" s="134"/>
      <c r="BV15" s="387" t="s">
        <v>331</v>
      </c>
      <c r="BW15" s="391" t="s">
        <v>725</v>
      </c>
      <c r="BX15" s="389" t="s">
        <v>384</v>
      </c>
      <c r="BY15" s="375"/>
      <c r="BZ15" s="374"/>
      <c r="CA15" s="375"/>
      <c r="CB15" s="374"/>
      <c r="CC15" s="389" t="s">
        <v>401</v>
      </c>
      <c r="CD15" s="391" t="s">
        <v>452</v>
      </c>
      <c r="CE15" s="559" t="s">
        <v>19</v>
      </c>
      <c r="CF15" s="530"/>
      <c r="CG15" s="134"/>
      <c r="CH15" s="387" t="s">
        <v>483</v>
      </c>
      <c r="CI15" s="392" t="s">
        <v>353</v>
      </c>
      <c r="CJ15" s="389" t="s">
        <v>374</v>
      </c>
      <c r="CK15" s="375"/>
      <c r="CL15" s="374"/>
      <c r="CM15" s="375"/>
      <c r="CN15" s="374"/>
      <c r="CO15" s="389" t="s">
        <v>348</v>
      </c>
      <c r="CP15" s="391" t="s">
        <v>518</v>
      </c>
      <c r="CQ15" s="559" t="s">
        <v>362</v>
      </c>
      <c r="CR15" s="530"/>
      <c r="CS15" s="134"/>
      <c r="CT15" s="387" t="s">
        <v>377</v>
      </c>
      <c r="CU15" s="388" t="s">
        <v>397</v>
      </c>
      <c r="CV15" s="389" t="s">
        <v>332</v>
      </c>
      <c r="CW15" s="375"/>
      <c r="CX15" s="374"/>
      <c r="CY15" s="374"/>
      <c r="CZ15" s="386"/>
      <c r="DA15" s="389" t="s">
        <v>368</v>
      </c>
      <c r="DB15" s="391" t="s">
        <v>462</v>
      </c>
      <c r="DC15" s="390" t="s">
        <v>322</v>
      </c>
      <c r="DD15" s="530"/>
      <c r="DE15" s="134"/>
      <c r="DF15" s="387" t="s">
        <v>368</v>
      </c>
      <c r="DG15" s="392" t="s">
        <v>353</v>
      </c>
      <c r="DH15" s="389" t="s">
        <v>736</v>
      </c>
      <c r="DI15" s="375"/>
      <c r="DJ15" s="374"/>
      <c r="DK15" s="375"/>
      <c r="DL15" s="374"/>
      <c r="DM15" s="389" t="s">
        <v>373</v>
      </c>
      <c r="DN15" s="391" t="s">
        <v>365</v>
      </c>
      <c r="DO15" s="559" t="s">
        <v>322</v>
      </c>
      <c r="DP15" s="530"/>
      <c r="DQ15" s="134"/>
      <c r="DR15" s="387" t="s">
        <v>341</v>
      </c>
      <c r="DS15" s="391" t="s">
        <v>339</v>
      </c>
      <c r="DT15" s="389" t="s">
        <v>728</v>
      </c>
      <c r="DU15" s="375"/>
      <c r="DV15" s="374"/>
      <c r="DW15" s="375"/>
      <c r="DX15" s="374"/>
      <c r="DY15" s="389" t="s">
        <v>332</v>
      </c>
      <c r="DZ15" s="388" t="s">
        <v>397</v>
      </c>
      <c r="EA15" s="559" t="s">
        <v>380</v>
      </c>
      <c r="EB15" s="530"/>
      <c r="EC15" s="134"/>
      <c r="ED15" s="387" t="s">
        <v>401</v>
      </c>
      <c r="EE15" s="391" t="s">
        <v>335</v>
      </c>
      <c r="EF15" s="389" t="s">
        <v>343</v>
      </c>
      <c r="EG15" s="375"/>
      <c r="EH15" s="374"/>
      <c r="EI15" s="375"/>
      <c r="EJ15" s="374"/>
      <c r="EK15" s="389" t="s">
        <v>387</v>
      </c>
      <c r="EL15" s="391" t="s">
        <v>454</v>
      </c>
      <c r="EM15" s="559" t="s">
        <v>334</v>
      </c>
      <c r="EN15" s="530"/>
      <c r="EO15" s="134"/>
      <c r="EP15" s="387" t="s">
        <v>387</v>
      </c>
      <c r="EQ15" s="391" t="s">
        <v>448</v>
      </c>
      <c r="ER15" s="389" t="s">
        <v>374</v>
      </c>
      <c r="ES15" s="375"/>
      <c r="ET15" s="374"/>
      <c r="EU15" s="375"/>
      <c r="EV15" s="374"/>
      <c r="EW15" s="389" t="s">
        <v>404</v>
      </c>
      <c r="EX15" s="391" t="s">
        <v>422</v>
      </c>
      <c r="EY15" s="559" t="s">
        <v>368</v>
      </c>
      <c r="EZ15" s="530"/>
      <c r="FA15" s="134"/>
      <c r="FB15" s="387" t="s">
        <v>414</v>
      </c>
      <c r="FC15" s="392" t="s">
        <v>349</v>
      </c>
      <c r="FD15" s="389" t="s">
        <v>401</v>
      </c>
      <c r="FE15" s="375"/>
      <c r="FF15" s="374"/>
      <c r="FG15" s="375"/>
      <c r="FH15" s="374"/>
      <c r="FI15" s="389" t="s">
        <v>485</v>
      </c>
      <c r="FJ15" s="391" t="s">
        <v>452</v>
      </c>
      <c r="FK15" s="559" t="s">
        <v>328</v>
      </c>
      <c r="FL15" s="530"/>
      <c r="FM15" s="134"/>
      <c r="FN15" s="387" t="s">
        <v>384</v>
      </c>
      <c r="FO15" s="392" t="s">
        <v>355</v>
      </c>
      <c r="FP15" s="389" t="s">
        <v>377</v>
      </c>
      <c r="FQ15" s="375"/>
      <c r="FR15" s="374"/>
      <c r="FS15" s="375"/>
      <c r="FT15" s="374"/>
      <c r="FU15" s="389" t="s">
        <v>380</v>
      </c>
      <c r="FV15" s="392" t="s">
        <v>349</v>
      </c>
      <c r="FW15" s="559" t="s">
        <v>382</v>
      </c>
      <c r="FX15" s="530"/>
    </row>
    <row r="16">
      <c r="A16" s="109">
        <v>1.0</v>
      </c>
      <c r="B16" s="429">
        <v>2.0</v>
      </c>
      <c r="C16" s="553" t="str">
        <f>'Schedule | 1 Division'!E6</f>
        <v>Verso Time</v>
      </c>
      <c r="D16" s="560">
        <f t="shared" ref="D16:E16" si="11">R41</f>
        <v>2</v>
      </c>
      <c r="E16" s="560">
        <f t="shared" si="11"/>
        <v>0</v>
      </c>
      <c r="F16" s="561" t="str">
        <f>'Schedule | 1 Division'!I6</f>
        <v>FORZE</v>
      </c>
      <c r="G16" s="562" t="str">
        <f t="shared" si="12"/>
        <v>Verso Time</v>
      </c>
      <c r="H16" s="563" t="str">
        <f t="shared" si="13"/>
        <v/>
      </c>
      <c r="I16" s="563" t="str">
        <f t="shared" si="14"/>
        <v/>
      </c>
      <c r="J16" s="564" t="str">
        <f t="shared" si="15"/>
        <v>FORZE</v>
      </c>
      <c r="K16" s="540"/>
      <c r="L16" s="540"/>
      <c r="M16" s="371">
        <v>3.0</v>
      </c>
      <c r="N16" s="29"/>
      <c r="O16" s="372"/>
      <c r="P16" s="109"/>
      <c r="Q16" s="373"/>
      <c r="R16" s="380"/>
      <c r="S16" s="393"/>
      <c r="T16" s="109"/>
      <c r="U16" s="109"/>
      <c r="V16" s="372"/>
      <c r="W16" s="373"/>
      <c r="X16" s="540"/>
      <c r="Y16" s="371">
        <v>3.0</v>
      </c>
      <c r="Z16" s="29"/>
      <c r="AA16" s="372"/>
      <c r="AB16" s="109"/>
      <c r="AC16" s="373"/>
      <c r="AD16" s="380"/>
      <c r="AE16" s="393"/>
      <c r="AF16" s="109"/>
      <c r="AG16" s="109"/>
      <c r="AH16" s="565"/>
      <c r="AI16" s="371"/>
      <c r="AJ16" s="540"/>
      <c r="AK16" s="371">
        <v>3.0</v>
      </c>
      <c r="AL16" s="29" t="s">
        <v>324</v>
      </c>
      <c r="AM16" s="242" t="s">
        <v>393</v>
      </c>
      <c r="AN16" s="109" t="s">
        <v>401</v>
      </c>
      <c r="AO16" s="373" t="s">
        <v>321</v>
      </c>
      <c r="AP16" s="380" t="s">
        <v>319</v>
      </c>
      <c r="AQ16" s="393" t="s">
        <v>320</v>
      </c>
      <c r="AR16" s="109" t="s">
        <v>318</v>
      </c>
      <c r="AS16" s="109" t="s">
        <v>331</v>
      </c>
      <c r="AT16" s="566" t="s">
        <v>366</v>
      </c>
      <c r="AU16" s="371" t="s">
        <v>325</v>
      </c>
      <c r="AV16" s="540"/>
      <c r="AW16" s="371">
        <v>3.0</v>
      </c>
      <c r="AX16" s="29" t="s">
        <v>328</v>
      </c>
      <c r="AY16" s="240" t="s">
        <v>326</v>
      </c>
      <c r="AZ16" s="109" t="s">
        <v>374</v>
      </c>
      <c r="BA16" s="373" t="s">
        <v>318</v>
      </c>
      <c r="BB16" s="380" t="s">
        <v>319</v>
      </c>
      <c r="BC16" s="393" t="s">
        <v>320</v>
      </c>
      <c r="BD16" s="109" t="s">
        <v>321</v>
      </c>
      <c r="BE16" s="109" t="s">
        <v>315</v>
      </c>
      <c r="BF16" s="566" t="s">
        <v>426</v>
      </c>
      <c r="BG16" s="371" t="s">
        <v>327</v>
      </c>
      <c r="BH16" s="540"/>
      <c r="BI16" s="371">
        <v>3.0</v>
      </c>
      <c r="BJ16" s="29"/>
      <c r="BK16" s="240"/>
      <c r="BL16" s="109"/>
      <c r="BM16" s="373"/>
      <c r="BN16" s="380"/>
      <c r="BO16" s="393"/>
      <c r="BP16" s="109"/>
      <c r="BQ16" s="109"/>
      <c r="BR16" s="566"/>
      <c r="BS16" s="371"/>
      <c r="BT16" s="540"/>
      <c r="BU16" s="371">
        <v>3.0</v>
      </c>
      <c r="BV16" s="29"/>
      <c r="BW16" s="242"/>
      <c r="BX16" s="109"/>
      <c r="BY16" s="373"/>
      <c r="BZ16" s="380"/>
      <c r="CA16" s="393"/>
      <c r="CB16" s="109"/>
      <c r="CC16" s="109"/>
      <c r="CD16" s="566"/>
      <c r="CE16" s="371"/>
      <c r="CF16" s="540"/>
      <c r="CG16" s="371">
        <v>3.0</v>
      </c>
      <c r="CH16" s="29"/>
      <c r="CI16" s="567"/>
      <c r="CJ16" s="109"/>
      <c r="CK16" s="373"/>
      <c r="CL16" s="380"/>
      <c r="CM16" s="393"/>
      <c r="CN16" s="109"/>
      <c r="CO16" s="109"/>
      <c r="CP16" s="566"/>
      <c r="CQ16" s="371"/>
      <c r="CR16" s="540"/>
      <c r="CS16" s="371">
        <v>3.0</v>
      </c>
      <c r="CT16" s="29"/>
      <c r="CU16" s="372"/>
      <c r="CV16" s="109"/>
      <c r="CW16" s="373"/>
      <c r="CX16" s="380"/>
      <c r="CY16" s="380"/>
      <c r="CZ16" s="29"/>
      <c r="DA16" s="109"/>
      <c r="DB16" s="372"/>
      <c r="DC16" s="373"/>
      <c r="DD16" s="540"/>
      <c r="DE16" s="371">
        <v>3.0</v>
      </c>
      <c r="DF16" s="29" t="s">
        <v>315</v>
      </c>
      <c r="DG16" s="385" t="s">
        <v>394</v>
      </c>
      <c r="DH16" s="109" t="s">
        <v>342</v>
      </c>
      <c r="DI16" s="373" t="s">
        <v>318</v>
      </c>
      <c r="DJ16" s="380" t="s">
        <v>320</v>
      </c>
      <c r="DK16" s="393" t="s">
        <v>319</v>
      </c>
      <c r="DL16" s="109" t="s">
        <v>321</v>
      </c>
      <c r="DM16" s="109" t="s">
        <v>328</v>
      </c>
      <c r="DN16" s="242" t="s">
        <v>393</v>
      </c>
      <c r="DO16" s="371" t="s">
        <v>327</v>
      </c>
      <c r="DP16" s="540"/>
      <c r="DQ16" s="371">
        <v>3.0</v>
      </c>
      <c r="DR16" s="29"/>
      <c r="DS16" s="372"/>
      <c r="DT16" s="109"/>
      <c r="DU16" s="373"/>
      <c r="DV16" s="380"/>
      <c r="DW16" s="393"/>
      <c r="DX16" s="109"/>
      <c r="DY16" s="109"/>
      <c r="DZ16" s="372"/>
      <c r="EA16" s="371"/>
      <c r="EB16" s="540"/>
      <c r="EC16" s="371">
        <v>3.0</v>
      </c>
      <c r="ED16" s="29" t="s">
        <v>342</v>
      </c>
      <c r="EE16" s="242" t="s">
        <v>393</v>
      </c>
      <c r="EF16" s="109" t="s">
        <v>401</v>
      </c>
      <c r="EG16" s="373" t="s">
        <v>321</v>
      </c>
      <c r="EH16" s="380" t="s">
        <v>320</v>
      </c>
      <c r="EI16" s="393" t="s">
        <v>319</v>
      </c>
      <c r="EJ16" s="109" t="s">
        <v>318</v>
      </c>
      <c r="EK16" s="109" t="s">
        <v>331</v>
      </c>
      <c r="EL16" s="566" t="s">
        <v>450</v>
      </c>
      <c r="EM16" s="371" t="s">
        <v>325</v>
      </c>
      <c r="EN16" s="540"/>
      <c r="EO16" s="371">
        <v>3.0</v>
      </c>
      <c r="EP16" s="29"/>
      <c r="EQ16" s="566"/>
      <c r="ER16" s="109"/>
      <c r="ES16" s="373"/>
      <c r="ET16" s="380"/>
      <c r="EU16" s="393"/>
      <c r="EV16" s="109"/>
      <c r="EW16" s="109"/>
      <c r="EX16" s="242"/>
      <c r="EY16" s="371"/>
      <c r="EZ16" s="540"/>
      <c r="FA16" s="371">
        <v>3.0</v>
      </c>
      <c r="FB16" s="29"/>
      <c r="FC16" s="385"/>
      <c r="FD16" s="109"/>
      <c r="FE16" s="373"/>
      <c r="FF16" s="380"/>
      <c r="FG16" s="393"/>
      <c r="FH16" s="109"/>
      <c r="FI16" s="109"/>
      <c r="FJ16" s="566"/>
      <c r="FK16" s="371"/>
      <c r="FL16" s="540"/>
      <c r="FM16" s="371">
        <v>3.0</v>
      </c>
      <c r="FN16" s="29"/>
      <c r="FO16" s="568"/>
      <c r="FP16" s="109"/>
      <c r="FQ16" s="373"/>
      <c r="FR16" s="380"/>
      <c r="FS16" s="393"/>
      <c r="FT16" s="109"/>
      <c r="FU16" s="109"/>
      <c r="FV16" s="385"/>
      <c r="FW16" s="371"/>
      <c r="FX16" s="540"/>
    </row>
    <row r="17">
      <c r="A17" s="109">
        <v>1.0</v>
      </c>
      <c r="B17" s="429">
        <v>3.0</v>
      </c>
      <c r="C17" s="555" t="str">
        <f>'Schedule | 1 Division'!E7</f>
        <v>CYBERHERO</v>
      </c>
      <c r="D17" s="561">
        <f t="shared" ref="D17:E17" si="16">R61</f>
        <v>2</v>
      </c>
      <c r="E17" s="561">
        <f t="shared" si="16"/>
        <v>0</v>
      </c>
      <c r="F17" s="561" t="str">
        <f>'Schedule | 1 Division'!I7</f>
        <v>Team Yandex</v>
      </c>
      <c r="G17" s="562" t="str">
        <f t="shared" si="12"/>
        <v>CYBERHERO</v>
      </c>
      <c r="H17" s="563" t="str">
        <f t="shared" si="13"/>
        <v/>
      </c>
      <c r="I17" s="563" t="str">
        <f t="shared" si="14"/>
        <v/>
      </c>
      <c r="J17" s="564" t="str">
        <f t="shared" si="15"/>
        <v>Team Yandex</v>
      </c>
      <c r="K17" s="540"/>
      <c r="L17" s="540"/>
      <c r="M17" s="66"/>
      <c r="N17" s="29"/>
      <c r="O17" s="372"/>
      <c r="P17" s="109"/>
      <c r="Q17" s="92"/>
      <c r="S17" s="92"/>
      <c r="U17" s="109"/>
      <c r="V17" s="372"/>
      <c r="W17" s="373"/>
      <c r="X17" s="540"/>
      <c r="Y17" s="66"/>
      <c r="Z17" s="29"/>
      <c r="AA17" s="372"/>
      <c r="AB17" s="109"/>
      <c r="AC17" s="92"/>
      <c r="AE17" s="92"/>
      <c r="AG17" s="109"/>
      <c r="AH17" s="565"/>
      <c r="AI17" s="371"/>
      <c r="AJ17" s="540"/>
      <c r="AK17" s="66"/>
      <c r="AL17" s="29" t="s">
        <v>342</v>
      </c>
      <c r="AM17" s="242" t="s">
        <v>381</v>
      </c>
      <c r="AN17" s="109" t="s">
        <v>361</v>
      </c>
      <c r="AO17" s="92"/>
      <c r="AQ17" s="92"/>
      <c r="AS17" s="109" t="s">
        <v>375</v>
      </c>
      <c r="AT17" s="566" t="s">
        <v>336</v>
      </c>
      <c r="AU17" s="371" t="s">
        <v>315</v>
      </c>
      <c r="AV17" s="540"/>
      <c r="AW17" s="66"/>
      <c r="AX17" s="29" t="s">
        <v>334</v>
      </c>
      <c r="AY17" s="240" t="s">
        <v>330</v>
      </c>
      <c r="AZ17" s="109" t="s">
        <v>331</v>
      </c>
      <c r="BA17" s="92"/>
      <c r="BC17" s="92"/>
      <c r="BE17" s="109" t="s">
        <v>369</v>
      </c>
      <c r="BF17" s="566" t="s">
        <v>437</v>
      </c>
      <c r="BG17" s="371" t="s">
        <v>342</v>
      </c>
      <c r="BH17" s="540"/>
      <c r="BI17" s="66"/>
      <c r="BJ17" s="29"/>
      <c r="BK17" s="240"/>
      <c r="BL17" s="109"/>
      <c r="BM17" s="92"/>
      <c r="BO17" s="92"/>
      <c r="BQ17" s="109"/>
      <c r="BR17" s="566"/>
      <c r="BS17" s="371"/>
      <c r="BT17" s="540"/>
      <c r="BU17" s="66"/>
      <c r="BV17" s="29"/>
      <c r="BW17" s="242"/>
      <c r="BX17" s="109"/>
      <c r="BY17" s="92"/>
      <c r="CA17" s="92"/>
      <c r="CC17" s="109"/>
      <c r="CD17" s="566"/>
      <c r="CE17" s="371"/>
      <c r="CF17" s="540"/>
      <c r="CG17" s="66"/>
      <c r="CH17" s="29"/>
      <c r="CI17" s="243"/>
      <c r="CJ17" s="109"/>
      <c r="CK17" s="92"/>
      <c r="CM17" s="92"/>
      <c r="CO17" s="109"/>
      <c r="CP17" s="566"/>
      <c r="CQ17" s="371"/>
      <c r="CR17" s="540"/>
      <c r="CS17" s="66"/>
      <c r="CT17" s="29"/>
      <c r="CU17" s="372"/>
      <c r="CV17" s="109"/>
      <c r="CW17" s="92"/>
      <c r="CZ17" s="55"/>
      <c r="DA17" s="109"/>
      <c r="DB17" s="372"/>
      <c r="DC17" s="373"/>
      <c r="DD17" s="540"/>
      <c r="DE17" s="66"/>
      <c r="DF17" s="29" t="s">
        <v>331</v>
      </c>
      <c r="DG17" s="240" t="s">
        <v>366</v>
      </c>
      <c r="DH17" s="109" t="s">
        <v>334</v>
      </c>
      <c r="DI17" s="92"/>
      <c r="DK17" s="92"/>
      <c r="DM17" s="109" t="s">
        <v>324</v>
      </c>
      <c r="DN17" s="242" t="s">
        <v>381</v>
      </c>
      <c r="DO17" s="371" t="s">
        <v>317</v>
      </c>
      <c r="DP17" s="540"/>
      <c r="DQ17" s="66"/>
      <c r="DR17" s="29"/>
      <c r="DS17" s="372"/>
      <c r="DT17" s="109"/>
      <c r="DU17" s="92"/>
      <c r="DW17" s="92"/>
      <c r="DY17" s="109"/>
      <c r="DZ17" s="372"/>
      <c r="EA17" s="371"/>
      <c r="EB17" s="540"/>
      <c r="EC17" s="66"/>
      <c r="ED17" s="29" t="s">
        <v>327</v>
      </c>
      <c r="EE17" s="242" t="s">
        <v>381</v>
      </c>
      <c r="EF17" s="109" t="s">
        <v>418</v>
      </c>
      <c r="EG17" s="92"/>
      <c r="EI17" s="92"/>
      <c r="EK17" s="109" t="s">
        <v>337</v>
      </c>
      <c r="EL17" s="566" t="s">
        <v>454</v>
      </c>
      <c r="EM17" s="371" t="s">
        <v>324</v>
      </c>
      <c r="EN17" s="540"/>
      <c r="EO17" s="66"/>
      <c r="EP17" s="29"/>
      <c r="EQ17" s="566"/>
      <c r="ER17" s="109"/>
      <c r="ES17" s="92"/>
      <c r="EU17" s="92"/>
      <c r="EW17" s="109"/>
      <c r="EX17" s="242"/>
      <c r="EY17" s="371"/>
      <c r="EZ17" s="540"/>
      <c r="FA17" s="66"/>
      <c r="FB17" s="29"/>
      <c r="FC17" s="240"/>
      <c r="FD17" s="109"/>
      <c r="FE17" s="92"/>
      <c r="FG17" s="92"/>
      <c r="FI17" s="109"/>
      <c r="FJ17" s="566"/>
      <c r="FK17" s="371"/>
      <c r="FL17" s="540"/>
      <c r="FM17" s="66"/>
      <c r="FN17" s="29"/>
      <c r="FO17" s="568"/>
      <c r="FP17" s="109"/>
      <c r="FQ17" s="92"/>
      <c r="FS17" s="92"/>
      <c r="FU17" s="109"/>
      <c r="FV17" s="240"/>
      <c r="FW17" s="371"/>
      <c r="FX17" s="540"/>
    </row>
    <row r="18">
      <c r="A18" s="389">
        <v>1.0</v>
      </c>
      <c r="B18" s="569">
        <v>4.0</v>
      </c>
      <c r="C18" s="570" t="str">
        <f>'Schedule | 1 Division'!E8</f>
        <v>Magic</v>
      </c>
      <c r="D18" s="571">
        <f t="shared" ref="D18:E18" si="17">R81</f>
        <v>1</v>
      </c>
      <c r="E18" s="571">
        <f t="shared" si="17"/>
        <v>2</v>
      </c>
      <c r="F18" s="572" t="str">
        <f>'Schedule | 1 Division'!I8</f>
        <v>Virtus.pro</v>
      </c>
      <c r="G18" s="573" t="str">
        <f t="shared" si="12"/>
        <v/>
      </c>
      <c r="H18" s="574" t="str">
        <f t="shared" si="13"/>
        <v>Virtus.pro</v>
      </c>
      <c r="I18" s="575" t="str">
        <f t="shared" si="14"/>
        <v>Magic</v>
      </c>
      <c r="J18" s="576" t="str">
        <f t="shared" si="15"/>
        <v/>
      </c>
      <c r="K18" s="540"/>
      <c r="L18" s="540"/>
      <c r="M18" s="66"/>
      <c r="N18" s="29"/>
      <c r="O18" s="372"/>
      <c r="P18" s="109"/>
      <c r="Q18" s="92"/>
      <c r="S18" s="92"/>
      <c r="U18" s="109"/>
      <c r="V18" s="372"/>
      <c r="W18" s="373"/>
      <c r="X18" s="540"/>
      <c r="Y18" s="66"/>
      <c r="Z18" s="29"/>
      <c r="AA18" s="372"/>
      <c r="AB18" s="109"/>
      <c r="AC18" s="92"/>
      <c r="AE18" s="92"/>
      <c r="AG18" s="109"/>
      <c r="AH18" s="565"/>
      <c r="AI18" s="371"/>
      <c r="AJ18" s="540"/>
      <c r="AK18" s="66"/>
      <c r="AL18" s="29" t="s">
        <v>327</v>
      </c>
      <c r="AM18" s="242" t="s">
        <v>365</v>
      </c>
      <c r="AN18" s="109" t="s">
        <v>374</v>
      </c>
      <c r="AO18" s="92"/>
      <c r="AQ18" s="92"/>
      <c r="AS18" s="109" t="s">
        <v>352</v>
      </c>
      <c r="AT18" s="566" t="s">
        <v>339</v>
      </c>
      <c r="AU18" s="371" t="s">
        <v>328</v>
      </c>
      <c r="AV18" s="540"/>
      <c r="AW18" s="66"/>
      <c r="AX18" s="29" t="s">
        <v>368</v>
      </c>
      <c r="AY18" s="240" t="s">
        <v>338</v>
      </c>
      <c r="AZ18" s="109" t="s">
        <v>361</v>
      </c>
      <c r="BA18" s="92"/>
      <c r="BC18" s="92"/>
      <c r="BE18" s="109" t="s">
        <v>400</v>
      </c>
      <c r="BF18" s="566" t="s">
        <v>442</v>
      </c>
      <c r="BG18" s="371" t="s">
        <v>324</v>
      </c>
      <c r="BH18" s="540"/>
      <c r="BI18" s="66"/>
      <c r="BJ18" s="29"/>
      <c r="BK18" s="240"/>
      <c r="BL18" s="109"/>
      <c r="BM18" s="92"/>
      <c r="BO18" s="92"/>
      <c r="BQ18" s="109"/>
      <c r="BR18" s="566"/>
      <c r="BS18" s="371"/>
      <c r="BT18" s="540"/>
      <c r="BU18" s="66"/>
      <c r="BV18" s="29"/>
      <c r="BW18" s="242"/>
      <c r="BX18" s="109"/>
      <c r="BY18" s="92"/>
      <c r="CA18" s="92"/>
      <c r="CC18" s="109"/>
      <c r="CD18" s="566"/>
      <c r="CE18" s="371"/>
      <c r="CF18" s="540"/>
      <c r="CG18" s="66"/>
      <c r="CH18" s="29"/>
      <c r="CI18" s="243"/>
      <c r="CJ18" s="109"/>
      <c r="CK18" s="92"/>
      <c r="CM18" s="92"/>
      <c r="CO18" s="109"/>
      <c r="CP18" s="566"/>
      <c r="CQ18" s="371"/>
      <c r="CR18" s="540"/>
      <c r="CS18" s="66"/>
      <c r="CT18" s="29"/>
      <c r="CU18" s="372"/>
      <c r="CV18" s="109"/>
      <c r="CW18" s="92"/>
      <c r="CZ18" s="55"/>
      <c r="DA18" s="109"/>
      <c r="DB18" s="372"/>
      <c r="DC18" s="373"/>
      <c r="DD18" s="540"/>
      <c r="DE18" s="66"/>
      <c r="DF18" s="29" t="s">
        <v>325</v>
      </c>
      <c r="DG18" s="240" t="s">
        <v>336</v>
      </c>
      <c r="DH18" s="109" t="s">
        <v>377</v>
      </c>
      <c r="DI18" s="92"/>
      <c r="DK18" s="92"/>
      <c r="DM18" s="109" t="s">
        <v>352</v>
      </c>
      <c r="DN18" s="242" t="s">
        <v>365</v>
      </c>
      <c r="DO18" s="371" t="s">
        <v>400</v>
      </c>
      <c r="DP18" s="540"/>
      <c r="DQ18" s="66"/>
      <c r="DR18" s="29"/>
      <c r="DS18" s="372"/>
      <c r="DT18" s="109"/>
      <c r="DU18" s="92"/>
      <c r="DW18" s="92"/>
      <c r="DY18" s="109"/>
      <c r="DZ18" s="372"/>
      <c r="EA18" s="371"/>
      <c r="EB18" s="540"/>
      <c r="EC18" s="66"/>
      <c r="ED18" s="29" t="s">
        <v>328</v>
      </c>
      <c r="EE18" s="242" t="s">
        <v>365</v>
      </c>
      <c r="EF18" s="109" t="s">
        <v>348</v>
      </c>
      <c r="EG18" s="92"/>
      <c r="EI18" s="92"/>
      <c r="EK18" s="109" t="s">
        <v>373</v>
      </c>
      <c r="EL18" s="566" t="s">
        <v>448</v>
      </c>
      <c r="EM18" s="371" t="s">
        <v>317</v>
      </c>
      <c r="EN18" s="540"/>
      <c r="EO18" s="66"/>
      <c r="EP18" s="29"/>
      <c r="EQ18" s="566"/>
      <c r="ER18" s="109"/>
      <c r="ES18" s="92"/>
      <c r="EU18" s="92"/>
      <c r="EW18" s="109"/>
      <c r="EX18" s="242"/>
      <c r="EY18" s="371"/>
      <c r="EZ18" s="540"/>
      <c r="FA18" s="66"/>
      <c r="FB18" s="29"/>
      <c r="FC18" s="240"/>
      <c r="FD18" s="109"/>
      <c r="FE18" s="92"/>
      <c r="FG18" s="92"/>
      <c r="FI18" s="109"/>
      <c r="FJ18" s="566"/>
      <c r="FK18" s="371"/>
      <c r="FL18" s="540"/>
      <c r="FM18" s="66"/>
      <c r="FN18" s="29"/>
      <c r="FO18" s="568"/>
      <c r="FP18" s="109"/>
      <c r="FQ18" s="92"/>
      <c r="FS18" s="92"/>
      <c r="FU18" s="109"/>
      <c r="FV18" s="240"/>
      <c r="FW18" s="371"/>
      <c r="FX18" s="540"/>
    </row>
    <row r="19">
      <c r="A19" s="109">
        <v>1.0</v>
      </c>
      <c r="B19" s="429">
        <v>5.0</v>
      </c>
      <c r="C19" s="577" t="str">
        <f>'Schedule | 1 Division'!E11</f>
        <v>Team Spirit</v>
      </c>
      <c r="D19" s="578">
        <f t="shared" ref="D19:E19" si="18">AD21</f>
        <v>2</v>
      </c>
      <c r="E19" s="578">
        <f t="shared" si="18"/>
        <v>0</v>
      </c>
      <c r="F19" s="555" t="str">
        <f>'Schedule | 1 Division'!I11</f>
        <v>CYBERHERO</v>
      </c>
      <c r="G19" s="562" t="str">
        <f t="shared" si="12"/>
        <v>Team Spirit</v>
      </c>
      <c r="H19" s="563" t="str">
        <f t="shared" si="13"/>
        <v/>
      </c>
      <c r="I19" s="563" t="str">
        <f t="shared" si="14"/>
        <v/>
      </c>
      <c r="J19" s="579" t="str">
        <f t="shared" si="15"/>
        <v>CYBERHERO</v>
      </c>
      <c r="K19" s="540"/>
      <c r="L19" s="540"/>
      <c r="M19" s="66"/>
      <c r="N19" s="29"/>
      <c r="O19" s="372"/>
      <c r="P19" s="109"/>
      <c r="Q19" s="92"/>
      <c r="S19" s="92"/>
      <c r="U19" s="109"/>
      <c r="V19" s="372"/>
      <c r="W19" s="373"/>
      <c r="X19" s="540"/>
      <c r="Y19" s="66"/>
      <c r="Z19" s="29"/>
      <c r="AA19" s="372"/>
      <c r="AB19" s="109"/>
      <c r="AC19" s="92"/>
      <c r="AE19" s="92"/>
      <c r="AG19" s="109"/>
      <c r="AH19" s="565"/>
      <c r="AI19" s="371"/>
      <c r="AJ19" s="540"/>
      <c r="AK19" s="66"/>
      <c r="AL19" s="29" t="s">
        <v>369</v>
      </c>
      <c r="AM19" s="242" t="s">
        <v>335</v>
      </c>
      <c r="AN19" s="109" t="s">
        <v>400</v>
      </c>
      <c r="AO19" s="92"/>
      <c r="AQ19" s="92"/>
      <c r="AS19" s="109" t="s">
        <v>395</v>
      </c>
      <c r="AT19" s="566" t="s">
        <v>383</v>
      </c>
      <c r="AU19" s="371" t="s">
        <v>317</v>
      </c>
      <c r="AV19" s="540"/>
      <c r="AW19" s="66"/>
      <c r="AX19" s="29" t="s">
        <v>352</v>
      </c>
      <c r="AY19" s="240" t="s">
        <v>349</v>
      </c>
      <c r="AZ19" s="109" t="s">
        <v>377</v>
      </c>
      <c r="BA19" s="92"/>
      <c r="BC19" s="92"/>
      <c r="BE19" s="109" t="s">
        <v>401</v>
      </c>
      <c r="BF19" s="566" t="s">
        <v>725</v>
      </c>
      <c r="BG19" s="371" t="s">
        <v>391</v>
      </c>
      <c r="BH19" s="540"/>
      <c r="BI19" s="66"/>
      <c r="BJ19" s="29"/>
      <c r="BK19" s="240"/>
      <c r="BL19" s="109"/>
      <c r="BM19" s="92"/>
      <c r="BO19" s="92"/>
      <c r="BQ19" s="109"/>
      <c r="BR19" s="566"/>
      <c r="BS19" s="371"/>
      <c r="BT19" s="540"/>
      <c r="BU19" s="66"/>
      <c r="BV19" s="29"/>
      <c r="BW19" s="242"/>
      <c r="BX19" s="109"/>
      <c r="BY19" s="92"/>
      <c r="CA19" s="92"/>
      <c r="CC19" s="109"/>
      <c r="CD19" s="566"/>
      <c r="CE19" s="371"/>
      <c r="CF19" s="540"/>
      <c r="CG19" s="66"/>
      <c r="CH19" s="29"/>
      <c r="CI19" s="243"/>
      <c r="CJ19" s="109"/>
      <c r="CK19" s="92"/>
      <c r="CM19" s="92"/>
      <c r="CO19" s="109"/>
      <c r="CP19" s="566"/>
      <c r="CQ19" s="371"/>
      <c r="CR19" s="540"/>
      <c r="CS19" s="66"/>
      <c r="CT19" s="29"/>
      <c r="CU19" s="372"/>
      <c r="CV19" s="109"/>
      <c r="CW19" s="92"/>
      <c r="CZ19" s="55"/>
      <c r="DA19" s="109"/>
      <c r="DB19" s="372"/>
      <c r="DC19" s="373"/>
      <c r="DD19" s="540"/>
      <c r="DE19" s="66"/>
      <c r="DF19" s="29" t="s">
        <v>412</v>
      </c>
      <c r="DG19" s="240" t="s">
        <v>383</v>
      </c>
      <c r="DH19" s="109" t="s">
        <v>322</v>
      </c>
      <c r="DI19" s="92"/>
      <c r="DK19" s="92"/>
      <c r="DM19" s="109" t="s">
        <v>376</v>
      </c>
      <c r="DN19" s="242" t="s">
        <v>335</v>
      </c>
      <c r="DO19" s="371" t="s">
        <v>361</v>
      </c>
      <c r="DP19" s="540"/>
      <c r="DQ19" s="66"/>
      <c r="DR19" s="29"/>
      <c r="DS19" s="372"/>
      <c r="DT19" s="109"/>
      <c r="DU19" s="92"/>
      <c r="DW19" s="92"/>
      <c r="DY19" s="109"/>
      <c r="DZ19" s="372"/>
      <c r="EA19" s="371"/>
      <c r="EB19" s="540"/>
      <c r="EC19" s="66"/>
      <c r="ED19" s="29" t="s">
        <v>361</v>
      </c>
      <c r="EE19" s="242" t="s">
        <v>335</v>
      </c>
      <c r="EF19" s="109" t="s">
        <v>343</v>
      </c>
      <c r="EG19" s="92"/>
      <c r="EI19" s="92"/>
      <c r="EK19" s="109" t="s">
        <v>414</v>
      </c>
      <c r="EL19" s="566" t="s">
        <v>452</v>
      </c>
      <c r="EM19" s="371" t="s">
        <v>376</v>
      </c>
      <c r="EN19" s="540"/>
      <c r="EO19" s="66"/>
      <c r="EP19" s="29"/>
      <c r="EQ19" s="566"/>
      <c r="ER19" s="109"/>
      <c r="ES19" s="92"/>
      <c r="EU19" s="92"/>
      <c r="EW19" s="109"/>
      <c r="EX19" s="242"/>
      <c r="EY19" s="371"/>
      <c r="EZ19" s="540"/>
      <c r="FA19" s="66"/>
      <c r="FB19" s="29"/>
      <c r="FC19" s="240"/>
      <c r="FD19" s="109"/>
      <c r="FE19" s="92"/>
      <c r="FG19" s="92"/>
      <c r="FI19" s="109"/>
      <c r="FJ19" s="566"/>
      <c r="FK19" s="371"/>
      <c r="FL19" s="540"/>
      <c r="FM19" s="66"/>
      <c r="FN19" s="29"/>
      <c r="FO19" s="568"/>
      <c r="FP19" s="109"/>
      <c r="FQ19" s="92"/>
      <c r="FS19" s="92"/>
      <c r="FU19" s="109"/>
      <c r="FV19" s="240"/>
      <c r="FW19" s="371"/>
      <c r="FX19" s="540"/>
    </row>
    <row r="20">
      <c r="A20" s="109">
        <v>1.0</v>
      </c>
      <c r="B20" s="429">
        <v>6.0</v>
      </c>
      <c r="C20" s="580" t="str">
        <f>'Schedule | 1 Division'!E12</f>
        <v>Virtus.pro</v>
      </c>
      <c r="D20" s="561">
        <f t="shared" ref="D20:E20" si="19">AD41</f>
        <v>2</v>
      </c>
      <c r="E20" s="561">
        <f t="shared" si="19"/>
        <v>1</v>
      </c>
      <c r="F20" s="555" t="str">
        <f>'Schedule | 1 Division'!I12</f>
        <v>FORZE</v>
      </c>
      <c r="G20" s="562" t="str">
        <f t="shared" si="12"/>
        <v/>
      </c>
      <c r="H20" s="563" t="str">
        <f t="shared" si="13"/>
        <v>Virtus.pro</v>
      </c>
      <c r="I20" s="563" t="str">
        <f t="shared" si="14"/>
        <v>FORZE</v>
      </c>
      <c r="J20" s="579" t="str">
        <f t="shared" si="15"/>
        <v/>
      </c>
      <c r="K20" s="540"/>
      <c r="L20" s="540"/>
      <c r="M20" s="94"/>
      <c r="N20" s="394"/>
      <c r="O20" s="395"/>
      <c r="P20" s="132"/>
      <c r="Q20" s="93"/>
      <c r="R20" s="22"/>
      <c r="S20" s="93"/>
      <c r="T20" s="22"/>
      <c r="U20" s="132"/>
      <c r="V20" s="395"/>
      <c r="W20" s="396"/>
      <c r="X20" s="540"/>
      <c r="Y20" s="94"/>
      <c r="Z20" s="394"/>
      <c r="AA20" s="395"/>
      <c r="AB20" s="132"/>
      <c r="AC20" s="93"/>
      <c r="AD20" s="22"/>
      <c r="AE20" s="93"/>
      <c r="AF20" s="22"/>
      <c r="AG20" s="132"/>
      <c r="AH20" s="581"/>
      <c r="AI20" s="582"/>
      <c r="AJ20" s="540"/>
      <c r="AK20" s="94"/>
      <c r="AL20" s="394" t="s">
        <v>408</v>
      </c>
      <c r="AM20" s="254" t="s">
        <v>351</v>
      </c>
      <c r="AN20" s="132" t="s">
        <v>337</v>
      </c>
      <c r="AO20" s="93"/>
      <c r="AP20" s="22"/>
      <c r="AQ20" s="93"/>
      <c r="AR20" s="22"/>
      <c r="AS20" s="132" t="s">
        <v>373</v>
      </c>
      <c r="AT20" s="583" t="s">
        <v>353</v>
      </c>
      <c r="AU20" s="582" t="s">
        <v>334</v>
      </c>
      <c r="AV20" s="540"/>
      <c r="AW20" s="94"/>
      <c r="AX20" s="394" t="s">
        <v>337</v>
      </c>
      <c r="AY20" s="252" t="s">
        <v>378</v>
      </c>
      <c r="AZ20" s="132" t="s">
        <v>387</v>
      </c>
      <c r="BA20" s="93"/>
      <c r="BB20" s="22"/>
      <c r="BC20" s="93"/>
      <c r="BD20" s="22"/>
      <c r="BE20" s="132" t="s">
        <v>405</v>
      </c>
      <c r="BF20" s="583" t="s">
        <v>422</v>
      </c>
      <c r="BG20" s="582" t="s">
        <v>348</v>
      </c>
      <c r="BH20" s="540"/>
      <c r="BI20" s="94"/>
      <c r="BJ20" s="394"/>
      <c r="BK20" s="252"/>
      <c r="BL20" s="132"/>
      <c r="BM20" s="93"/>
      <c r="BN20" s="22"/>
      <c r="BO20" s="93"/>
      <c r="BP20" s="22"/>
      <c r="BQ20" s="132"/>
      <c r="BR20" s="583"/>
      <c r="BS20" s="582"/>
      <c r="BT20" s="540"/>
      <c r="BU20" s="94"/>
      <c r="BV20" s="394"/>
      <c r="BW20" s="584"/>
      <c r="BX20" s="132"/>
      <c r="BY20" s="93"/>
      <c r="BZ20" s="22"/>
      <c r="CA20" s="93"/>
      <c r="CB20" s="22"/>
      <c r="CC20" s="132"/>
      <c r="CD20" s="583"/>
      <c r="CE20" s="582"/>
      <c r="CF20" s="540"/>
      <c r="CG20" s="94"/>
      <c r="CH20" s="394"/>
      <c r="CI20" s="255"/>
      <c r="CJ20" s="132"/>
      <c r="CK20" s="93"/>
      <c r="CL20" s="22"/>
      <c r="CM20" s="93"/>
      <c r="CN20" s="22"/>
      <c r="CO20" s="132"/>
      <c r="CP20" s="583"/>
      <c r="CQ20" s="582"/>
      <c r="CR20" s="540"/>
      <c r="CS20" s="94"/>
      <c r="CT20" s="394"/>
      <c r="CU20" s="395"/>
      <c r="CV20" s="132"/>
      <c r="CW20" s="93"/>
      <c r="CX20" s="22"/>
      <c r="CY20" s="22"/>
      <c r="CZ20" s="61"/>
      <c r="DA20" s="132"/>
      <c r="DB20" s="395"/>
      <c r="DC20" s="396"/>
      <c r="DD20" s="540"/>
      <c r="DE20" s="94"/>
      <c r="DF20" s="394" t="s">
        <v>368</v>
      </c>
      <c r="DG20" s="252" t="s">
        <v>353</v>
      </c>
      <c r="DH20" s="132" t="s">
        <v>348</v>
      </c>
      <c r="DI20" s="93"/>
      <c r="DJ20" s="22"/>
      <c r="DK20" s="93"/>
      <c r="DL20" s="22"/>
      <c r="DM20" s="132" t="s">
        <v>373</v>
      </c>
      <c r="DN20" s="254" t="s">
        <v>351</v>
      </c>
      <c r="DO20" s="582" t="s">
        <v>374</v>
      </c>
      <c r="DP20" s="540"/>
      <c r="DQ20" s="94"/>
      <c r="DR20" s="394"/>
      <c r="DS20" s="395"/>
      <c r="DT20" s="132"/>
      <c r="DU20" s="93"/>
      <c r="DV20" s="22"/>
      <c r="DW20" s="93"/>
      <c r="DX20" s="22"/>
      <c r="DY20" s="132"/>
      <c r="DZ20" s="395"/>
      <c r="EA20" s="582"/>
      <c r="EB20" s="540"/>
      <c r="EC20" s="94"/>
      <c r="ED20" s="394" t="s">
        <v>322</v>
      </c>
      <c r="EE20" s="254" t="s">
        <v>351</v>
      </c>
      <c r="EF20" s="132" t="s">
        <v>346</v>
      </c>
      <c r="EG20" s="93"/>
      <c r="EH20" s="22"/>
      <c r="EI20" s="93"/>
      <c r="EJ20" s="22"/>
      <c r="EK20" s="132" t="s">
        <v>382</v>
      </c>
      <c r="EL20" s="583" t="s">
        <v>449</v>
      </c>
      <c r="EM20" s="582" t="s">
        <v>395</v>
      </c>
      <c r="EN20" s="540"/>
      <c r="EO20" s="94"/>
      <c r="EP20" s="394"/>
      <c r="EQ20" s="583"/>
      <c r="ER20" s="132"/>
      <c r="ES20" s="93"/>
      <c r="ET20" s="22"/>
      <c r="EU20" s="93"/>
      <c r="EV20" s="22"/>
      <c r="EW20" s="132"/>
      <c r="EX20" s="254"/>
      <c r="EY20" s="582"/>
      <c r="EZ20" s="540"/>
      <c r="FA20" s="94"/>
      <c r="FB20" s="394"/>
      <c r="FC20" s="252"/>
      <c r="FD20" s="132"/>
      <c r="FE20" s="93"/>
      <c r="FF20" s="22"/>
      <c r="FG20" s="93"/>
      <c r="FH20" s="22"/>
      <c r="FI20" s="132"/>
      <c r="FJ20" s="583"/>
      <c r="FK20" s="582"/>
      <c r="FL20" s="540"/>
      <c r="FM20" s="94"/>
      <c r="FN20" s="394"/>
      <c r="FO20" s="585"/>
      <c r="FP20" s="132"/>
      <c r="FQ20" s="93"/>
      <c r="FR20" s="22"/>
      <c r="FS20" s="93"/>
      <c r="FT20" s="22"/>
      <c r="FU20" s="132"/>
      <c r="FV20" s="252"/>
      <c r="FW20" s="582"/>
      <c r="FX20" s="540"/>
    </row>
    <row r="21">
      <c r="A21" s="109">
        <v>1.0</v>
      </c>
      <c r="B21" s="429">
        <v>7.0</v>
      </c>
      <c r="C21" s="553" t="str">
        <f>'Schedule | 1 Division'!E13</f>
        <v>Magic</v>
      </c>
      <c r="D21" s="554">
        <f t="shared" ref="D21:E21" si="20">AD61</f>
        <v>0</v>
      </c>
      <c r="E21" s="554">
        <f t="shared" si="20"/>
        <v>2</v>
      </c>
      <c r="F21" s="555" t="str">
        <f>'Schedule | 1 Division'!I13</f>
        <v>Verso Time</v>
      </c>
      <c r="G21" s="562" t="str">
        <f t="shared" si="12"/>
        <v>Verso Time</v>
      </c>
      <c r="H21" s="563" t="str">
        <f t="shared" si="13"/>
        <v/>
      </c>
      <c r="I21" s="563" t="str">
        <f t="shared" si="14"/>
        <v/>
      </c>
      <c r="J21" s="579" t="str">
        <f t="shared" si="15"/>
        <v>Magic</v>
      </c>
      <c r="K21" s="540"/>
      <c r="L21" s="540"/>
      <c r="M21" s="586"/>
      <c r="N21" s="586"/>
      <c r="O21" s="586"/>
      <c r="P21" s="586"/>
      <c r="Q21" s="550"/>
      <c r="R21" s="399">
        <f t="shared" ref="R21:S21" si="21">COUNTIF(R6:R20, "W")</f>
        <v>0</v>
      </c>
      <c r="S21" s="400">
        <f t="shared" si="21"/>
        <v>2</v>
      </c>
      <c r="T21" s="550"/>
      <c r="U21" s="586"/>
      <c r="V21" s="586"/>
      <c r="W21" s="586"/>
      <c r="X21" s="540"/>
      <c r="Y21" s="586"/>
      <c r="Z21" s="586"/>
      <c r="AA21" s="586"/>
      <c r="AB21" s="586"/>
      <c r="AC21" s="550"/>
      <c r="AD21" s="399">
        <f t="shared" ref="AD21:AE21" si="22">COUNTIF(AD6:AD20, "W")</f>
        <v>2</v>
      </c>
      <c r="AE21" s="400">
        <f t="shared" si="22"/>
        <v>0</v>
      </c>
      <c r="AF21" s="550"/>
      <c r="AG21" s="586"/>
      <c r="AH21" s="586"/>
      <c r="AI21" s="586"/>
      <c r="AJ21" s="540"/>
      <c r="AK21" s="586"/>
      <c r="AL21" s="586"/>
      <c r="AM21" s="586"/>
      <c r="AN21" s="586"/>
      <c r="AO21" s="550"/>
      <c r="AP21" s="399">
        <f t="shared" ref="AP21:AQ21" si="23">COUNTIF(AP6:AP20, "W")</f>
        <v>2</v>
      </c>
      <c r="AQ21" s="400">
        <f t="shared" si="23"/>
        <v>1</v>
      </c>
      <c r="AR21" s="550"/>
      <c r="AS21" s="586"/>
      <c r="AT21" s="586"/>
      <c r="AU21" s="586"/>
      <c r="AV21" s="540"/>
      <c r="AW21" s="586"/>
      <c r="AX21" s="586"/>
      <c r="AY21" s="586"/>
      <c r="AZ21" s="586"/>
      <c r="BA21" s="550"/>
      <c r="BB21" s="399">
        <f t="shared" ref="BB21:BC21" si="24">COUNTIF(BB6:BB20, "W")</f>
        <v>2</v>
      </c>
      <c r="BC21" s="400">
        <f t="shared" si="24"/>
        <v>1</v>
      </c>
      <c r="BD21" s="550"/>
      <c r="BE21" s="586"/>
      <c r="BF21" s="586"/>
      <c r="BG21" s="586"/>
      <c r="BH21" s="540"/>
      <c r="BI21" s="586"/>
      <c r="BJ21" s="586"/>
      <c r="BK21" s="586"/>
      <c r="BL21" s="586"/>
      <c r="BM21" s="550"/>
      <c r="BN21" s="399">
        <f t="shared" ref="BN21:BO21" si="25">COUNTIF(BN6:BN20, "W")</f>
        <v>2</v>
      </c>
      <c r="BO21" s="400">
        <f t="shared" si="25"/>
        <v>0</v>
      </c>
      <c r="BP21" s="550"/>
      <c r="BQ21" s="586"/>
      <c r="BR21" s="586"/>
      <c r="BS21" s="586"/>
      <c r="BT21" s="540"/>
      <c r="BU21" s="586"/>
      <c r="BV21" s="586"/>
      <c r="BW21" s="586"/>
      <c r="BX21" s="586"/>
      <c r="BY21" s="550"/>
      <c r="BZ21" s="399">
        <f t="shared" ref="BZ21:CA21" si="26">COUNTIF(BZ6:BZ20, "W")</f>
        <v>0</v>
      </c>
      <c r="CA21" s="400">
        <f t="shared" si="26"/>
        <v>2</v>
      </c>
      <c r="CB21" s="550"/>
      <c r="CC21" s="586"/>
      <c r="CD21" s="586"/>
      <c r="CE21" s="586"/>
      <c r="CF21" s="540"/>
      <c r="CG21" s="586"/>
      <c r="CH21" s="586"/>
      <c r="CI21" s="586"/>
      <c r="CJ21" s="586"/>
      <c r="CK21" s="550"/>
      <c r="CL21" s="399">
        <f t="shared" ref="CL21:CM21" si="27">COUNTIF(CL6:CL20, "W")</f>
        <v>0</v>
      </c>
      <c r="CM21" s="400">
        <f t="shared" si="27"/>
        <v>2</v>
      </c>
      <c r="CN21" s="550"/>
      <c r="CO21" s="586"/>
      <c r="CP21" s="586"/>
      <c r="CQ21" s="586"/>
      <c r="CR21" s="540"/>
      <c r="CS21" s="586"/>
      <c r="CT21" s="586"/>
      <c r="CU21" s="586"/>
      <c r="CV21" s="586"/>
      <c r="CW21" s="550"/>
      <c r="CX21" s="399">
        <f t="shared" ref="CX21:CY21" si="28">COUNTIF(CX6:CX20, "W")</f>
        <v>2</v>
      </c>
      <c r="CY21" s="400">
        <f t="shared" si="28"/>
        <v>0</v>
      </c>
      <c r="CZ21" s="550"/>
      <c r="DA21" s="586"/>
      <c r="DB21" s="586"/>
      <c r="DC21" s="586"/>
      <c r="DD21" s="540"/>
      <c r="DE21" s="586"/>
      <c r="DF21" s="586"/>
      <c r="DG21" s="586"/>
      <c r="DH21" s="586"/>
      <c r="DI21" s="550"/>
      <c r="DJ21" s="399">
        <f t="shared" ref="DJ21:DK21" si="29">COUNTIF(DJ6:DJ20, "W")</f>
        <v>1</v>
      </c>
      <c r="DK21" s="400">
        <f t="shared" si="29"/>
        <v>2</v>
      </c>
      <c r="DL21" s="550"/>
      <c r="DM21" s="586"/>
      <c r="DN21" s="586"/>
      <c r="DO21" s="586"/>
      <c r="DP21" s="540"/>
      <c r="DQ21" s="586"/>
      <c r="DR21" s="586"/>
      <c r="DS21" s="586"/>
      <c r="DT21" s="586"/>
      <c r="DU21" s="550"/>
      <c r="DV21" s="399">
        <f t="shared" ref="DV21:DW21" si="30">COUNTIF(DV6:DV20, "W")</f>
        <v>0</v>
      </c>
      <c r="DW21" s="400">
        <f t="shared" si="30"/>
        <v>2</v>
      </c>
      <c r="DX21" s="550"/>
      <c r="DY21" s="586"/>
      <c r="DZ21" s="586"/>
      <c r="EA21" s="586"/>
      <c r="EB21" s="540"/>
      <c r="EC21" s="586"/>
      <c r="ED21" s="586"/>
      <c r="EE21" s="586"/>
      <c r="EF21" s="586"/>
      <c r="EG21" s="550"/>
      <c r="EH21" s="399">
        <f t="shared" ref="EH21:EI21" si="31">COUNTIF(EH6:EH20, "W")</f>
        <v>1</v>
      </c>
      <c r="EI21" s="400">
        <f t="shared" si="31"/>
        <v>2</v>
      </c>
      <c r="EJ21" s="550"/>
      <c r="EK21" s="586"/>
      <c r="EL21" s="586"/>
      <c r="EM21" s="586"/>
      <c r="EN21" s="540"/>
      <c r="EO21" s="586"/>
      <c r="EP21" s="586"/>
      <c r="EQ21" s="586"/>
      <c r="ER21" s="586"/>
      <c r="ES21" s="550"/>
      <c r="ET21" s="399">
        <f t="shared" ref="ET21:EU21" si="32">COUNTIF(ET6:ET20, "W")</f>
        <v>2</v>
      </c>
      <c r="EU21" s="400">
        <f t="shared" si="32"/>
        <v>0</v>
      </c>
      <c r="EV21" s="550"/>
      <c r="EW21" s="586"/>
      <c r="EX21" s="586"/>
      <c r="EY21" s="586"/>
      <c r="EZ21" s="540"/>
      <c r="FA21" s="586"/>
      <c r="FB21" s="586"/>
      <c r="FC21" s="586"/>
      <c r="FD21" s="586"/>
      <c r="FE21" s="550"/>
      <c r="FF21" s="399">
        <f t="shared" ref="FF21:FG21" si="33">COUNTIF(FF6:FF20, "W")</f>
        <v>0</v>
      </c>
      <c r="FG21" s="400">
        <f t="shared" si="33"/>
        <v>2</v>
      </c>
      <c r="FH21" s="550"/>
      <c r="FI21" s="586"/>
      <c r="FJ21" s="586"/>
      <c r="FK21" s="586"/>
      <c r="FL21" s="540"/>
      <c r="FM21" s="586"/>
      <c r="FN21" s="586"/>
      <c r="FO21" s="586"/>
      <c r="FP21" s="586"/>
      <c r="FQ21" s="550"/>
      <c r="FR21" s="399">
        <f t="shared" ref="FR21:FS21" si="34">COUNTIF(FR6:FR20, "W")</f>
        <v>0</v>
      </c>
      <c r="FS21" s="400">
        <f t="shared" si="34"/>
        <v>2</v>
      </c>
      <c r="FT21" s="550"/>
      <c r="FU21" s="586"/>
      <c r="FV21" s="586"/>
      <c r="FW21" s="586"/>
      <c r="FX21" s="540"/>
    </row>
    <row r="22">
      <c r="A22" s="109">
        <v>1.0</v>
      </c>
      <c r="B22" s="429">
        <v>8.0</v>
      </c>
      <c r="C22" s="555" t="str">
        <f>'Schedule | 1 Division'!E14</f>
        <v>Team Yandex</v>
      </c>
      <c r="D22" s="578">
        <f t="shared" ref="D22:E22" si="35">AD81</f>
        <v>2</v>
      </c>
      <c r="E22" s="578">
        <f t="shared" si="35"/>
        <v>0</v>
      </c>
      <c r="F22" s="555" t="str">
        <f>'Schedule | 1 Division'!I14</f>
        <v>Aura Farmers</v>
      </c>
      <c r="G22" s="562" t="str">
        <f t="shared" si="12"/>
        <v>Team Yandex</v>
      </c>
      <c r="H22" s="563" t="str">
        <f t="shared" si="13"/>
        <v/>
      </c>
      <c r="I22" s="563" t="str">
        <f t="shared" si="14"/>
        <v/>
      </c>
      <c r="J22" s="579" t="str">
        <f t="shared" si="15"/>
        <v>Aura Farmers</v>
      </c>
      <c r="K22" s="540"/>
      <c r="L22" s="540"/>
      <c r="M22" s="586"/>
      <c r="N22" s="586"/>
      <c r="O22" s="586"/>
      <c r="P22" s="586"/>
      <c r="Q22" s="550"/>
      <c r="R22" s="586"/>
      <c r="S22" s="586"/>
      <c r="T22" s="586"/>
      <c r="U22" s="586"/>
      <c r="V22" s="586"/>
      <c r="W22" s="586"/>
      <c r="X22" s="540"/>
      <c r="Y22" s="586"/>
      <c r="Z22" s="586"/>
      <c r="AA22" s="586"/>
      <c r="AB22" s="586"/>
      <c r="AC22" s="550"/>
      <c r="AD22" s="586"/>
      <c r="AE22" s="586"/>
      <c r="AF22" s="586"/>
      <c r="AG22" s="586"/>
      <c r="AH22" s="586"/>
      <c r="AI22" s="586"/>
      <c r="AJ22" s="540"/>
      <c r="AK22" s="586"/>
      <c r="AL22" s="586"/>
      <c r="AM22" s="586"/>
      <c r="AN22" s="586"/>
      <c r="AO22" s="550"/>
      <c r="AP22" s="586"/>
      <c r="AQ22" s="586"/>
      <c r="AR22" s="586"/>
      <c r="AS22" s="586"/>
      <c r="AT22" s="586"/>
      <c r="AU22" s="586"/>
      <c r="AV22" s="540"/>
      <c r="AW22" s="586"/>
      <c r="AX22" s="586"/>
      <c r="AY22" s="586"/>
      <c r="AZ22" s="586"/>
      <c r="BA22" s="550"/>
      <c r="BB22" s="586"/>
      <c r="BC22" s="586"/>
      <c r="BD22" s="586"/>
      <c r="BE22" s="586"/>
      <c r="BF22" s="586"/>
      <c r="BG22" s="586"/>
      <c r="BH22" s="540"/>
      <c r="BI22" s="586"/>
      <c r="BJ22" s="586"/>
      <c r="BK22" s="586"/>
      <c r="BL22" s="586"/>
      <c r="BM22" s="550"/>
      <c r="BN22" s="586"/>
      <c r="BO22" s="586"/>
      <c r="BP22" s="586"/>
      <c r="BQ22" s="586"/>
      <c r="BR22" s="586"/>
      <c r="BS22" s="586"/>
      <c r="BT22" s="540"/>
      <c r="BU22" s="586"/>
      <c r="BV22" s="586"/>
      <c r="BW22" s="586"/>
      <c r="BX22" s="586"/>
      <c r="BY22" s="550"/>
      <c r="BZ22" s="586"/>
      <c r="CA22" s="586"/>
      <c r="CB22" s="586"/>
      <c r="CC22" s="586"/>
      <c r="CD22" s="586"/>
      <c r="CE22" s="586"/>
      <c r="CF22" s="540"/>
      <c r="CG22" s="586"/>
      <c r="CH22" s="586"/>
      <c r="CI22" s="586"/>
      <c r="CJ22" s="586"/>
      <c r="CK22" s="550"/>
      <c r="CL22" s="586"/>
      <c r="CM22" s="586"/>
      <c r="CN22" s="586"/>
      <c r="CO22" s="586"/>
      <c r="CP22" s="586"/>
      <c r="CQ22" s="586"/>
      <c r="CR22" s="540"/>
      <c r="CS22" s="586"/>
      <c r="CT22" s="586"/>
      <c r="CU22" s="586"/>
      <c r="CV22" s="586"/>
      <c r="CW22" s="550"/>
      <c r="CX22" s="586"/>
      <c r="CY22" s="586"/>
      <c r="CZ22" s="586"/>
      <c r="DA22" s="586"/>
      <c r="DB22" s="586"/>
      <c r="DC22" s="586"/>
      <c r="DD22" s="540"/>
      <c r="DE22" s="586"/>
      <c r="DF22" s="586"/>
      <c r="DG22" s="586"/>
      <c r="DH22" s="586"/>
      <c r="DI22" s="550"/>
      <c r="DJ22" s="586"/>
      <c r="DK22" s="586"/>
      <c r="DL22" s="586"/>
      <c r="DM22" s="586"/>
      <c r="DN22" s="586"/>
      <c r="DO22" s="586"/>
      <c r="DP22" s="540"/>
      <c r="DQ22" s="586"/>
      <c r="DR22" s="586"/>
      <c r="DS22" s="586"/>
      <c r="DT22" s="586"/>
      <c r="DU22" s="550"/>
      <c r="DV22" s="586"/>
      <c r="DW22" s="586"/>
      <c r="DX22" s="586"/>
      <c r="DY22" s="586"/>
      <c r="DZ22" s="586"/>
      <c r="EA22" s="586"/>
      <c r="EB22" s="540"/>
      <c r="EC22" s="586"/>
      <c r="ED22" s="586"/>
      <c r="EE22" s="586"/>
      <c r="EF22" s="586"/>
      <c r="EG22" s="550"/>
      <c r="EH22" s="586"/>
      <c r="EI22" s="586"/>
      <c r="EJ22" s="586"/>
      <c r="EK22" s="586"/>
      <c r="EL22" s="586"/>
      <c r="EM22" s="586"/>
      <c r="EN22" s="540"/>
      <c r="EO22" s="586"/>
      <c r="EP22" s="586"/>
      <c r="EQ22" s="586"/>
      <c r="ER22" s="586"/>
      <c r="ES22" s="550"/>
      <c r="ET22" s="586"/>
      <c r="EU22" s="586"/>
      <c r="EV22" s="586"/>
      <c r="EW22" s="586"/>
      <c r="EX22" s="586"/>
      <c r="EY22" s="586"/>
      <c r="EZ22" s="540"/>
      <c r="FA22" s="586"/>
      <c r="FB22" s="586"/>
      <c r="FC22" s="586"/>
      <c r="FD22" s="586"/>
      <c r="FE22" s="550"/>
      <c r="FF22" s="586"/>
      <c r="FG22" s="586"/>
      <c r="FH22" s="586"/>
      <c r="FI22" s="586"/>
      <c r="FJ22" s="586"/>
      <c r="FK22" s="586"/>
      <c r="FL22" s="540"/>
      <c r="FM22" s="586"/>
      <c r="FN22" s="586"/>
      <c r="FO22" s="586"/>
      <c r="FP22" s="586"/>
      <c r="FQ22" s="550"/>
      <c r="FR22" s="586"/>
      <c r="FS22" s="586"/>
      <c r="FT22" s="586"/>
      <c r="FU22" s="586"/>
      <c r="FV22" s="586"/>
      <c r="FW22" s="586"/>
      <c r="FX22" s="540"/>
    </row>
    <row r="23">
      <c r="A23" s="378">
        <v>1.0</v>
      </c>
      <c r="B23" s="587">
        <v>9.0</v>
      </c>
      <c r="C23" s="588" t="str">
        <f>'Schedule | 1 Division'!E17</f>
        <v>Virtus.pro</v>
      </c>
      <c r="D23" s="589">
        <f t="shared" ref="D23:E23" si="36">AP21</f>
        <v>2</v>
      </c>
      <c r="E23" s="589">
        <f t="shared" si="36"/>
        <v>1</v>
      </c>
      <c r="F23" s="590" t="str">
        <f>'Schedule | 1 Division'!I17</f>
        <v>Team Yandex</v>
      </c>
      <c r="G23" s="591" t="str">
        <f t="shared" si="12"/>
        <v/>
      </c>
      <c r="H23" s="592" t="str">
        <f t="shared" si="13"/>
        <v>Virtus.pro</v>
      </c>
      <c r="I23" s="592" t="str">
        <f t="shared" si="14"/>
        <v>Team Yandex</v>
      </c>
      <c r="J23" s="593" t="str">
        <f t="shared" si="15"/>
        <v/>
      </c>
      <c r="K23" s="540"/>
      <c r="L23" s="540"/>
      <c r="M23" s="351" t="str">
        <f>'Schedule | 1 Division'!E6</f>
        <v>Verso Time</v>
      </c>
      <c r="N23" s="8"/>
      <c r="O23" s="8"/>
      <c r="P23" s="8"/>
      <c r="Q23" s="8"/>
      <c r="R23" s="351" t="str">
        <f>'Schedule | 1 Division'!J6</f>
        <v>Match 2</v>
      </c>
      <c r="S23" s="68"/>
      <c r="T23" s="401" t="str">
        <f>'Schedule | 1 Division'!I6</f>
        <v>FORZE</v>
      </c>
      <c r="U23" s="8"/>
      <c r="V23" s="8"/>
      <c r="W23" s="68"/>
      <c r="X23" s="594"/>
      <c r="Y23" s="595" t="str">
        <f>'Schedule | 1 Division'!E12</f>
        <v>Virtus.pro</v>
      </c>
      <c r="Z23" s="8"/>
      <c r="AA23" s="8"/>
      <c r="AB23" s="8"/>
      <c r="AC23" s="8"/>
      <c r="AD23" s="351"/>
      <c r="AE23" s="68"/>
      <c r="AF23" s="402" t="str">
        <f>'Schedule | 1 Division'!I12</f>
        <v>FORZE</v>
      </c>
      <c r="AG23" s="8"/>
      <c r="AH23" s="8"/>
      <c r="AI23" s="68"/>
      <c r="AJ23" s="594"/>
      <c r="AK23" s="351" t="str">
        <f>'Schedule | 1 Division'!E18</f>
        <v>Team Spirit</v>
      </c>
      <c r="AL23" s="8"/>
      <c r="AM23" s="8"/>
      <c r="AN23" s="8"/>
      <c r="AO23" s="8"/>
      <c r="AP23" s="351" t="str">
        <f>'Schedule | 1 Division'!J18</f>
        <v>Match 10</v>
      </c>
      <c r="AQ23" s="68"/>
      <c r="AR23" s="402" t="str">
        <f>'Schedule | 1 Division'!I18</f>
        <v>Verso Time</v>
      </c>
      <c r="AS23" s="8"/>
      <c r="AT23" s="8"/>
      <c r="AU23" s="68"/>
      <c r="AV23" s="594"/>
      <c r="AW23" s="351" t="str">
        <f>'Schedule | 1 Division'!E24</f>
        <v>Team Spirit</v>
      </c>
      <c r="AX23" s="8"/>
      <c r="AY23" s="8"/>
      <c r="AZ23" s="8"/>
      <c r="BA23" s="8"/>
      <c r="BB23" s="354" t="str">
        <f>'Schedule | 1 Division'!J24</f>
        <v>Match 14</v>
      </c>
      <c r="BC23" s="68"/>
      <c r="BD23" s="402" t="str">
        <f>'Schedule | 1 Division'!I24</f>
        <v>Team Yandex</v>
      </c>
      <c r="BE23" s="8"/>
      <c r="BF23" s="8"/>
      <c r="BG23" s="68"/>
      <c r="BH23" s="594"/>
      <c r="BI23" s="351" t="str">
        <f>'Schedule | 1 Division'!E30</f>
        <v>CYBERHERO</v>
      </c>
      <c r="BJ23" s="8"/>
      <c r="BK23" s="8"/>
      <c r="BL23" s="8"/>
      <c r="BM23" s="8"/>
      <c r="BN23" s="351" t="str">
        <f>'Schedule | 1 Division'!J30</f>
        <v>Match 18</v>
      </c>
      <c r="BO23" s="68"/>
      <c r="BP23" s="402" t="str">
        <f>'Schedule | 1 Division'!I30</f>
        <v>Verso Time</v>
      </c>
      <c r="BQ23" s="8"/>
      <c r="BR23" s="8"/>
      <c r="BS23" s="68"/>
      <c r="BT23" s="594"/>
      <c r="BU23" s="351" t="str">
        <f>'Schedule | 1 Division'!E36</f>
        <v>Magic</v>
      </c>
      <c r="BV23" s="8"/>
      <c r="BW23" s="8"/>
      <c r="BX23" s="8"/>
      <c r="BY23" s="8"/>
      <c r="BZ23" s="351" t="str">
        <f>'Schedule | 1 Division'!J36</f>
        <v>Match 22</v>
      </c>
      <c r="CA23" s="68"/>
      <c r="CB23" s="402" t="str">
        <f>'Schedule | 1 Division'!I36</f>
        <v>Team Yandex</v>
      </c>
      <c r="CC23" s="8"/>
      <c r="CD23" s="8"/>
      <c r="CE23" s="68"/>
      <c r="CF23" s="594"/>
      <c r="CG23" s="351" t="str">
        <f>'Schedule | 1 Division'!E42</f>
        <v>Aura Farmers</v>
      </c>
      <c r="CH23" s="8"/>
      <c r="CI23" s="8"/>
      <c r="CJ23" s="8"/>
      <c r="CK23" s="8"/>
      <c r="CL23" s="351" t="str">
        <f>'Schedule | 1 Division'!J42</f>
        <v>Match 26</v>
      </c>
      <c r="CM23" s="68"/>
      <c r="CN23" s="402" t="str">
        <f>'Schedule | 1 Division'!I42</f>
        <v>Magic</v>
      </c>
      <c r="CO23" s="8"/>
      <c r="CP23" s="8"/>
      <c r="CQ23" s="68"/>
      <c r="CR23" s="594"/>
      <c r="CS23" s="351" t="str">
        <f>'Schedule | 1 Division'!K6</f>
        <v>Team Yandex</v>
      </c>
      <c r="CT23" s="8"/>
      <c r="CU23" s="8"/>
      <c r="CV23" s="8"/>
      <c r="CW23" s="8"/>
      <c r="CX23" s="351" t="str">
        <f>'Schedule | 1 Division'!P6</f>
        <v>Match 30</v>
      </c>
      <c r="CY23" s="68"/>
      <c r="CZ23" s="402" t="str">
        <f>'Schedule | 1 Division'!O6</f>
        <v>FORZE</v>
      </c>
      <c r="DA23" s="8"/>
      <c r="DB23" s="8"/>
      <c r="DC23" s="68"/>
      <c r="DD23" s="594"/>
      <c r="DE23" s="351" t="str">
        <f>'Schedule | 1 Division'!K12</f>
        <v>Magic</v>
      </c>
      <c r="DF23" s="8"/>
      <c r="DG23" s="8"/>
      <c r="DH23" s="8"/>
      <c r="DI23" s="8"/>
      <c r="DJ23" s="351" t="str">
        <f>'Schedule | 1 Division'!P12</f>
        <v>Match 34</v>
      </c>
      <c r="DK23" s="68"/>
      <c r="DL23" s="402" t="str">
        <f>'Schedule | 1 Division'!O12</f>
        <v>FORZE</v>
      </c>
      <c r="DM23" s="8"/>
      <c r="DN23" s="8"/>
      <c r="DO23" s="68"/>
      <c r="DP23" s="594"/>
      <c r="DQ23" s="351" t="str">
        <f>'Schedule | 1 Division'!K18</f>
        <v>Aura Farmers</v>
      </c>
      <c r="DR23" s="8"/>
      <c r="DS23" s="8"/>
      <c r="DT23" s="8"/>
      <c r="DU23" s="8"/>
      <c r="DV23" s="351" t="str">
        <f>'Schedule | 1 Division'!P18</f>
        <v>Match 38</v>
      </c>
      <c r="DW23" s="68"/>
      <c r="DX23" s="402" t="str">
        <f>'Schedule | 1 Division'!O18</f>
        <v>Team Yandex</v>
      </c>
      <c r="DY23" s="8"/>
      <c r="DZ23" s="8"/>
      <c r="EA23" s="68"/>
      <c r="EB23" s="594"/>
      <c r="EC23" s="351" t="str">
        <f>'Schedule | 1 Division'!K24</f>
        <v>Aura Farmers</v>
      </c>
      <c r="ED23" s="8"/>
      <c r="EE23" s="8"/>
      <c r="EF23" s="8"/>
      <c r="EG23" s="8"/>
      <c r="EH23" s="354" t="str">
        <f>'Schedule | 1 Division'!P24</f>
        <v>Match 42</v>
      </c>
      <c r="EI23" s="68"/>
      <c r="EJ23" s="402" t="str">
        <f>'Schedule | 1 Division'!O24</f>
        <v>FORZE</v>
      </c>
      <c r="EK23" s="8"/>
      <c r="EL23" s="8"/>
      <c r="EM23" s="68"/>
      <c r="EN23" s="594"/>
      <c r="EO23" s="351" t="str">
        <f>'Schedule | 1 Division'!K30</f>
        <v>Team Yandex</v>
      </c>
      <c r="EP23" s="8"/>
      <c r="EQ23" s="8"/>
      <c r="ER23" s="8"/>
      <c r="ES23" s="8"/>
      <c r="ET23" s="351" t="str">
        <f>'Schedule | 1 Division'!P30</f>
        <v>Match 46</v>
      </c>
      <c r="EU23" s="68"/>
      <c r="EV23" s="402" t="str">
        <f>'Schedule | 1 Division'!O30</f>
        <v>Magic</v>
      </c>
      <c r="EW23" s="8"/>
      <c r="EX23" s="8"/>
      <c r="EY23" s="68"/>
      <c r="EZ23" s="594"/>
      <c r="FA23" s="596" t="str">
        <f>'Schedule | 1 Division'!K36</f>
        <v>Virtus.pro</v>
      </c>
      <c r="FB23" s="8"/>
      <c r="FC23" s="8"/>
      <c r="FD23" s="8"/>
      <c r="FE23" s="8"/>
      <c r="FF23" s="351" t="str">
        <f>'Schedule | 1 Division'!P36</f>
        <v>Match 50</v>
      </c>
      <c r="FG23" s="68"/>
      <c r="FH23" s="402" t="str">
        <f>'Schedule | 1 Division'!O36</f>
        <v>Magic</v>
      </c>
      <c r="FI23" s="8"/>
      <c r="FJ23" s="8"/>
      <c r="FK23" s="68"/>
      <c r="FL23" s="594"/>
      <c r="FM23" s="351" t="str">
        <f>'Schedule | 1 Division'!K42</f>
        <v>Verso Time</v>
      </c>
      <c r="FN23" s="8"/>
      <c r="FO23" s="8"/>
      <c r="FP23" s="8"/>
      <c r="FQ23" s="8"/>
      <c r="FR23" s="351" t="str">
        <f>'Schedule | 1 Division'!P42</f>
        <v>Match 54</v>
      </c>
      <c r="FS23" s="68"/>
      <c r="FT23" s="402" t="str">
        <f>'Schedule | 1 Division'!O42</f>
        <v>Team Yandex</v>
      </c>
      <c r="FU23" s="8"/>
      <c r="FV23" s="8"/>
      <c r="FW23" s="68"/>
      <c r="FX23" s="594"/>
    </row>
    <row r="24">
      <c r="A24" s="109">
        <v>1.0</v>
      </c>
      <c r="B24" s="429">
        <v>10.0</v>
      </c>
      <c r="C24" s="555" t="str">
        <f>'Schedule | 1 Division'!E18</f>
        <v>Team Spirit</v>
      </c>
      <c r="D24" s="561">
        <f t="shared" ref="D24:E24" si="37">AP41</f>
        <v>2</v>
      </c>
      <c r="E24" s="561">
        <f t="shared" si="37"/>
        <v>1</v>
      </c>
      <c r="F24" s="555" t="str">
        <f>'Schedule | 1 Division'!I18</f>
        <v>Verso Time</v>
      </c>
      <c r="G24" s="562" t="str">
        <f t="shared" si="12"/>
        <v/>
      </c>
      <c r="H24" s="563" t="str">
        <f t="shared" si="13"/>
        <v>Team Spirit</v>
      </c>
      <c r="I24" s="563" t="str">
        <f t="shared" si="14"/>
        <v>Verso Time</v>
      </c>
      <c r="J24" s="579" t="str">
        <f t="shared" si="15"/>
        <v/>
      </c>
      <c r="K24" s="540"/>
      <c r="L24" s="540"/>
      <c r="M24" s="61"/>
      <c r="N24" s="22"/>
      <c r="O24" s="22"/>
      <c r="P24" s="22"/>
      <c r="Q24" s="22"/>
      <c r="R24" s="61"/>
      <c r="S24" s="93"/>
      <c r="T24" s="22"/>
      <c r="U24" s="22"/>
      <c r="V24" s="22"/>
      <c r="W24" s="93"/>
      <c r="X24" s="594"/>
      <c r="Y24" s="61"/>
      <c r="Z24" s="22"/>
      <c r="AA24" s="22"/>
      <c r="AB24" s="22"/>
      <c r="AC24" s="22"/>
      <c r="AD24" s="61"/>
      <c r="AE24" s="93"/>
      <c r="AF24" s="22"/>
      <c r="AG24" s="22"/>
      <c r="AH24" s="22"/>
      <c r="AI24" s="93"/>
      <c r="AJ24" s="594"/>
      <c r="AK24" s="61"/>
      <c r="AL24" s="22"/>
      <c r="AM24" s="22"/>
      <c r="AN24" s="22"/>
      <c r="AO24" s="22"/>
      <c r="AP24" s="61"/>
      <c r="AQ24" s="93"/>
      <c r="AR24" s="22"/>
      <c r="AS24" s="22"/>
      <c r="AT24" s="22"/>
      <c r="AU24" s="93"/>
      <c r="AV24" s="594"/>
      <c r="AW24" s="61"/>
      <c r="AX24" s="22"/>
      <c r="AY24" s="22"/>
      <c r="AZ24" s="22"/>
      <c r="BA24" s="22"/>
      <c r="BB24" s="61"/>
      <c r="BC24" s="93"/>
      <c r="BD24" s="22"/>
      <c r="BE24" s="22"/>
      <c r="BF24" s="22"/>
      <c r="BG24" s="93"/>
      <c r="BH24" s="594"/>
      <c r="BI24" s="61"/>
      <c r="BJ24" s="22"/>
      <c r="BK24" s="22"/>
      <c r="BL24" s="22"/>
      <c r="BM24" s="22"/>
      <c r="BN24" s="61"/>
      <c r="BO24" s="93"/>
      <c r="BP24" s="22"/>
      <c r="BQ24" s="22"/>
      <c r="BR24" s="22"/>
      <c r="BS24" s="93"/>
      <c r="BT24" s="594"/>
      <c r="BU24" s="61"/>
      <c r="BV24" s="22"/>
      <c r="BW24" s="22"/>
      <c r="BX24" s="22"/>
      <c r="BY24" s="22"/>
      <c r="BZ24" s="61"/>
      <c r="CA24" s="93"/>
      <c r="CB24" s="22"/>
      <c r="CC24" s="22"/>
      <c r="CD24" s="22"/>
      <c r="CE24" s="93"/>
      <c r="CF24" s="594"/>
      <c r="CG24" s="61"/>
      <c r="CH24" s="22"/>
      <c r="CI24" s="22"/>
      <c r="CJ24" s="22"/>
      <c r="CK24" s="22"/>
      <c r="CL24" s="61"/>
      <c r="CM24" s="93"/>
      <c r="CN24" s="22"/>
      <c r="CO24" s="22"/>
      <c r="CP24" s="22"/>
      <c r="CQ24" s="93"/>
      <c r="CR24" s="594"/>
      <c r="CS24" s="61"/>
      <c r="CT24" s="22"/>
      <c r="CU24" s="22"/>
      <c r="CV24" s="22"/>
      <c r="CW24" s="22"/>
      <c r="CX24" s="61"/>
      <c r="CY24" s="93"/>
      <c r="CZ24" s="22"/>
      <c r="DA24" s="22"/>
      <c r="DB24" s="22"/>
      <c r="DC24" s="93"/>
      <c r="DD24" s="594"/>
      <c r="DE24" s="61"/>
      <c r="DF24" s="22"/>
      <c r="DG24" s="22"/>
      <c r="DH24" s="22"/>
      <c r="DI24" s="22"/>
      <c r="DJ24" s="61"/>
      <c r="DK24" s="93"/>
      <c r="DL24" s="22"/>
      <c r="DM24" s="22"/>
      <c r="DN24" s="22"/>
      <c r="DO24" s="93"/>
      <c r="DP24" s="594"/>
      <c r="DQ24" s="61"/>
      <c r="DR24" s="22"/>
      <c r="DS24" s="22"/>
      <c r="DT24" s="22"/>
      <c r="DU24" s="22"/>
      <c r="DV24" s="61"/>
      <c r="DW24" s="93"/>
      <c r="DX24" s="22"/>
      <c r="DY24" s="22"/>
      <c r="DZ24" s="22"/>
      <c r="EA24" s="93"/>
      <c r="EB24" s="594"/>
      <c r="EC24" s="61"/>
      <c r="ED24" s="22"/>
      <c r="EE24" s="22"/>
      <c r="EF24" s="22"/>
      <c r="EG24" s="22"/>
      <c r="EH24" s="61"/>
      <c r="EI24" s="93"/>
      <c r="EJ24" s="22"/>
      <c r="EK24" s="22"/>
      <c r="EL24" s="22"/>
      <c r="EM24" s="93"/>
      <c r="EN24" s="594"/>
      <c r="EO24" s="61"/>
      <c r="EP24" s="22"/>
      <c r="EQ24" s="22"/>
      <c r="ER24" s="22"/>
      <c r="ES24" s="22"/>
      <c r="ET24" s="61"/>
      <c r="EU24" s="93"/>
      <c r="EV24" s="22"/>
      <c r="EW24" s="22"/>
      <c r="EX24" s="22"/>
      <c r="EY24" s="93"/>
      <c r="EZ24" s="594"/>
      <c r="FA24" s="61"/>
      <c r="FB24" s="22"/>
      <c r="FC24" s="22"/>
      <c r="FD24" s="22"/>
      <c r="FE24" s="22"/>
      <c r="FF24" s="61"/>
      <c r="FG24" s="93"/>
      <c r="FH24" s="22"/>
      <c r="FI24" s="22"/>
      <c r="FJ24" s="22"/>
      <c r="FK24" s="93"/>
      <c r="FL24" s="594"/>
      <c r="FM24" s="61"/>
      <c r="FN24" s="22"/>
      <c r="FO24" s="22"/>
      <c r="FP24" s="22"/>
      <c r="FQ24" s="22"/>
      <c r="FR24" s="61"/>
      <c r="FS24" s="93"/>
      <c r="FT24" s="22"/>
      <c r="FU24" s="22"/>
      <c r="FV24" s="22"/>
      <c r="FW24" s="93"/>
      <c r="FX24" s="594"/>
    </row>
    <row r="25">
      <c r="A25" s="109">
        <v>1.0</v>
      </c>
      <c r="B25" s="429">
        <v>11.0</v>
      </c>
      <c r="C25" s="555" t="str">
        <f>'Schedule | 1 Division'!E19</f>
        <v>CYBERHERO</v>
      </c>
      <c r="D25" s="561">
        <f t="shared" ref="D25:E25" si="38">AP61</f>
        <v>2</v>
      </c>
      <c r="E25" s="561">
        <f t="shared" si="38"/>
        <v>1</v>
      </c>
      <c r="F25" s="555" t="str">
        <f>'Schedule | 1 Division'!I19</f>
        <v>Aura Farmers</v>
      </c>
      <c r="G25" s="562" t="str">
        <f t="shared" si="12"/>
        <v/>
      </c>
      <c r="H25" s="563" t="str">
        <f t="shared" si="13"/>
        <v>CYBERHERO</v>
      </c>
      <c r="I25" s="563" t="str">
        <f t="shared" si="14"/>
        <v>Aura Farmers</v>
      </c>
      <c r="J25" s="579" t="str">
        <f t="shared" si="15"/>
        <v/>
      </c>
      <c r="K25" s="540"/>
      <c r="L25" s="540"/>
      <c r="M25" s="356" t="s">
        <v>307</v>
      </c>
      <c r="N25" s="357" t="s">
        <v>308</v>
      </c>
      <c r="O25" s="358" t="s">
        <v>309</v>
      </c>
      <c r="P25" s="358" t="s">
        <v>310</v>
      </c>
      <c r="Q25" s="359" t="s">
        <v>311</v>
      </c>
      <c r="R25" s="360" t="s">
        <v>259</v>
      </c>
      <c r="S25" s="100"/>
      <c r="T25" s="361" t="s">
        <v>311</v>
      </c>
      <c r="U25" s="358" t="s">
        <v>312</v>
      </c>
      <c r="V25" s="358" t="s">
        <v>313</v>
      </c>
      <c r="W25" s="362" t="s">
        <v>314</v>
      </c>
      <c r="X25" s="594"/>
      <c r="Y25" s="356" t="s">
        <v>307</v>
      </c>
      <c r="Z25" s="365" t="s">
        <v>308</v>
      </c>
      <c r="AA25" s="363" t="s">
        <v>309</v>
      </c>
      <c r="AB25" s="363" t="s">
        <v>310</v>
      </c>
      <c r="AC25" s="366" t="s">
        <v>311</v>
      </c>
      <c r="AD25" s="360" t="s">
        <v>259</v>
      </c>
      <c r="AE25" s="100"/>
      <c r="AF25" s="360" t="s">
        <v>311</v>
      </c>
      <c r="AG25" s="363" t="s">
        <v>312</v>
      </c>
      <c r="AH25" s="363" t="s">
        <v>313</v>
      </c>
      <c r="AI25" s="364" t="s">
        <v>314</v>
      </c>
      <c r="AJ25" s="594"/>
      <c r="AK25" s="356" t="s">
        <v>307</v>
      </c>
      <c r="AL25" s="365" t="s">
        <v>308</v>
      </c>
      <c r="AM25" s="363" t="s">
        <v>309</v>
      </c>
      <c r="AN25" s="363" t="s">
        <v>310</v>
      </c>
      <c r="AO25" s="366" t="s">
        <v>311</v>
      </c>
      <c r="AP25" s="360" t="s">
        <v>259</v>
      </c>
      <c r="AQ25" s="100"/>
      <c r="AR25" s="360" t="s">
        <v>311</v>
      </c>
      <c r="AS25" s="363" t="s">
        <v>312</v>
      </c>
      <c r="AT25" s="363" t="s">
        <v>313</v>
      </c>
      <c r="AU25" s="364" t="s">
        <v>314</v>
      </c>
      <c r="AV25" s="594"/>
      <c r="AW25" s="356" t="s">
        <v>307</v>
      </c>
      <c r="AX25" s="365" t="s">
        <v>308</v>
      </c>
      <c r="AY25" s="363" t="s">
        <v>309</v>
      </c>
      <c r="AZ25" s="363" t="s">
        <v>310</v>
      </c>
      <c r="BA25" s="366" t="s">
        <v>311</v>
      </c>
      <c r="BB25" s="360" t="s">
        <v>259</v>
      </c>
      <c r="BC25" s="100"/>
      <c r="BD25" s="360" t="s">
        <v>311</v>
      </c>
      <c r="BE25" s="363" t="s">
        <v>312</v>
      </c>
      <c r="BF25" s="363" t="s">
        <v>313</v>
      </c>
      <c r="BG25" s="364" t="s">
        <v>314</v>
      </c>
      <c r="BH25" s="594"/>
      <c r="BI25" s="356" t="s">
        <v>307</v>
      </c>
      <c r="BJ25" s="365" t="s">
        <v>308</v>
      </c>
      <c r="BK25" s="363" t="s">
        <v>309</v>
      </c>
      <c r="BL25" s="363" t="s">
        <v>310</v>
      </c>
      <c r="BM25" s="366" t="s">
        <v>311</v>
      </c>
      <c r="BN25" s="360" t="s">
        <v>259</v>
      </c>
      <c r="BO25" s="100"/>
      <c r="BP25" s="360" t="s">
        <v>311</v>
      </c>
      <c r="BQ25" s="363" t="s">
        <v>312</v>
      </c>
      <c r="BR25" s="363" t="s">
        <v>313</v>
      </c>
      <c r="BS25" s="364" t="s">
        <v>314</v>
      </c>
      <c r="BT25" s="594"/>
      <c r="BU25" s="356" t="s">
        <v>307</v>
      </c>
      <c r="BV25" s="365" t="s">
        <v>308</v>
      </c>
      <c r="BW25" s="363" t="s">
        <v>309</v>
      </c>
      <c r="BX25" s="363" t="s">
        <v>310</v>
      </c>
      <c r="BY25" s="366" t="s">
        <v>311</v>
      </c>
      <c r="BZ25" s="360" t="s">
        <v>259</v>
      </c>
      <c r="CA25" s="100"/>
      <c r="CB25" s="360" t="s">
        <v>311</v>
      </c>
      <c r="CC25" s="363" t="s">
        <v>312</v>
      </c>
      <c r="CD25" s="363" t="s">
        <v>313</v>
      </c>
      <c r="CE25" s="364" t="s">
        <v>314</v>
      </c>
      <c r="CF25" s="594"/>
      <c r="CG25" s="356" t="s">
        <v>307</v>
      </c>
      <c r="CH25" s="365" t="s">
        <v>308</v>
      </c>
      <c r="CI25" s="363" t="s">
        <v>309</v>
      </c>
      <c r="CJ25" s="363" t="s">
        <v>310</v>
      </c>
      <c r="CK25" s="366" t="s">
        <v>311</v>
      </c>
      <c r="CL25" s="360" t="s">
        <v>259</v>
      </c>
      <c r="CM25" s="100"/>
      <c r="CN25" s="360" t="s">
        <v>311</v>
      </c>
      <c r="CO25" s="363" t="s">
        <v>312</v>
      </c>
      <c r="CP25" s="363" t="s">
        <v>313</v>
      </c>
      <c r="CQ25" s="364" t="s">
        <v>314</v>
      </c>
      <c r="CR25" s="594"/>
      <c r="CS25" s="356" t="s">
        <v>307</v>
      </c>
      <c r="CT25" s="365" t="s">
        <v>308</v>
      </c>
      <c r="CU25" s="363" t="s">
        <v>309</v>
      </c>
      <c r="CV25" s="363" t="s">
        <v>310</v>
      </c>
      <c r="CW25" s="366" t="s">
        <v>311</v>
      </c>
      <c r="CX25" s="360" t="s">
        <v>259</v>
      </c>
      <c r="CY25" s="100"/>
      <c r="CZ25" s="360" t="s">
        <v>311</v>
      </c>
      <c r="DA25" s="363" t="s">
        <v>312</v>
      </c>
      <c r="DB25" s="363" t="s">
        <v>313</v>
      </c>
      <c r="DC25" s="364" t="s">
        <v>314</v>
      </c>
      <c r="DD25" s="594"/>
      <c r="DE25" s="356" t="s">
        <v>307</v>
      </c>
      <c r="DF25" s="365" t="s">
        <v>308</v>
      </c>
      <c r="DG25" s="363" t="s">
        <v>309</v>
      </c>
      <c r="DH25" s="363" t="s">
        <v>310</v>
      </c>
      <c r="DI25" s="366" t="s">
        <v>311</v>
      </c>
      <c r="DJ25" s="360" t="s">
        <v>259</v>
      </c>
      <c r="DK25" s="100"/>
      <c r="DL25" s="360" t="s">
        <v>311</v>
      </c>
      <c r="DM25" s="363" t="s">
        <v>312</v>
      </c>
      <c r="DN25" s="363" t="s">
        <v>313</v>
      </c>
      <c r="DO25" s="364" t="s">
        <v>314</v>
      </c>
      <c r="DP25" s="594"/>
      <c r="DQ25" s="356" t="s">
        <v>307</v>
      </c>
      <c r="DR25" s="365" t="s">
        <v>308</v>
      </c>
      <c r="DS25" s="363" t="s">
        <v>309</v>
      </c>
      <c r="DT25" s="363" t="s">
        <v>310</v>
      </c>
      <c r="DU25" s="366" t="s">
        <v>311</v>
      </c>
      <c r="DV25" s="360" t="s">
        <v>259</v>
      </c>
      <c r="DW25" s="100"/>
      <c r="DX25" s="360" t="s">
        <v>311</v>
      </c>
      <c r="DY25" s="363" t="s">
        <v>312</v>
      </c>
      <c r="DZ25" s="363" t="s">
        <v>313</v>
      </c>
      <c r="EA25" s="364" t="s">
        <v>314</v>
      </c>
      <c r="EB25" s="594"/>
      <c r="EC25" s="356" t="s">
        <v>307</v>
      </c>
      <c r="ED25" s="365" t="s">
        <v>308</v>
      </c>
      <c r="EE25" s="363" t="s">
        <v>309</v>
      </c>
      <c r="EF25" s="363" t="s">
        <v>310</v>
      </c>
      <c r="EG25" s="366" t="s">
        <v>311</v>
      </c>
      <c r="EH25" s="360" t="s">
        <v>259</v>
      </c>
      <c r="EI25" s="100"/>
      <c r="EJ25" s="360" t="s">
        <v>311</v>
      </c>
      <c r="EK25" s="363" t="s">
        <v>312</v>
      </c>
      <c r="EL25" s="363" t="s">
        <v>313</v>
      </c>
      <c r="EM25" s="364" t="s">
        <v>314</v>
      </c>
      <c r="EN25" s="594"/>
      <c r="EO25" s="356" t="s">
        <v>307</v>
      </c>
      <c r="EP25" s="365" t="s">
        <v>308</v>
      </c>
      <c r="EQ25" s="363" t="s">
        <v>309</v>
      </c>
      <c r="ER25" s="363" t="s">
        <v>310</v>
      </c>
      <c r="ES25" s="366" t="s">
        <v>311</v>
      </c>
      <c r="ET25" s="360" t="s">
        <v>259</v>
      </c>
      <c r="EU25" s="100"/>
      <c r="EV25" s="360" t="s">
        <v>311</v>
      </c>
      <c r="EW25" s="363" t="s">
        <v>312</v>
      </c>
      <c r="EX25" s="363" t="s">
        <v>313</v>
      </c>
      <c r="EY25" s="364" t="s">
        <v>314</v>
      </c>
      <c r="EZ25" s="594"/>
      <c r="FA25" s="356" t="s">
        <v>307</v>
      </c>
      <c r="FB25" s="365" t="s">
        <v>308</v>
      </c>
      <c r="FC25" s="363" t="s">
        <v>309</v>
      </c>
      <c r="FD25" s="363" t="s">
        <v>310</v>
      </c>
      <c r="FE25" s="366" t="s">
        <v>311</v>
      </c>
      <c r="FF25" s="360" t="s">
        <v>259</v>
      </c>
      <c r="FG25" s="100"/>
      <c r="FH25" s="360" t="s">
        <v>311</v>
      </c>
      <c r="FI25" s="363" t="s">
        <v>312</v>
      </c>
      <c r="FJ25" s="363" t="s">
        <v>313</v>
      </c>
      <c r="FK25" s="364" t="s">
        <v>314</v>
      </c>
      <c r="FL25" s="594"/>
      <c r="FM25" s="356" t="s">
        <v>307</v>
      </c>
      <c r="FN25" s="365" t="s">
        <v>308</v>
      </c>
      <c r="FO25" s="363" t="s">
        <v>309</v>
      </c>
      <c r="FP25" s="363" t="s">
        <v>310</v>
      </c>
      <c r="FQ25" s="366" t="s">
        <v>311</v>
      </c>
      <c r="FR25" s="360" t="s">
        <v>259</v>
      </c>
      <c r="FS25" s="100"/>
      <c r="FT25" s="360" t="s">
        <v>311</v>
      </c>
      <c r="FU25" s="363" t="s">
        <v>312</v>
      </c>
      <c r="FV25" s="363" t="s">
        <v>313</v>
      </c>
      <c r="FW25" s="364" t="s">
        <v>314</v>
      </c>
      <c r="FX25" s="594"/>
    </row>
    <row r="26">
      <c r="A26" s="389">
        <v>1.0</v>
      </c>
      <c r="B26" s="569">
        <v>12.0</v>
      </c>
      <c r="C26" s="570" t="str">
        <f>'Schedule | 1 Division'!E20</f>
        <v>FORZE</v>
      </c>
      <c r="D26" s="571">
        <f t="shared" ref="D26:E26" si="39">AP81</f>
        <v>2</v>
      </c>
      <c r="E26" s="571">
        <f t="shared" si="39"/>
        <v>1</v>
      </c>
      <c r="F26" s="570" t="str">
        <f>'Schedule | 1 Division'!I20</f>
        <v>Magic</v>
      </c>
      <c r="G26" s="573" t="str">
        <f t="shared" si="12"/>
        <v/>
      </c>
      <c r="H26" s="575" t="str">
        <f t="shared" si="13"/>
        <v>FORZE</v>
      </c>
      <c r="I26" s="575" t="str">
        <f t="shared" si="14"/>
        <v>Magic</v>
      </c>
      <c r="J26" s="576" t="str">
        <f t="shared" si="15"/>
        <v/>
      </c>
      <c r="K26" s="540"/>
      <c r="L26" s="540"/>
      <c r="M26" s="29">
        <v>1.0</v>
      </c>
      <c r="N26" s="169" t="s">
        <v>19</v>
      </c>
      <c r="O26" s="368" t="s">
        <v>450</v>
      </c>
      <c r="P26" s="14" t="s">
        <v>317</v>
      </c>
      <c r="Q26" s="171" t="s">
        <v>318</v>
      </c>
      <c r="R26" s="369" t="s">
        <v>319</v>
      </c>
      <c r="S26" s="369" t="s">
        <v>320</v>
      </c>
      <c r="T26" s="169" t="s">
        <v>321</v>
      </c>
      <c r="U26" s="14" t="s">
        <v>432</v>
      </c>
      <c r="V26" s="368" t="s">
        <v>330</v>
      </c>
      <c r="W26" s="171" t="s">
        <v>324</v>
      </c>
      <c r="X26" s="540"/>
      <c r="Y26" s="371">
        <v>1.0</v>
      </c>
      <c r="Z26" s="169" t="s">
        <v>315</v>
      </c>
      <c r="AA26" s="234" t="s">
        <v>335</v>
      </c>
      <c r="AB26" s="14" t="s">
        <v>331</v>
      </c>
      <c r="AC26" s="171" t="s">
        <v>318</v>
      </c>
      <c r="AD26" s="369" t="s">
        <v>320</v>
      </c>
      <c r="AE26" s="370" t="s">
        <v>319</v>
      </c>
      <c r="AF26" s="109" t="s">
        <v>321</v>
      </c>
      <c r="AG26" s="14" t="s">
        <v>414</v>
      </c>
      <c r="AH26" s="234" t="s">
        <v>349</v>
      </c>
      <c r="AI26" s="171" t="s">
        <v>327</v>
      </c>
      <c r="AJ26" s="540"/>
      <c r="AK26" s="371">
        <v>1.0</v>
      </c>
      <c r="AL26" s="169" t="s">
        <v>337</v>
      </c>
      <c r="AM26" s="368" t="s">
        <v>367</v>
      </c>
      <c r="AN26" s="14" t="s">
        <v>387</v>
      </c>
      <c r="AO26" s="171" t="s">
        <v>318</v>
      </c>
      <c r="AP26" s="369" t="s">
        <v>319</v>
      </c>
      <c r="AQ26" s="370" t="s">
        <v>320</v>
      </c>
      <c r="AR26" s="109" t="s">
        <v>321</v>
      </c>
      <c r="AS26" s="14" t="s">
        <v>328</v>
      </c>
      <c r="AT26" s="234" t="s">
        <v>452</v>
      </c>
      <c r="AU26" s="171" t="s">
        <v>342</v>
      </c>
      <c r="AV26" s="540"/>
      <c r="AW26" s="371">
        <v>1.0</v>
      </c>
      <c r="AX26" s="169" t="s">
        <v>315</v>
      </c>
      <c r="AY26" s="368" t="s">
        <v>367</v>
      </c>
      <c r="AZ26" s="14" t="s">
        <v>387</v>
      </c>
      <c r="BA26" s="171" t="s">
        <v>318</v>
      </c>
      <c r="BB26" s="369" t="s">
        <v>319</v>
      </c>
      <c r="BC26" s="370" t="s">
        <v>320</v>
      </c>
      <c r="BD26" s="109" t="s">
        <v>321</v>
      </c>
      <c r="BE26" s="14" t="s">
        <v>352</v>
      </c>
      <c r="BF26" s="234" t="s">
        <v>394</v>
      </c>
      <c r="BG26" s="171" t="s">
        <v>327</v>
      </c>
      <c r="BH26" s="540"/>
      <c r="BI26" s="371">
        <v>1.0</v>
      </c>
      <c r="BJ26" s="169" t="s">
        <v>317</v>
      </c>
      <c r="BK26" s="242" t="s">
        <v>556</v>
      </c>
      <c r="BL26" s="14" t="s">
        <v>361</v>
      </c>
      <c r="BM26" s="171" t="s">
        <v>318</v>
      </c>
      <c r="BN26" s="369" t="s">
        <v>320</v>
      </c>
      <c r="BO26" s="370" t="s">
        <v>319</v>
      </c>
      <c r="BP26" s="109" t="s">
        <v>321</v>
      </c>
      <c r="BQ26" s="14" t="s">
        <v>325</v>
      </c>
      <c r="BR26" s="234" t="s">
        <v>450</v>
      </c>
      <c r="BS26" s="171" t="s">
        <v>324</v>
      </c>
      <c r="BT26" s="540"/>
      <c r="BU26" s="371">
        <v>1.0</v>
      </c>
      <c r="BV26" s="169" t="s">
        <v>328</v>
      </c>
      <c r="BW26" s="234" t="s">
        <v>464</v>
      </c>
      <c r="BX26" s="14" t="s">
        <v>369</v>
      </c>
      <c r="BY26" s="171" t="s">
        <v>318</v>
      </c>
      <c r="BZ26" s="369" t="s">
        <v>320</v>
      </c>
      <c r="CA26" s="370" t="s">
        <v>319</v>
      </c>
      <c r="CB26" s="109" t="s">
        <v>321</v>
      </c>
      <c r="CC26" s="14" t="s">
        <v>317</v>
      </c>
      <c r="CD26" s="234" t="s">
        <v>366</v>
      </c>
      <c r="CE26" s="171" t="s">
        <v>324</v>
      </c>
      <c r="CF26" s="540"/>
      <c r="CG26" s="371">
        <v>1.0</v>
      </c>
      <c r="CH26" s="169" t="s">
        <v>328</v>
      </c>
      <c r="CI26" s="242" t="s">
        <v>437</v>
      </c>
      <c r="CJ26" s="14" t="s">
        <v>331</v>
      </c>
      <c r="CK26" s="171" t="s">
        <v>318</v>
      </c>
      <c r="CL26" s="369" t="s">
        <v>320</v>
      </c>
      <c r="CM26" s="370" t="s">
        <v>319</v>
      </c>
      <c r="CN26" s="109" t="s">
        <v>321</v>
      </c>
      <c r="CO26" s="14" t="s">
        <v>19</v>
      </c>
      <c r="CP26" s="234" t="s">
        <v>464</v>
      </c>
      <c r="CQ26" s="171" t="s">
        <v>342</v>
      </c>
      <c r="CR26" s="540"/>
      <c r="CS26" s="371">
        <v>1.0</v>
      </c>
      <c r="CT26" s="169" t="s">
        <v>315</v>
      </c>
      <c r="CU26" s="232" t="s">
        <v>394</v>
      </c>
      <c r="CV26" s="14" t="s">
        <v>342</v>
      </c>
      <c r="CW26" s="171" t="s">
        <v>318</v>
      </c>
      <c r="CX26" s="369" t="s">
        <v>319</v>
      </c>
      <c r="CY26" s="370" t="s">
        <v>320</v>
      </c>
      <c r="CZ26" s="109" t="s">
        <v>321</v>
      </c>
      <c r="DA26" s="14" t="s">
        <v>369</v>
      </c>
      <c r="DB26" s="232" t="s">
        <v>338</v>
      </c>
      <c r="DC26" s="171" t="s">
        <v>327</v>
      </c>
      <c r="DD26" s="540"/>
      <c r="DE26" s="371">
        <v>1.0</v>
      </c>
      <c r="DF26" s="169" t="s">
        <v>328</v>
      </c>
      <c r="DG26" s="234" t="s">
        <v>460</v>
      </c>
      <c r="DH26" s="14" t="s">
        <v>331</v>
      </c>
      <c r="DI26" s="171" t="s">
        <v>318</v>
      </c>
      <c r="DJ26" s="369" t="s">
        <v>320</v>
      </c>
      <c r="DK26" s="370" t="s">
        <v>319</v>
      </c>
      <c r="DL26" s="14" t="s">
        <v>321</v>
      </c>
      <c r="DM26" s="14" t="s">
        <v>377</v>
      </c>
      <c r="DN26" s="232" t="s">
        <v>349</v>
      </c>
      <c r="DO26" s="171" t="s">
        <v>324</v>
      </c>
      <c r="DP26" s="540"/>
      <c r="DQ26" s="371">
        <v>1.0</v>
      </c>
      <c r="DR26" s="169" t="s">
        <v>315</v>
      </c>
      <c r="DS26" s="242" t="s">
        <v>437</v>
      </c>
      <c r="DT26" s="14" t="s">
        <v>324</v>
      </c>
      <c r="DU26" s="171" t="s">
        <v>318</v>
      </c>
      <c r="DV26" s="369" t="s">
        <v>320</v>
      </c>
      <c r="DW26" s="370" t="s">
        <v>319</v>
      </c>
      <c r="DX26" s="109" t="s">
        <v>321</v>
      </c>
      <c r="DY26" s="14" t="s">
        <v>377</v>
      </c>
      <c r="DZ26" s="232" t="s">
        <v>336</v>
      </c>
      <c r="EA26" s="171" t="s">
        <v>327</v>
      </c>
      <c r="EB26" s="540"/>
      <c r="EC26" s="371">
        <v>1.0</v>
      </c>
      <c r="ED26" s="169" t="s">
        <v>334</v>
      </c>
      <c r="EE26" s="242" t="s">
        <v>437</v>
      </c>
      <c r="EF26" s="14" t="s">
        <v>410</v>
      </c>
      <c r="EG26" s="171" t="s">
        <v>318</v>
      </c>
      <c r="EH26" s="369" t="s">
        <v>320</v>
      </c>
      <c r="EI26" s="370" t="s">
        <v>319</v>
      </c>
      <c r="EJ26" s="109" t="s">
        <v>321</v>
      </c>
      <c r="EK26" s="14" t="s">
        <v>341</v>
      </c>
      <c r="EL26" s="232" t="s">
        <v>326</v>
      </c>
      <c r="EM26" s="171" t="s">
        <v>342</v>
      </c>
      <c r="EN26" s="540"/>
      <c r="EO26" s="371">
        <v>1.0</v>
      </c>
      <c r="EP26" s="169" t="s">
        <v>315</v>
      </c>
      <c r="EQ26" s="232" t="s">
        <v>336</v>
      </c>
      <c r="ER26" s="14" t="s">
        <v>328</v>
      </c>
      <c r="ES26" s="171" t="s">
        <v>318</v>
      </c>
      <c r="ET26" s="369" t="s">
        <v>319</v>
      </c>
      <c r="EU26" s="370" t="s">
        <v>320</v>
      </c>
      <c r="EV26" s="109" t="s">
        <v>321</v>
      </c>
      <c r="EW26" s="14" t="s">
        <v>377</v>
      </c>
      <c r="EX26" s="234" t="s">
        <v>462</v>
      </c>
      <c r="EY26" s="171" t="s">
        <v>324</v>
      </c>
      <c r="EZ26" s="540"/>
      <c r="FA26" s="371">
        <v>1.0</v>
      </c>
      <c r="FB26" s="169" t="s">
        <v>317</v>
      </c>
      <c r="FC26" s="234" t="s">
        <v>365</v>
      </c>
      <c r="FD26" s="14" t="s">
        <v>341</v>
      </c>
      <c r="FE26" s="171" t="s">
        <v>318</v>
      </c>
      <c r="FF26" s="369" t="s">
        <v>319</v>
      </c>
      <c r="FG26" s="370" t="s">
        <v>320</v>
      </c>
      <c r="FH26" s="109" t="s">
        <v>321</v>
      </c>
      <c r="FI26" s="14" t="s">
        <v>328</v>
      </c>
      <c r="FJ26" s="234" t="s">
        <v>462</v>
      </c>
      <c r="FK26" s="171" t="s">
        <v>324</v>
      </c>
      <c r="FL26" s="540"/>
      <c r="FM26" s="371">
        <v>1.0</v>
      </c>
      <c r="FN26" s="169" t="s">
        <v>327</v>
      </c>
      <c r="FO26" s="234" t="s">
        <v>449</v>
      </c>
      <c r="FP26" s="14" t="s">
        <v>382</v>
      </c>
      <c r="FQ26" s="171" t="s">
        <v>318</v>
      </c>
      <c r="FR26" s="369" t="s">
        <v>320</v>
      </c>
      <c r="FS26" s="370" t="s">
        <v>319</v>
      </c>
      <c r="FT26" s="109" t="s">
        <v>321</v>
      </c>
      <c r="FU26" s="14" t="s">
        <v>325</v>
      </c>
      <c r="FV26" s="232" t="s">
        <v>366</v>
      </c>
      <c r="FW26" s="171" t="s">
        <v>331</v>
      </c>
      <c r="FX26" s="540"/>
    </row>
    <row r="27">
      <c r="A27" s="109">
        <v>1.0</v>
      </c>
      <c r="B27" s="429">
        <v>13.0</v>
      </c>
      <c r="C27" s="555" t="str">
        <f>'Schedule | 1 Division'!E23</f>
        <v>FORZE</v>
      </c>
      <c r="D27" s="561">
        <f t="shared" ref="D27:E27" si="40">BB21</f>
        <v>2</v>
      </c>
      <c r="E27" s="561">
        <f t="shared" si="40"/>
        <v>1</v>
      </c>
      <c r="F27" s="555" t="str">
        <f>'Schedule | 1 Division'!I23</f>
        <v>Aura Farmers</v>
      </c>
      <c r="G27" s="562" t="str">
        <f t="shared" si="12"/>
        <v/>
      </c>
      <c r="H27" s="563" t="str">
        <f t="shared" si="13"/>
        <v>FORZE</v>
      </c>
      <c r="I27" s="563" t="str">
        <f t="shared" si="14"/>
        <v>Aura Farmers</v>
      </c>
      <c r="J27" s="579" t="str">
        <f t="shared" si="15"/>
        <v/>
      </c>
      <c r="K27" s="540"/>
      <c r="L27" s="540"/>
      <c r="M27" s="55"/>
      <c r="N27" s="29" t="s">
        <v>331</v>
      </c>
      <c r="O27" s="372" t="s">
        <v>452</v>
      </c>
      <c r="P27" s="109" t="s">
        <v>377</v>
      </c>
      <c r="Q27" s="92"/>
      <c r="T27" s="55"/>
      <c r="U27" s="109" t="s">
        <v>408</v>
      </c>
      <c r="V27" s="372" t="s">
        <v>326</v>
      </c>
      <c r="W27" s="373" t="s">
        <v>325</v>
      </c>
      <c r="X27" s="540"/>
      <c r="Y27" s="66"/>
      <c r="Z27" s="29" t="s">
        <v>317</v>
      </c>
      <c r="AA27" s="242" t="s">
        <v>351</v>
      </c>
      <c r="AB27" s="109" t="s">
        <v>328</v>
      </c>
      <c r="AC27" s="92"/>
      <c r="AE27" s="92"/>
      <c r="AG27" s="109" t="s">
        <v>369</v>
      </c>
      <c r="AH27" s="242" t="s">
        <v>338</v>
      </c>
      <c r="AI27" s="373" t="s">
        <v>342</v>
      </c>
      <c r="AJ27" s="540"/>
      <c r="AK27" s="66"/>
      <c r="AL27" s="29" t="s">
        <v>315</v>
      </c>
      <c r="AM27" s="372" t="s">
        <v>397</v>
      </c>
      <c r="AN27" s="109" t="s">
        <v>361</v>
      </c>
      <c r="AO27" s="92"/>
      <c r="AQ27" s="92"/>
      <c r="AS27" s="109" t="s">
        <v>325</v>
      </c>
      <c r="AT27" s="242" t="s">
        <v>450</v>
      </c>
      <c r="AU27" s="373" t="s">
        <v>317</v>
      </c>
      <c r="AV27" s="540"/>
      <c r="AW27" s="66"/>
      <c r="AX27" s="29" t="s">
        <v>328</v>
      </c>
      <c r="AY27" s="372" t="s">
        <v>397</v>
      </c>
      <c r="AZ27" s="109" t="s">
        <v>382</v>
      </c>
      <c r="BA27" s="92"/>
      <c r="BC27" s="92"/>
      <c r="BE27" s="109" t="s">
        <v>369</v>
      </c>
      <c r="BF27" s="242" t="s">
        <v>383</v>
      </c>
      <c r="BG27" s="373" t="s">
        <v>324</v>
      </c>
      <c r="BH27" s="540"/>
      <c r="BI27" s="66"/>
      <c r="BJ27" s="29" t="s">
        <v>328</v>
      </c>
      <c r="BK27" s="242" t="s">
        <v>727</v>
      </c>
      <c r="BL27" s="109" t="s">
        <v>343</v>
      </c>
      <c r="BM27" s="92"/>
      <c r="BO27" s="92"/>
      <c r="BQ27" s="109" t="s">
        <v>369</v>
      </c>
      <c r="BR27" s="242" t="s">
        <v>449</v>
      </c>
      <c r="BS27" s="373" t="s">
        <v>331</v>
      </c>
      <c r="BT27" s="540"/>
      <c r="BU27" s="66"/>
      <c r="BV27" s="29" t="s">
        <v>337</v>
      </c>
      <c r="BW27" s="242" t="s">
        <v>576</v>
      </c>
      <c r="BX27" s="109" t="s">
        <v>325</v>
      </c>
      <c r="BY27" s="92"/>
      <c r="CA27" s="92"/>
      <c r="CC27" s="109" t="s">
        <v>322</v>
      </c>
      <c r="CD27" s="242" t="s">
        <v>383</v>
      </c>
      <c r="CE27" s="373" t="s">
        <v>342</v>
      </c>
      <c r="CF27" s="540"/>
      <c r="CG27" s="66"/>
      <c r="CH27" s="29" t="s">
        <v>325</v>
      </c>
      <c r="CI27" s="242" t="s">
        <v>725</v>
      </c>
      <c r="CJ27" s="109" t="s">
        <v>377</v>
      </c>
      <c r="CK27" s="92"/>
      <c r="CM27" s="92"/>
      <c r="CO27" s="109" t="s">
        <v>400</v>
      </c>
      <c r="CP27" s="242" t="s">
        <v>576</v>
      </c>
      <c r="CQ27" s="373" t="s">
        <v>324</v>
      </c>
      <c r="CR27" s="540"/>
      <c r="CS27" s="66"/>
      <c r="CT27" s="29" t="s">
        <v>331</v>
      </c>
      <c r="CU27" s="240" t="s">
        <v>366</v>
      </c>
      <c r="CV27" s="109" t="s">
        <v>343</v>
      </c>
      <c r="CW27" s="92"/>
      <c r="CY27" s="92"/>
      <c r="DA27" s="109" t="s">
        <v>346</v>
      </c>
      <c r="DB27" s="240" t="s">
        <v>378</v>
      </c>
      <c r="DC27" s="373" t="s">
        <v>324</v>
      </c>
      <c r="DD27" s="540"/>
      <c r="DE27" s="66"/>
      <c r="DF27" s="29" t="s">
        <v>337</v>
      </c>
      <c r="DG27" s="242" t="s">
        <v>458</v>
      </c>
      <c r="DH27" s="109" t="s">
        <v>354</v>
      </c>
      <c r="DI27" s="92"/>
      <c r="DK27" s="92"/>
      <c r="DM27" s="109" t="s">
        <v>348</v>
      </c>
      <c r="DN27" s="240" t="s">
        <v>326</v>
      </c>
      <c r="DO27" s="373" t="s">
        <v>342</v>
      </c>
      <c r="DP27" s="540"/>
      <c r="DQ27" s="66"/>
      <c r="DR27" s="29" t="s">
        <v>328</v>
      </c>
      <c r="DS27" s="242" t="s">
        <v>442</v>
      </c>
      <c r="DT27" s="109" t="s">
        <v>400</v>
      </c>
      <c r="DU27" s="92"/>
      <c r="DW27" s="92"/>
      <c r="DY27" s="109" t="s">
        <v>325</v>
      </c>
      <c r="DZ27" s="240" t="s">
        <v>366</v>
      </c>
      <c r="EA27" s="373" t="s">
        <v>331</v>
      </c>
      <c r="EB27" s="540"/>
      <c r="EC27" s="66"/>
      <c r="ED27" s="29" t="s">
        <v>315</v>
      </c>
      <c r="EE27" s="242" t="s">
        <v>442</v>
      </c>
      <c r="EF27" s="109" t="s">
        <v>343</v>
      </c>
      <c r="EG27" s="92"/>
      <c r="EI27" s="92"/>
      <c r="EK27" s="109" t="s">
        <v>325</v>
      </c>
      <c r="EL27" s="240" t="s">
        <v>330</v>
      </c>
      <c r="EM27" s="373" t="s">
        <v>324</v>
      </c>
      <c r="EN27" s="540"/>
      <c r="EO27" s="66"/>
      <c r="EP27" s="29" t="s">
        <v>331</v>
      </c>
      <c r="EQ27" s="240" t="s">
        <v>394</v>
      </c>
      <c r="ER27" s="109" t="s">
        <v>352</v>
      </c>
      <c r="ES27" s="92"/>
      <c r="EU27" s="92"/>
      <c r="EW27" s="109" t="s">
        <v>325</v>
      </c>
      <c r="EX27" s="242" t="s">
        <v>460</v>
      </c>
      <c r="EY27" s="373" t="s">
        <v>342</v>
      </c>
      <c r="EZ27" s="540"/>
      <c r="FA27" s="66"/>
      <c r="FB27" s="29" t="s">
        <v>337</v>
      </c>
      <c r="FC27" s="242" t="s">
        <v>335</v>
      </c>
      <c r="FD27" s="109" t="s">
        <v>412</v>
      </c>
      <c r="FE27" s="92"/>
      <c r="FG27" s="92"/>
      <c r="FI27" s="109" t="s">
        <v>343</v>
      </c>
      <c r="FJ27" s="242" t="s">
        <v>460</v>
      </c>
      <c r="FK27" s="373" t="s">
        <v>342</v>
      </c>
      <c r="FL27" s="540"/>
      <c r="FM27" s="66"/>
      <c r="FN27" s="29" t="s">
        <v>317</v>
      </c>
      <c r="FO27" s="242" t="s">
        <v>450</v>
      </c>
      <c r="FP27" s="109" t="s">
        <v>343</v>
      </c>
      <c r="FQ27" s="92"/>
      <c r="FS27" s="92"/>
      <c r="FU27" s="109" t="s">
        <v>341</v>
      </c>
      <c r="FV27" s="240" t="s">
        <v>353</v>
      </c>
      <c r="FW27" s="373" t="s">
        <v>324</v>
      </c>
      <c r="FX27" s="540"/>
    </row>
    <row r="28">
      <c r="A28" s="109">
        <v>1.0</v>
      </c>
      <c r="B28" s="429">
        <v>14.0</v>
      </c>
      <c r="C28" s="555" t="str">
        <f>'Schedule | 1 Division'!E24</f>
        <v>Team Spirit</v>
      </c>
      <c r="D28" s="561">
        <f t="shared" ref="D28:E28" si="41">BB41</f>
        <v>2</v>
      </c>
      <c r="E28" s="561">
        <f t="shared" si="41"/>
        <v>0</v>
      </c>
      <c r="F28" s="555" t="str">
        <f>'Schedule | 1 Division'!I24</f>
        <v>Team Yandex</v>
      </c>
      <c r="G28" s="562" t="str">
        <f t="shared" si="12"/>
        <v>Team Spirit</v>
      </c>
      <c r="H28" s="563" t="str">
        <f t="shared" si="13"/>
        <v/>
      </c>
      <c r="I28" s="563" t="str">
        <f t="shared" si="14"/>
        <v/>
      </c>
      <c r="J28" s="579" t="str">
        <f t="shared" si="15"/>
        <v>Team Yandex</v>
      </c>
      <c r="K28" s="540"/>
      <c r="L28" s="540"/>
      <c r="M28" s="55"/>
      <c r="N28" s="29" t="s">
        <v>327</v>
      </c>
      <c r="O28" s="372" t="s">
        <v>449</v>
      </c>
      <c r="P28" s="109" t="s">
        <v>389</v>
      </c>
      <c r="Q28" s="92"/>
      <c r="T28" s="55"/>
      <c r="U28" s="109" t="s">
        <v>369</v>
      </c>
      <c r="V28" s="372" t="s">
        <v>338</v>
      </c>
      <c r="W28" s="373" t="s">
        <v>373</v>
      </c>
      <c r="X28" s="540"/>
      <c r="Y28" s="66"/>
      <c r="Z28" s="29" t="s">
        <v>324</v>
      </c>
      <c r="AA28" s="242" t="s">
        <v>365</v>
      </c>
      <c r="AB28" s="109" t="s">
        <v>373</v>
      </c>
      <c r="AC28" s="92"/>
      <c r="AE28" s="92"/>
      <c r="AG28" s="109" t="s">
        <v>354</v>
      </c>
      <c r="AH28" s="242" t="s">
        <v>326</v>
      </c>
      <c r="AI28" s="373" t="s">
        <v>322</v>
      </c>
      <c r="AJ28" s="540"/>
      <c r="AK28" s="66"/>
      <c r="AL28" s="29" t="s">
        <v>331</v>
      </c>
      <c r="AM28" s="372" t="s">
        <v>340</v>
      </c>
      <c r="AN28" s="109" t="s">
        <v>327</v>
      </c>
      <c r="AO28" s="92"/>
      <c r="AQ28" s="92"/>
      <c r="AS28" s="109" t="s">
        <v>369</v>
      </c>
      <c r="AT28" s="242" t="s">
        <v>449</v>
      </c>
      <c r="AU28" s="373" t="s">
        <v>324</v>
      </c>
      <c r="AV28" s="540"/>
      <c r="AW28" s="66"/>
      <c r="AX28" s="29" t="s">
        <v>337</v>
      </c>
      <c r="AY28" s="372" t="s">
        <v>340</v>
      </c>
      <c r="AZ28" s="109" t="s">
        <v>354</v>
      </c>
      <c r="BA28" s="92"/>
      <c r="BC28" s="92"/>
      <c r="BE28" s="109" t="s">
        <v>334</v>
      </c>
      <c r="BF28" s="242" t="s">
        <v>366</v>
      </c>
      <c r="BG28" s="373" t="s">
        <v>342</v>
      </c>
      <c r="BH28" s="540"/>
      <c r="BI28" s="66"/>
      <c r="BJ28" s="29" t="s">
        <v>337</v>
      </c>
      <c r="BK28" s="242" t="s">
        <v>729</v>
      </c>
      <c r="BL28" s="109" t="s">
        <v>384</v>
      </c>
      <c r="BM28" s="92"/>
      <c r="BO28" s="92"/>
      <c r="BQ28" s="109" t="s">
        <v>405</v>
      </c>
      <c r="BR28" s="242" t="s">
        <v>454</v>
      </c>
      <c r="BS28" s="373" t="s">
        <v>342</v>
      </c>
      <c r="BT28" s="540"/>
      <c r="BU28" s="66"/>
      <c r="BV28" s="29" t="s">
        <v>327</v>
      </c>
      <c r="BW28" s="242" t="s">
        <v>468</v>
      </c>
      <c r="BX28" s="109" t="s">
        <v>405</v>
      </c>
      <c r="BY28" s="92"/>
      <c r="CA28" s="92"/>
      <c r="CC28" s="109" t="s">
        <v>380</v>
      </c>
      <c r="CD28" s="242" t="s">
        <v>336</v>
      </c>
      <c r="CE28" s="373" t="s">
        <v>331</v>
      </c>
      <c r="CF28" s="540"/>
      <c r="CG28" s="66"/>
      <c r="CH28" s="29" t="s">
        <v>328</v>
      </c>
      <c r="CI28" s="242" t="s">
        <v>422</v>
      </c>
      <c r="CJ28" s="109" t="s">
        <v>352</v>
      </c>
      <c r="CK28" s="92"/>
      <c r="CM28" s="92"/>
      <c r="CO28" s="109" t="s">
        <v>337</v>
      </c>
      <c r="CP28" s="242" t="s">
        <v>468</v>
      </c>
      <c r="CQ28" s="373" t="s">
        <v>327</v>
      </c>
      <c r="CR28" s="540"/>
      <c r="CS28" s="66"/>
      <c r="CT28" s="29" t="s">
        <v>325</v>
      </c>
      <c r="CU28" s="240" t="s">
        <v>336</v>
      </c>
      <c r="CV28" s="109" t="s">
        <v>377</v>
      </c>
      <c r="CW28" s="92"/>
      <c r="CY28" s="92"/>
      <c r="DA28" s="109" t="s">
        <v>374</v>
      </c>
      <c r="DB28" s="240" t="s">
        <v>326</v>
      </c>
      <c r="DC28" s="373" t="s">
        <v>317</v>
      </c>
      <c r="DD28" s="540"/>
      <c r="DE28" s="66"/>
      <c r="DF28" s="29" t="s">
        <v>315</v>
      </c>
      <c r="DG28" s="242" t="s">
        <v>468</v>
      </c>
      <c r="DH28" s="109" t="s">
        <v>387</v>
      </c>
      <c r="DI28" s="92"/>
      <c r="DK28" s="92"/>
      <c r="DM28" s="109" t="s">
        <v>334</v>
      </c>
      <c r="DN28" s="240" t="s">
        <v>330</v>
      </c>
      <c r="DO28" s="373" t="s">
        <v>327</v>
      </c>
      <c r="DP28" s="540"/>
      <c r="DQ28" s="66"/>
      <c r="DR28" s="29" t="s">
        <v>317</v>
      </c>
      <c r="DS28" s="242" t="s">
        <v>426</v>
      </c>
      <c r="DT28" s="109" t="s">
        <v>373</v>
      </c>
      <c r="DU28" s="92"/>
      <c r="DW28" s="92"/>
      <c r="DY28" s="109" t="s">
        <v>352</v>
      </c>
      <c r="DZ28" s="240" t="s">
        <v>353</v>
      </c>
      <c r="EA28" s="373" t="s">
        <v>342</v>
      </c>
      <c r="EB28" s="540"/>
      <c r="EC28" s="66"/>
      <c r="ED28" s="29" t="s">
        <v>317</v>
      </c>
      <c r="EE28" s="242" t="s">
        <v>426</v>
      </c>
      <c r="EF28" s="109" t="s">
        <v>328</v>
      </c>
      <c r="EG28" s="92"/>
      <c r="EI28" s="92"/>
      <c r="EK28" s="109" t="s">
        <v>346</v>
      </c>
      <c r="EL28" s="240" t="s">
        <v>378</v>
      </c>
      <c r="EM28" s="373" t="s">
        <v>331</v>
      </c>
      <c r="EN28" s="540"/>
      <c r="EO28" s="66"/>
      <c r="EP28" s="29" t="s">
        <v>317</v>
      </c>
      <c r="EQ28" s="240" t="s">
        <v>366</v>
      </c>
      <c r="ER28" s="109" t="s">
        <v>400</v>
      </c>
      <c r="ES28" s="92"/>
      <c r="EU28" s="92"/>
      <c r="EW28" s="109" t="s">
        <v>346</v>
      </c>
      <c r="EX28" s="242" t="s">
        <v>468</v>
      </c>
      <c r="EY28" s="373" t="s">
        <v>327</v>
      </c>
      <c r="EZ28" s="540"/>
      <c r="FA28" s="66"/>
      <c r="FB28" s="29" t="s">
        <v>327</v>
      </c>
      <c r="FC28" s="242" t="s">
        <v>393</v>
      </c>
      <c r="FD28" s="109" t="s">
        <v>414</v>
      </c>
      <c r="FE28" s="92"/>
      <c r="FG28" s="92"/>
      <c r="FI28" s="109" t="s">
        <v>346</v>
      </c>
      <c r="FJ28" s="242" t="s">
        <v>468</v>
      </c>
      <c r="FK28" s="373" t="s">
        <v>331</v>
      </c>
      <c r="FL28" s="540"/>
      <c r="FM28" s="66"/>
      <c r="FN28" s="29" t="s">
        <v>369</v>
      </c>
      <c r="FO28" s="242" t="s">
        <v>448</v>
      </c>
      <c r="FP28" s="109" t="s">
        <v>373</v>
      </c>
      <c r="FQ28" s="92"/>
      <c r="FS28" s="92"/>
      <c r="FU28" s="109" t="s">
        <v>337</v>
      </c>
      <c r="FV28" s="240" t="s">
        <v>394</v>
      </c>
      <c r="FW28" s="373" t="s">
        <v>328</v>
      </c>
      <c r="FX28" s="540"/>
    </row>
    <row r="29" ht="18.0" customHeight="1">
      <c r="A29" s="109">
        <v>1.0</v>
      </c>
      <c r="B29" s="429">
        <v>15.0</v>
      </c>
      <c r="C29" s="555" t="str">
        <f>'Schedule | 1 Division'!E25</f>
        <v>CYBERHERO</v>
      </c>
      <c r="D29" s="561">
        <f t="shared" ref="D29:E29" si="42">BB61</f>
        <v>2</v>
      </c>
      <c r="E29" s="561">
        <f t="shared" si="42"/>
        <v>0</v>
      </c>
      <c r="F29" s="555" t="str">
        <f>'Schedule | 1 Division'!I25</f>
        <v>Magic</v>
      </c>
      <c r="G29" s="562" t="str">
        <f t="shared" si="12"/>
        <v>CYBERHERO</v>
      </c>
      <c r="H29" s="563" t="str">
        <f t="shared" si="13"/>
        <v/>
      </c>
      <c r="I29" s="563" t="str">
        <f t="shared" si="14"/>
        <v/>
      </c>
      <c r="J29" s="579" t="str">
        <f t="shared" si="15"/>
        <v>Magic</v>
      </c>
      <c r="K29" s="530"/>
      <c r="L29" s="530"/>
      <c r="M29" s="55"/>
      <c r="N29" s="29" t="s">
        <v>400</v>
      </c>
      <c r="O29" s="372" t="s">
        <v>454</v>
      </c>
      <c r="P29" s="109" t="s">
        <v>342</v>
      </c>
      <c r="Q29" s="92"/>
      <c r="T29" s="55"/>
      <c r="U29" s="109" t="s">
        <v>439</v>
      </c>
      <c r="V29" s="372" t="s">
        <v>378</v>
      </c>
      <c r="W29" s="373" t="s">
        <v>322</v>
      </c>
      <c r="X29" s="530"/>
      <c r="Y29" s="66"/>
      <c r="Z29" s="29" t="s">
        <v>374</v>
      </c>
      <c r="AA29" s="242" t="s">
        <v>393</v>
      </c>
      <c r="AB29" s="109" t="s">
        <v>352</v>
      </c>
      <c r="AC29" s="92"/>
      <c r="AE29" s="92"/>
      <c r="AG29" s="109" t="s">
        <v>325</v>
      </c>
      <c r="AH29" s="242" t="s">
        <v>330</v>
      </c>
      <c r="AI29" s="373" t="s">
        <v>387</v>
      </c>
      <c r="AJ29" s="530"/>
      <c r="AK29" s="66"/>
      <c r="AL29" s="29" t="s">
        <v>374</v>
      </c>
      <c r="AM29" s="372" t="s">
        <v>356</v>
      </c>
      <c r="AN29" s="109" t="s">
        <v>400</v>
      </c>
      <c r="AO29" s="92"/>
      <c r="AQ29" s="92"/>
      <c r="AS29" s="109" t="s">
        <v>405</v>
      </c>
      <c r="AT29" s="242" t="s">
        <v>454</v>
      </c>
      <c r="AU29" s="373" t="s">
        <v>418</v>
      </c>
      <c r="AV29" s="530"/>
      <c r="AW29" s="66"/>
      <c r="AX29" s="29" t="s">
        <v>348</v>
      </c>
      <c r="AY29" s="372" t="s">
        <v>356</v>
      </c>
      <c r="AZ29" s="109" t="s">
        <v>331</v>
      </c>
      <c r="BA29" s="92"/>
      <c r="BC29" s="92"/>
      <c r="BE29" s="109" t="s">
        <v>384</v>
      </c>
      <c r="BF29" s="242" t="s">
        <v>336</v>
      </c>
      <c r="BG29" s="373" t="s">
        <v>401</v>
      </c>
      <c r="BH29" s="530"/>
      <c r="BI29" s="66"/>
      <c r="BJ29" s="29" t="s">
        <v>348</v>
      </c>
      <c r="BK29" s="242" t="s">
        <v>350</v>
      </c>
      <c r="BL29" s="109" t="s">
        <v>439</v>
      </c>
      <c r="BM29" s="92"/>
      <c r="BO29" s="92"/>
      <c r="BQ29" s="109" t="s">
        <v>483</v>
      </c>
      <c r="BR29" s="242" t="s">
        <v>452</v>
      </c>
      <c r="BS29" s="373" t="s">
        <v>387</v>
      </c>
      <c r="BT29" s="530"/>
      <c r="BU29" s="66"/>
      <c r="BV29" s="29" t="s">
        <v>418</v>
      </c>
      <c r="BW29" s="242" t="s">
        <v>458</v>
      </c>
      <c r="BX29" s="109" t="s">
        <v>368</v>
      </c>
      <c r="BY29" s="92"/>
      <c r="CA29" s="92"/>
      <c r="CC29" s="109" t="s">
        <v>387</v>
      </c>
      <c r="CD29" s="242" t="s">
        <v>394</v>
      </c>
      <c r="CE29" s="373" t="s">
        <v>373</v>
      </c>
      <c r="CF29" s="530"/>
      <c r="CG29" s="66"/>
      <c r="CH29" s="29" t="s">
        <v>737</v>
      </c>
      <c r="CI29" s="242" t="s">
        <v>442</v>
      </c>
      <c r="CJ29" s="109" t="s">
        <v>411</v>
      </c>
      <c r="CK29" s="92"/>
      <c r="CM29" s="92"/>
      <c r="CO29" s="109" t="s">
        <v>315</v>
      </c>
      <c r="CP29" s="242" t="s">
        <v>458</v>
      </c>
      <c r="CQ29" s="373" t="s">
        <v>334</v>
      </c>
      <c r="CR29" s="530"/>
      <c r="CS29" s="66"/>
      <c r="CT29" s="29" t="s">
        <v>337</v>
      </c>
      <c r="CU29" s="240" t="s">
        <v>383</v>
      </c>
      <c r="CV29" s="109" t="s">
        <v>376</v>
      </c>
      <c r="CW29" s="92"/>
      <c r="CY29" s="92"/>
      <c r="DA29" s="109" t="s">
        <v>400</v>
      </c>
      <c r="DB29" s="240" t="s">
        <v>330</v>
      </c>
      <c r="DC29" s="373" t="s">
        <v>361</v>
      </c>
      <c r="DD29" s="530"/>
      <c r="DE29" s="66"/>
      <c r="DF29" s="29" t="s">
        <v>352</v>
      </c>
      <c r="DG29" s="242" t="s">
        <v>464</v>
      </c>
      <c r="DH29" s="109" t="s">
        <v>399</v>
      </c>
      <c r="DI29" s="92"/>
      <c r="DK29" s="92"/>
      <c r="DM29" s="109" t="s">
        <v>379</v>
      </c>
      <c r="DN29" s="240" t="s">
        <v>378</v>
      </c>
      <c r="DO29" s="373" t="s">
        <v>401</v>
      </c>
      <c r="DP29" s="530"/>
      <c r="DQ29" s="66"/>
      <c r="DR29" s="29" t="s">
        <v>369</v>
      </c>
      <c r="DS29" s="242" t="s">
        <v>725</v>
      </c>
      <c r="DT29" s="109" t="s">
        <v>384</v>
      </c>
      <c r="DU29" s="92"/>
      <c r="DW29" s="92"/>
      <c r="DY29" s="109" t="s">
        <v>382</v>
      </c>
      <c r="DZ29" s="240" t="s">
        <v>383</v>
      </c>
      <c r="EA29" s="373" t="s">
        <v>375</v>
      </c>
      <c r="EB29" s="530"/>
      <c r="EC29" s="66"/>
      <c r="ED29" s="29" t="s">
        <v>19</v>
      </c>
      <c r="EE29" s="242" t="s">
        <v>725</v>
      </c>
      <c r="EF29" s="109" t="s">
        <v>327</v>
      </c>
      <c r="EG29" s="92"/>
      <c r="EI29" s="92"/>
      <c r="EK29" s="109" t="s">
        <v>395</v>
      </c>
      <c r="EL29" s="240" t="s">
        <v>338</v>
      </c>
      <c r="EM29" s="373" t="s">
        <v>362</v>
      </c>
      <c r="EN29" s="530"/>
      <c r="EO29" s="66"/>
      <c r="EP29" s="29" t="s">
        <v>373</v>
      </c>
      <c r="EQ29" s="240" t="s">
        <v>383</v>
      </c>
      <c r="ER29" s="109" t="s">
        <v>382</v>
      </c>
      <c r="ES29" s="92"/>
      <c r="EU29" s="92"/>
      <c r="EW29" s="109" t="s">
        <v>19</v>
      </c>
      <c r="EX29" s="242" t="s">
        <v>464</v>
      </c>
      <c r="EY29" s="373" t="s">
        <v>322</v>
      </c>
      <c r="EZ29" s="530"/>
      <c r="FA29" s="66"/>
      <c r="FB29" s="29" t="s">
        <v>374</v>
      </c>
      <c r="FC29" s="242" t="s">
        <v>351</v>
      </c>
      <c r="FD29" s="109" t="s">
        <v>406</v>
      </c>
      <c r="FE29" s="92"/>
      <c r="FG29" s="92"/>
      <c r="FI29" s="109" t="s">
        <v>382</v>
      </c>
      <c r="FJ29" s="242" t="s">
        <v>464</v>
      </c>
      <c r="FK29" s="373" t="s">
        <v>377</v>
      </c>
      <c r="FL29" s="530"/>
      <c r="FM29" s="66"/>
      <c r="FN29" s="29" t="s">
        <v>380</v>
      </c>
      <c r="FO29" s="242" t="s">
        <v>452</v>
      </c>
      <c r="FP29" s="109" t="s">
        <v>377</v>
      </c>
      <c r="FQ29" s="92"/>
      <c r="FS29" s="92"/>
      <c r="FU29" s="109" t="s">
        <v>375</v>
      </c>
      <c r="FV29" s="240" t="s">
        <v>336</v>
      </c>
      <c r="FW29" s="373" t="s">
        <v>315</v>
      </c>
      <c r="FX29" s="530"/>
    </row>
    <row r="30">
      <c r="A30" s="109">
        <v>1.0</v>
      </c>
      <c r="B30" s="429">
        <v>16.0</v>
      </c>
      <c r="C30" s="555" t="str">
        <f>'Schedule | 1 Division'!E26</f>
        <v>Verso Time</v>
      </c>
      <c r="D30" s="561">
        <f t="shared" ref="D30:E30" si="43">BB81</f>
        <v>2</v>
      </c>
      <c r="E30" s="561">
        <f t="shared" si="43"/>
        <v>0</v>
      </c>
      <c r="F30" s="553" t="str">
        <f>'Schedule | 1 Division'!I26</f>
        <v>Virtus.pro</v>
      </c>
      <c r="G30" s="562" t="str">
        <f t="shared" si="12"/>
        <v>Verso Time</v>
      </c>
      <c r="H30" s="563" t="str">
        <f t="shared" si="13"/>
        <v/>
      </c>
      <c r="I30" s="563" t="str">
        <f t="shared" si="14"/>
        <v/>
      </c>
      <c r="J30" s="579" t="str">
        <f t="shared" si="15"/>
        <v>Virtus.pro</v>
      </c>
      <c r="K30" s="530"/>
      <c r="L30" s="530"/>
      <c r="M30" s="55"/>
      <c r="N30" s="29" t="s">
        <v>334</v>
      </c>
      <c r="O30" s="372" t="s">
        <v>448</v>
      </c>
      <c r="P30" s="109" t="s">
        <v>315</v>
      </c>
      <c r="Q30" s="92"/>
      <c r="R30" s="374"/>
      <c r="S30" s="374"/>
      <c r="T30" s="55"/>
      <c r="U30" s="109" t="s">
        <v>414</v>
      </c>
      <c r="V30" s="372" t="s">
        <v>349</v>
      </c>
      <c r="W30" s="373" t="s">
        <v>396</v>
      </c>
      <c r="X30" s="530"/>
      <c r="Y30" s="66"/>
      <c r="Z30" s="29" t="s">
        <v>384</v>
      </c>
      <c r="AA30" s="242" t="s">
        <v>381</v>
      </c>
      <c r="AB30" s="109" t="s">
        <v>382</v>
      </c>
      <c r="AC30" s="92"/>
      <c r="AD30" s="374"/>
      <c r="AE30" s="375"/>
      <c r="AF30" s="374"/>
      <c r="AG30" s="109" t="s">
        <v>337</v>
      </c>
      <c r="AH30" s="242" t="s">
        <v>378</v>
      </c>
      <c r="AI30" s="373" t="s">
        <v>385</v>
      </c>
      <c r="AJ30" s="530"/>
      <c r="AK30" s="66"/>
      <c r="AL30" s="29" t="s">
        <v>346</v>
      </c>
      <c r="AM30" s="372" t="s">
        <v>386</v>
      </c>
      <c r="AN30" s="109" t="s">
        <v>377</v>
      </c>
      <c r="AO30" s="92"/>
      <c r="AP30" s="374"/>
      <c r="AQ30" s="375"/>
      <c r="AR30" s="374"/>
      <c r="AS30" s="109" t="s">
        <v>348</v>
      </c>
      <c r="AT30" s="242" t="s">
        <v>448</v>
      </c>
      <c r="AU30" s="373" t="s">
        <v>382</v>
      </c>
      <c r="AV30" s="530"/>
      <c r="AW30" s="66"/>
      <c r="AX30" s="29" t="s">
        <v>362</v>
      </c>
      <c r="AY30" s="372" t="s">
        <v>386</v>
      </c>
      <c r="AZ30" s="109" t="s">
        <v>380</v>
      </c>
      <c r="BA30" s="92"/>
      <c r="BB30" s="374"/>
      <c r="BC30" s="375"/>
      <c r="BD30" s="374"/>
      <c r="BE30" s="109" t="s">
        <v>408</v>
      </c>
      <c r="BF30" s="242" t="s">
        <v>353</v>
      </c>
      <c r="BG30" s="373" t="s">
        <v>377</v>
      </c>
      <c r="BH30" s="530"/>
      <c r="BI30" s="66"/>
      <c r="BJ30" s="29" t="s">
        <v>368</v>
      </c>
      <c r="BK30" s="391" t="s">
        <v>355</v>
      </c>
      <c r="BL30" s="109" t="s">
        <v>315</v>
      </c>
      <c r="BM30" s="92"/>
      <c r="BN30" s="374"/>
      <c r="BO30" s="375"/>
      <c r="BP30" s="374"/>
      <c r="BQ30" s="109" t="s">
        <v>391</v>
      </c>
      <c r="BR30" s="242" t="s">
        <v>448</v>
      </c>
      <c r="BS30" s="373" t="s">
        <v>352</v>
      </c>
      <c r="BT30" s="530"/>
      <c r="BU30" s="66"/>
      <c r="BV30" s="29" t="s">
        <v>396</v>
      </c>
      <c r="BW30" s="242" t="s">
        <v>462</v>
      </c>
      <c r="BX30" s="109" t="s">
        <v>384</v>
      </c>
      <c r="BY30" s="92"/>
      <c r="BZ30" s="374"/>
      <c r="CA30" s="375"/>
      <c r="CB30" s="374"/>
      <c r="CC30" s="109" t="s">
        <v>408</v>
      </c>
      <c r="CD30" s="242" t="s">
        <v>353</v>
      </c>
      <c r="CE30" s="373" t="s">
        <v>348</v>
      </c>
      <c r="CF30" s="530"/>
      <c r="CG30" s="66"/>
      <c r="CH30" s="29" t="s">
        <v>401</v>
      </c>
      <c r="CI30" s="391" t="s">
        <v>426</v>
      </c>
      <c r="CJ30" s="109" t="s">
        <v>348</v>
      </c>
      <c r="CK30" s="92"/>
      <c r="CL30" s="374"/>
      <c r="CM30" s="375"/>
      <c r="CN30" s="374"/>
      <c r="CO30" s="109" t="s">
        <v>414</v>
      </c>
      <c r="CP30" s="242" t="s">
        <v>462</v>
      </c>
      <c r="CQ30" s="373" t="s">
        <v>343</v>
      </c>
      <c r="CR30" s="530"/>
      <c r="CS30" s="66"/>
      <c r="CT30" s="29" t="s">
        <v>352</v>
      </c>
      <c r="CU30" s="240" t="s">
        <v>353</v>
      </c>
      <c r="CV30" s="109" t="s">
        <v>408</v>
      </c>
      <c r="CW30" s="92"/>
      <c r="CX30" s="374"/>
      <c r="CY30" s="375"/>
      <c r="CZ30" s="374"/>
      <c r="DA30" s="109" t="s">
        <v>328</v>
      </c>
      <c r="DB30" s="240" t="s">
        <v>349</v>
      </c>
      <c r="DC30" s="373" t="s">
        <v>322</v>
      </c>
      <c r="DD30" s="530"/>
      <c r="DE30" s="66"/>
      <c r="DF30" s="29" t="s">
        <v>369</v>
      </c>
      <c r="DG30" s="242" t="s">
        <v>462</v>
      </c>
      <c r="DH30" s="109" t="s">
        <v>414</v>
      </c>
      <c r="DI30" s="92"/>
      <c r="DJ30" s="374"/>
      <c r="DK30" s="375"/>
      <c r="DL30" s="374"/>
      <c r="DM30" s="109" t="s">
        <v>395</v>
      </c>
      <c r="DN30" s="240" t="s">
        <v>338</v>
      </c>
      <c r="DO30" s="373" t="s">
        <v>737</v>
      </c>
      <c r="DP30" s="530"/>
      <c r="DQ30" s="66"/>
      <c r="DR30" s="29" t="s">
        <v>322</v>
      </c>
      <c r="DS30" s="391" t="s">
        <v>422</v>
      </c>
      <c r="DT30" s="109" t="s">
        <v>405</v>
      </c>
      <c r="DU30" s="92"/>
      <c r="DV30" s="374"/>
      <c r="DW30" s="375"/>
      <c r="DX30" s="374"/>
      <c r="DY30" s="109" t="s">
        <v>337</v>
      </c>
      <c r="DZ30" s="240" t="s">
        <v>394</v>
      </c>
      <c r="EA30" s="373" t="s">
        <v>380</v>
      </c>
      <c r="EB30" s="530"/>
      <c r="EC30" s="66"/>
      <c r="ED30" s="29" t="s">
        <v>361</v>
      </c>
      <c r="EE30" s="391" t="s">
        <v>422</v>
      </c>
      <c r="EF30" s="109" t="s">
        <v>352</v>
      </c>
      <c r="EG30" s="92"/>
      <c r="EH30" s="374"/>
      <c r="EI30" s="375"/>
      <c r="EJ30" s="374"/>
      <c r="EK30" s="109" t="s">
        <v>377</v>
      </c>
      <c r="EL30" s="240" t="s">
        <v>349</v>
      </c>
      <c r="EM30" s="373" t="s">
        <v>368</v>
      </c>
      <c r="EN30" s="530"/>
      <c r="EO30" s="66"/>
      <c r="EP30" s="29" t="s">
        <v>374</v>
      </c>
      <c r="EQ30" s="240" t="s">
        <v>353</v>
      </c>
      <c r="ER30" s="109" t="s">
        <v>391</v>
      </c>
      <c r="ES30" s="92"/>
      <c r="ET30" s="374"/>
      <c r="EU30" s="375"/>
      <c r="EV30" s="374"/>
      <c r="EW30" s="109" t="s">
        <v>341</v>
      </c>
      <c r="EX30" s="242" t="s">
        <v>458</v>
      </c>
      <c r="EY30" s="373" t="s">
        <v>408</v>
      </c>
      <c r="EZ30" s="530"/>
      <c r="FA30" s="66"/>
      <c r="FB30" s="29" t="s">
        <v>332</v>
      </c>
      <c r="FC30" s="242" t="s">
        <v>381</v>
      </c>
      <c r="FD30" s="109" t="s">
        <v>395</v>
      </c>
      <c r="FE30" s="92"/>
      <c r="FF30" s="374"/>
      <c r="FG30" s="375"/>
      <c r="FH30" s="374"/>
      <c r="FI30" s="109" t="s">
        <v>315</v>
      </c>
      <c r="FJ30" s="242" t="s">
        <v>458</v>
      </c>
      <c r="FK30" s="373" t="s">
        <v>322</v>
      </c>
      <c r="FL30" s="530"/>
      <c r="FM30" s="66"/>
      <c r="FN30" s="29" t="s">
        <v>414</v>
      </c>
      <c r="FO30" s="242" t="s">
        <v>454</v>
      </c>
      <c r="FP30" s="109" t="s">
        <v>342</v>
      </c>
      <c r="FQ30" s="92"/>
      <c r="FR30" s="374"/>
      <c r="FS30" s="375"/>
      <c r="FT30" s="374"/>
      <c r="FU30" s="109" t="s">
        <v>332</v>
      </c>
      <c r="FV30" s="240" t="s">
        <v>383</v>
      </c>
      <c r="FW30" s="373" t="s">
        <v>374</v>
      </c>
      <c r="FX30" s="530"/>
    </row>
    <row r="31">
      <c r="A31" s="378">
        <v>1.0</v>
      </c>
      <c r="B31" s="587">
        <v>17.0</v>
      </c>
      <c r="C31" s="590" t="str">
        <f>'Schedule | 1 Division'!E29</f>
        <v>FORZE</v>
      </c>
      <c r="D31" s="589">
        <f t="shared" ref="D31:E31" si="44">BN21</f>
        <v>2</v>
      </c>
      <c r="E31" s="589">
        <f t="shared" si="44"/>
        <v>0</v>
      </c>
      <c r="F31" s="590" t="str">
        <f>'Schedule | 1 Division'!I29</f>
        <v>Team Yandex</v>
      </c>
      <c r="G31" s="591" t="str">
        <f t="shared" si="12"/>
        <v>FORZE</v>
      </c>
      <c r="H31" s="592" t="str">
        <f t="shared" si="13"/>
        <v/>
      </c>
      <c r="I31" s="592" t="str">
        <f t="shared" si="14"/>
        <v/>
      </c>
      <c r="J31" s="593" t="str">
        <f t="shared" si="15"/>
        <v>Team Yandex</v>
      </c>
      <c r="K31" s="540"/>
      <c r="L31" s="540"/>
      <c r="M31" s="376">
        <v>2.0</v>
      </c>
      <c r="N31" s="376" t="s">
        <v>327</v>
      </c>
      <c r="O31" s="377" t="s">
        <v>450</v>
      </c>
      <c r="P31" s="378" t="s">
        <v>325</v>
      </c>
      <c r="Q31" s="379" t="s">
        <v>321</v>
      </c>
      <c r="R31" s="380" t="s">
        <v>319</v>
      </c>
      <c r="S31" s="380" t="s">
        <v>320</v>
      </c>
      <c r="T31" s="376" t="s">
        <v>318</v>
      </c>
      <c r="U31" s="378" t="s">
        <v>331</v>
      </c>
      <c r="V31" s="377" t="s">
        <v>330</v>
      </c>
      <c r="W31" s="379" t="s">
        <v>317</v>
      </c>
      <c r="X31" s="540"/>
      <c r="Y31" s="383">
        <v>2.0</v>
      </c>
      <c r="Z31" s="376" t="s">
        <v>327</v>
      </c>
      <c r="AA31" s="384" t="s">
        <v>335</v>
      </c>
      <c r="AB31" s="378" t="s">
        <v>317</v>
      </c>
      <c r="AC31" s="379" t="s">
        <v>321</v>
      </c>
      <c r="AD31" s="381" t="s">
        <v>319</v>
      </c>
      <c r="AE31" s="382" t="s">
        <v>320</v>
      </c>
      <c r="AF31" s="378" t="s">
        <v>318</v>
      </c>
      <c r="AG31" s="378" t="s">
        <v>328</v>
      </c>
      <c r="AH31" s="384" t="s">
        <v>349</v>
      </c>
      <c r="AI31" s="379" t="s">
        <v>315</v>
      </c>
      <c r="AJ31" s="540"/>
      <c r="AK31" s="383">
        <v>2.0</v>
      </c>
      <c r="AL31" s="376" t="s">
        <v>325</v>
      </c>
      <c r="AM31" s="377" t="s">
        <v>367</v>
      </c>
      <c r="AN31" s="378" t="s">
        <v>352</v>
      </c>
      <c r="AO31" s="379" t="s">
        <v>321</v>
      </c>
      <c r="AP31" s="381" t="s">
        <v>320</v>
      </c>
      <c r="AQ31" s="382" t="s">
        <v>319</v>
      </c>
      <c r="AR31" s="378" t="s">
        <v>318</v>
      </c>
      <c r="AS31" s="378" t="s">
        <v>342</v>
      </c>
      <c r="AT31" s="384" t="s">
        <v>454</v>
      </c>
      <c r="AU31" s="379" t="s">
        <v>317</v>
      </c>
      <c r="AV31" s="540"/>
      <c r="AW31" s="383">
        <v>2.0</v>
      </c>
      <c r="AX31" s="376" t="s">
        <v>337</v>
      </c>
      <c r="AY31" s="377" t="s">
        <v>367</v>
      </c>
      <c r="AZ31" s="378" t="s">
        <v>387</v>
      </c>
      <c r="BA31" s="379" t="s">
        <v>321</v>
      </c>
      <c r="BB31" s="381" t="s">
        <v>319</v>
      </c>
      <c r="BC31" s="382" t="s">
        <v>320</v>
      </c>
      <c r="BD31" s="378" t="s">
        <v>318</v>
      </c>
      <c r="BE31" s="378" t="s">
        <v>331</v>
      </c>
      <c r="BF31" s="384" t="s">
        <v>366</v>
      </c>
      <c r="BG31" s="379" t="s">
        <v>334</v>
      </c>
      <c r="BH31" s="540"/>
      <c r="BI31" s="383">
        <v>2.0</v>
      </c>
      <c r="BJ31" s="376" t="s">
        <v>315</v>
      </c>
      <c r="BK31" s="242" t="s">
        <v>727</v>
      </c>
      <c r="BL31" s="378" t="s">
        <v>470</v>
      </c>
      <c r="BM31" s="379" t="s">
        <v>318</v>
      </c>
      <c r="BN31" s="381" t="s">
        <v>320</v>
      </c>
      <c r="BO31" s="382" t="s">
        <v>319</v>
      </c>
      <c r="BP31" s="378" t="s">
        <v>321</v>
      </c>
      <c r="BQ31" s="378" t="s">
        <v>342</v>
      </c>
      <c r="BR31" s="384" t="s">
        <v>454</v>
      </c>
      <c r="BS31" s="379" t="s">
        <v>327</v>
      </c>
      <c r="BT31" s="540"/>
      <c r="BU31" s="383">
        <v>2.0</v>
      </c>
      <c r="BV31" s="376" t="s">
        <v>342</v>
      </c>
      <c r="BW31" s="384" t="s">
        <v>464</v>
      </c>
      <c r="BX31" s="378" t="s">
        <v>369</v>
      </c>
      <c r="BY31" s="379" t="s">
        <v>321</v>
      </c>
      <c r="BZ31" s="381" t="s">
        <v>320</v>
      </c>
      <c r="CA31" s="382" t="s">
        <v>319</v>
      </c>
      <c r="CB31" s="378" t="s">
        <v>318</v>
      </c>
      <c r="CC31" s="378" t="s">
        <v>408</v>
      </c>
      <c r="CD31" s="384" t="s">
        <v>353</v>
      </c>
      <c r="CE31" s="379" t="s">
        <v>328</v>
      </c>
      <c r="CF31" s="540"/>
      <c r="CG31" s="383">
        <v>2.0</v>
      </c>
      <c r="CH31" s="376" t="s">
        <v>325</v>
      </c>
      <c r="CI31" s="242" t="s">
        <v>437</v>
      </c>
      <c r="CJ31" s="378" t="s">
        <v>331</v>
      </c>
      <c r="CK31" s="379" t="s">
        <v>318</v>
      </c>
      <c r="CL31" s="381" t="s">
        <v>320</v>
      </c>
      <c r="CM31" s="382" t="s">
        <v>319</v>
      </c>
      <c r="CN31" s="378" t="s">
        <v>321</v>
      </c>
      <c r="CO31" s="378" t="s">
        <v>396</v>
      </c>
      <c r="CP31" s="384" t="s">
        <v>464</v>
      </c>
      <c r="CQ31" s="379" t="s">
        <v>324</v>
      </c>
      <c r="CR31" s="540"/>
      <c r="CS31" s="383">
        <v>2.0</v>
      </c>
      <c r="CT31" s="376" t="s">
        <v>327</v>
      </c>
      <c r="CU31" s="385" t="s">
        <v>353</v>
      </c>
      <c r="CV31" s="378" t="s">
        <v>408</v>
      </c>
      <c r="CW31" s="379" t="s">
        <v>321</v>
      </c>
      <c r="CX31" s="381" t="s">
        <v>320</v>
      </c>
      <c r="CY31" s="382" t="s">
        <v>319</v>
      </c>
      <c r="CZ31" s="378" t="s">
        <v>318</v>
      </c>
      <c r="DA31" s="378" t="s">
        <v>325</v>
      </c>
      <c r="DB31" s="385" t="s">
        <v>330</v>
      </c>
      <c r="DC31" s="379" t="s">
        <v>328</v>
      </c>
      <c r="DD31" s="540"/>
      <c r="DE31" s="383">
        <v>2.0</v>
      </c>
      <c r="DF31" s="376" t="s">
        <v>315</v>
      </c>
      <c r="DG31" s="384" t="s">
        <v>460</v>
      </c>
      <c r="DH31" s="378" t="s">
        <v>331</v>
      </c>
      <c r="DI31" s="379" t="s">
        <v>318</v>
      </c>
      <c r="DJ31" s="380" t="s">
        <v>320</v>
      </c>
      <c r="DK31" s="393" t="s">
        <v>319</v>
      </c>
      <c r="DL31" s="378" t="s">
        <v>321</v>
      </c>
      <c r="DM31" s="378" t="s">
        <v>369</v>
      </c>
      <c r="DN31" s="385" t="s">
        <v>338</v>
      </c>
      <c r="DO31" s="379" t="s">
        <v>327</v>
      </c>
      <c r="DP31" s="540"/>
      <c r="DQ31" s="383">
        <v>2.0</v>
      </c>
      <c r="DR31" s="376" t="s">
        <v>327</v>
      </c>
      <c r="DS31" s="242" t="s">
        <v>437</v>
      </c>
      <c r="DT31" s="378" t="s">
        <v>322</v>
      </c>
      <c r="DU31" s="379" t="s">
        <v>321</v>
      </c>
      <c r="DV31" s="381" t="s">
        <v>320</v>
      </c>
      <c r="DW31" s="382" t="s">
        <v>319</v>
      </c>
      <c r="DX31" s="378" t="s">
        <v>318</v>
      </c>
      <c r="DY31" s="378" t="s">
        <v>317</v>
      </c>
      <c r="DZ31" s="385" t="s">
        <v>366</v>
      </c>
      <c r="EA31" s="379" t="s">
        <v>315</v>
      </c>
      <c r="EB31" s="540"/>
      <c r="EC31" s="383">
        <v>2.0</v>
      </c>
      <c r="ED31" s="376" t="s">
        <v>324</v>
      </c>
      <c r="EE31" s="242" t="s">
        <v>437</v>
      </c>
      <c r="EF31" s="378" t="s">
        <v>369</v>
      </c>
      <c r="EG31" s="379" t="s">
        <v>321</v>
      </c>
      <c r="EH31" s="381" t="s">
        <v>319</v>
      </c>
      <c r="EI31" s="382" t="s">
        <v>320</v>
      </c>
      <c r="EJ31" s="378" t="s">
        <v>318</v>
      </c>
      <c r="EK31" s="378" t="s">
        <v>342</v>
      </c>
      <c r="EL31" s="385" t="s">
        <v>378</v>
      </c>
      <c r="EM31" s="379" t="s">
        <v>331</v>
      </c>
      <c r="EN31" s="540"/>
      <c r="EO31" s="383">
        <v>2.0</v>
      </c>
      <c r="EP31" s="376" t="s">
        <v>331</v>
      </c>
      <c r="EQ31" s="385" t="s">
        <v>336</v>
      </c>
      <c r="ER31" s="378" t="s">
        <v>377</v>
      </c>
      <c r="ES31" s="379" t="s">
        <v>321</v>
      </c>
      <c r="ET31" s="381" t="s">
        <v>319</v>
      </c>
      <c r="EU31" s="382" t="s">
        <v>320</v>
      </c>
      <c r="EV31" s="378" t="s">
        <v>318</v>
      </c>
      <c r="EW31" s="378" t="s">
        <v>328</v>
      </c>
      <c r="EX31" s="384" t="s">
        <v>462</v>
      </c>
      <c r="EY31" s="379" t="s">
        <v>315</v>
      </c>
      <c r="EZ31" s="540"/>
      <c r="FA31" s="383">
        <v>2.0</v>
      </c>
      <c r="FB31" s="376" t="s">
        <v>324</v>
      </c>
      <c r="FC31" s="384" t="s">
        <v>393</v>
      </c>
      <c r="FD31" s="378" t="s">
        <v>328</v>
      </c>
      <c r="FE31" s="379" t="s">
        <v>321</v>
      </c>
      <c r="FF31" s="381" t="s">
        <v>319</v>
      </c>
      <c r="FG31" s="382" t="s">
        <v>320</v>
      </c>
      <c r="FH31" s="378" t="s">
        <v>318</v>
      </c>
      <c r="FI31" s="378" t="s">
        <v>738</v>
      </c>
      <c r="FJ31" s="384" t="s">
        <v>460</v>
      </c>
      <c r="FK31" s="379" t="s">
        <v>317</v>
      </c>
      <c r="FL31" s="540"/>
      <c r="FM31" s="383">
        <v>2.0</v>
      </c>
      <c r="FN31" s="376" t="s">
        <v>317</v>
      </c>
      <c r="FO31" s="384" t="s">
        <v>448</v>
      </c>
      <c r="FP31" s="378" t="s">
        <v>373</v>
      </c>
      <c r="FQ31" s="379" t="s">
        <v>318</v>
      </c>
      <c r="FR31" s="381" t="s">
        <v>320</v>
      </c>
      <c r="FS31" s="382" t="s">
        <v>319</v>
      </c>
      <c r="FT31" s="378" t="s">
        <v>321</v>
      </c>
      <c r="FU31" s="378" t="s">
        <v>342</v>
      </c>
      <c r="FV31" s="385" t="s">
        <v>394</v>
      </c>
      <c r="FW31" s="379" t="s">
        <v>331</v>
      </c>
      <c r="FX31" s="540"/>
    </row>
    <row r="32">
      <c r="A32" s="109">
        <v>1.0</v>
      </c>
      <c r="B32" s="429">
        <v>18.0</v>
      </c>
      <c r="C32" s="555" t="str">
        <f>'Schedule | 1 Division'!E30</f>
        <v>CYBERHERO</v>
      </c>
      <c r="D32" s="561">
        <f t="shared" ref="D32:E32" si="45">BN41</f>
        <v>0</v>
      </c>
      <c r="E32" s="561">
        <f t="shared" si="45"/>
        <v>2</v>
      </c>
      <c r="F32" s="555" t="str">
        <f>'Schedule | 1 Division'!I30</f>
        <v>Verso Time</v>
      </c>
      <c r="G32" s="562" t="str">
        <f t="shared" si="12"/>
        <v>Verso Time</v>
      </c>
      <c r="H32" s="563" t="str">
        <f t="shared" si="13"/>
        <v/>
      </c>
      <c r="I32" s="563" t="str">
        <f t="shared" si="14"/>
        <v/>
      </c>
      <c r="J32" s="579" t="str">
        <f t="shared" si="15"/>
        <v>CYBERHERO</v>
      </c>
      <c r="K32" s="540"/>
      <c r="L32" s="540"/>
      <c r="M32" s="55"/>
      <c r="N32" s="29" t="s">
        <v>342</v>
      </c>
      <c r="O32" s="372" t="s">
        <v>452</v>
      </c>
      <c r="P32" s="109" t="s">
        <v>401</v>
      </c>
      <c r="Q32" s="92"/>
      <c r="T32" s="55"/>
      <c r="U32" s="109" t="s">
        <v>315</v>
      </c>
      <c r="V32" s="372" t="s">
        <v>326</v>
      </c>
      <c r="W32" s="373" t="s">
        <v>373</v>
      </c>
      <c r="X32" s="540"/>
      <c r="Y32" s="66"/>
      <c r="Z32" s="29" t="s">
        <v>324</v>
      </c>
      <c r="AA32" s="242" t="s">
        <v>351</v>
      </c>
      <c r="AB32" s="109" t="s">
        <v>414</v>
      </c>
      <c r="AC32" s="92"/>
      <c r="AE32" s="92"/>
      <c r="AG32" s="109" t="s">
        <v>322</v>
      </c>
      <c r="AH32" s="242" t="s">
        <v>338</v>
      </c>
      <c r="AI32" s="373" t="s">
        <v>337</v>
      </c>
      <c r="AJ32" s="540"/>
      <c r="AK32" s="66"/>
      <c r="AL32" s="29" t="s">
        <v>411</v>
      </c>
      <c r="AM32" s="372" t="s">
        <v>397</v>
      </c>
      <c r="AN32" s="109" t="s">
        <v>369</v>
      </c>
      <c r="AO32" s="92"/>
      <c r="AQ32" s="92"/>
      <c r="AS32" s="109" t="s">
        <v>328</v>
      </c>
      <c r="AT32" s="242" t="s">
        <v>452</v>
      </c>
      <c r="AU32" s="373" t="s">
        <v>324</v>
      </c>
      <c r="AV32" s="540"/>
      <c r="AW32" s="66"/>
      <c r="AX32" s="29" t="s">
        <v>317</v>
      </c>
      <c r="AY32" s="372" t="s">
        <v>397</v>
      </c>
      <c r="AZ32" s="109" t="s">
        <v>361</v>
      </c>
      <c r="BA32" s="92"/>
      <c r="BC32" s="92"/>
      <c r="BE32" s="109" t="s">
        <v>327</v>
      </c>
      <c r="BF32" s="242" t="s">
        <v>353</v>
      </c>
      <c r="BG32" s="373" t="s">
        <v>325</v>
      </c>
      <c r="BH32" s="540"/>
      <c r="BI32" s="66"/>
      <c r="BJ32" s="29" t="s">
        <v>369</v>
      </c>
      <c r="BK32" s="242" t="s">
        <v>556</v>
      </c>
      <c r="BL32" s="109" t="s">
        <v>322</v>
      </c>
      <c r="BM32" s="92"/>
      <c r="BO32" s="92"/>
      <c r="BQ32" s="109" t="s">
        <v>317</v>
      </c>
      <c r="BR32" s="242" t="s">
        <v>450</v>
      </c>
      <c r="BS32" s="373" t="s">
        <v>324</v>
      </c>
      <c r="BT32" s="540"/>
      <c r="BU32" s="66"/>
      <c r="BV32" s="29" t="s">
        <v>327</v>
      </c>
      <c r="BW32" s="242" t="s">
        <v>576</v>
      </c>
      <c r="BX32" s="109" t="s">
        <v>325</v>
      </c>
      <c r="BY32" s="92"/>
      <c r="CA32" s="92"/>
      <c r="CC32" s="109" t="s">
        <v>322</v>
      </c>
      <c r="CD32" s="242" t="s">
        <v>383</v>
      </c>
      <c r="CE32" s="373" t="s">
        <v>315</v>
      </c>
      <c r="CF32" s="540"/>
      <c r="CG32" s="66"/>
      <c r="CH32" s="29" t="s">
        <v>317</v>
      </c>
      <c r="CI32" s="242" t="s">
        <v>725</v>
      </c>
      <c r="CJ32" s="109" t="s">
        <v>401</v>
      </c>
      <c r="CK32" s="92"/>
      <c r="CM32" s="92"/>
      <c r="CO32" s="109" t="s">
        <v>400</v>
      </c>
      <c r="CP32" s="242" t="s">
        <v>576</v>
      </c>
      <c r="CQ32" s="373" t="s">
        <v>342</v>
      </c>
      <c r="CR32" s="540"/>
      <c r="CS32" s="66"/>
      <c r="CT32" s="29" t="s">
        <v>331</v>
      </c>
      <c r="CU32" s="240" t="s">
        <v>366</v>
      </c>
      <c r="CV32" s="109" t="s">
        <v>317</v>
      </c>
      <c r="CW32" s="92"/>
      <c r="CY32" s="92"/>
      <c r="DA32" s="109" t="s">
        <v>341</v>
      </c>
      <c r="DB32" s="240" t="s">
        <v>326</v>
      </c>
      <c r="DC32" s="373" t="s">
        <v>337</v>
      </c>
      <c r="DD32" s="540"/>
      <c r="DE32" s="66"/>
      <c r="DF32" s="29" t="s">
        <v>337</v>
      </c>
      <c r="DG32" s="242" t="s">
        <v>462</v>
      </c>
      <c r="DH32" s="109" t="s">
        <v>401</v>
      </c>
      <c r="DI32" s="92"/>
      <c r="DK32" s="92"/>
      <c r="DM32" s="109" t="s">
        <v>384</v>
      </c>
      <c r="DN32" s="240" t="s">
        <v>349</v>
      </c>
      <c r="DO32" s="373" t="s">
        <v>342</v>
      </c>
      <c r="DP32" s="540"/>
      <c r="DQ32" s="66"/>
      <c r="DR32" s="29" t="s">
        <v>324</v>
      </c>
      <c r="DS32" s="242" t="s">
        <v>725</v>
      </c>
      <c r="DT32" s="109" t="s">
        <v>377</v>
      </c>
      <c r="DU32" s="92"/>
      <c r="DW32" s="92"/>
      <c r="DY32" s="109" t="s">
        <v>348</v>
      </c>
      <c r="DZ32" s="240" t="s">
        <v>353</v>
      </c>
      <c r="EA32" s="373" t="s">
        <v>331</v>
      </c>
      <c r="EB32" s="540"/>
      <c r="EC32" s="66"/>
      <c r="ED32" s="29" t="s">
        <v>327</v>
      </c>
      <c r="EE32" s="242" t="s">
        <v>725</v>
      </c>
      <c r="EF32" s="109" t="s">
        <v>328</v>
      </c>
      <c r="EG32" s="92"/>
      <c r="EI32" s="92"/>
      <c r="EK32" s="109" t="s">
        <v>317</v>
      </c>
      <c r="EL32" s="240" t="s">
        <v>330</v>
      </c>
      <c r="EM32" s="373" t="s">
        <v>315</v>
      </c>
      <c r="EN32" s="540"/>
      <c r="EO32" s="66"/>
      <c r="EP32" s="29" t="s">
        <v>327</v>
      </c>
      <c r="EQ32" s="240" t="s">
        <v>366</v>
      </c>
      <c r="ER32" s="109" t="s">
        <v>325</v>
      </c>
      <c r="ES32" s="92"/>
      <c r="EU32" s="92"/>
      <c r="EW32" s="109" t="s">
        <v>341</v>
      </c>
      <c r="EX32" s="242" t="s">
        <v>458</v>
      </c>
      <c r="EY32" s="373" t="s">
        <v>317</v>
      </c>
      <c r="EZ32" s="540"/>
      <c r="FA32" s="66"/>
      <c r="FB32" s="29" t="s">
        <v>342</v>
      </c>
      <c r="FC32" s="242" t="s">
        <v>365</v>
      </c>
      <c r="FD32" s="109" t="s">
        <v>341</v>
      </c>
      <c r="FE32" s="92"/>
      <c r="FG32" s="92"/>
      <c r="FI32" s="109" t="s">
        <v>377</v>
      </c>
      <c r="FJ32" s="242" t="s">
        <v>462</v>
      </c>
      <c r="FK32" s="373" t="s">
        <v>337</v>
      </c>
      <c r="FL32" s="540"/>
      <c r="FM32" s="66"/>
      <c r="FN32" s="29" t="s">
        <v>327</v>
      </c>
      <c r="FO32" s="242" t="s">
        <v>450</v>
      </c>
      <c r="FP32" s="109" t="s">
        <v>343</v>
      </c>
      <c r="FQ32" s="92"/>
      <c r="FS32" s="92"/>
      <c r="FU32" s="109" t="s">
        <v>341</v>
      </c>
      <c r="FV32" s="240" t="s">
        <v>353</v>
      </c>
      <c r="FW32" s="373" t="s">
        <v>324</v>
      </c>
      <c r="FX32" s="540"/>
    </row>
    <row r="33">
      <c r="A33" s="109">
        <v>1.0</v>
      </c>
      <c r="B33" s="429">
        <v>19.0</v>
      </c>
      <c r="C33" s="555" t="str">
        <f>'Schedule | 1 Division'!E31</f>
        <v>Aura Farmers</v>
      </c>
      <c r="D33" s="561">
        <f t="shared" ref="D33:E33" si="46">BN61</f>
        <v>2</v>
      </c>
      <c r="E33" s="561">
        <f t="shared" si="46"/>
        <v>1</v>
      </c>
      <c r="F33" s="553" t="str">
        <f>'Schedule | 1 Division'!I31</f>
        <v>Virtus.pro</v>
      </c>
      <c r="G33" s="562" t="str">
        <f t="shared" si="12"/>
        <v/>
      </c>
      <c r="H33" s="563" t="str">
        <f t="shared" si="13"/>
        <v>Aura Farmers</v>
      </c>
      <c r="I33" s="563" t="str">
        <f t="shared" si="14"/>
        <v>Virtus.pro</v>
      </c>
      <c r="J33" s="579" t="str">
        <f t="shared" si="15"/>
        <v/>
      </c>
      <c r="K33" s="540"/>
      <c r="L33" s="540"/>
      <c r="M33" s="55"/>
      <c r="N33" s="29" t="s">
        <v>324</v>
      </c>
      <c r="O33" s="372" t="s">
        <v>449</v>
      </c>
      <c r="P33" s="109" t="s">
        <v>369</v>
      </c>
      <c r="Q33" s="92"/>
      <c r="T33" s="55"/>
      <c r="U33" s="109" t="s">
        <v>322</v>
      </c>
      <c r="V33" s="372" t="s">
        <v>338</v>
      </c>
      <c r="W33" s="373" t="s">
        <v>19</v>
      </c>
      <c r="X33" s="540"/>
      <c r="Y33" s="66"/>
      <c r="Z33" s="29" t="s">
        <v>331</v>
      </c>
      <c r="AA33" s="242" t="s">
        <v>365</v>
      </c>
      <c r="AB33" s="109" t="s">
        <v>373</v>
      </c>
      <c r="AC33" s="92"/>
      <c r="AE33" s="92"/>
      <c r="AG33" s="109" t="s">
        <v>408</v>
      </c>
      <c r="AH33" s="242" t="s">
        <v>326</v>
      </c>
      <c r="AI33" s="373" t="s">
        <v>325</v>
      </c>
      <c r="AJ33" s="540"/>
      <c r="AK33" s="66"/>
      <c r="AL33" s="29" t="s">
        <v>400</v>
      </c>
      <c r="AM33" s="372" t="s">
        <v>340</v>
      </c>
      <c r="AN33" s="109" t="s">
        <v>391</v>
      </c>
      <c r="AO33" s="92"/>
      <c r="AQ33" s="92"/>
      <c r="AS33" s="109" t="s">
        <v>348</v>
      </c>
      <c r="AT33" s="242" t="s">
        <v>448</v>
      </c>
      <c r="AU33" s="373" t="s">
        <v>327</v>
      </c>
      <c r="AV33" s="540"/>
      <c r="AW33" s="66"/>
      <c r="AX33" s="29" t="s">
        <v>342</v>
      </c>
      <c r="AY33" s="372" t="s">
        <v>340</v>
      </c>
      <c r="AZ33" s="109" t="s">
        <v>315</v>
      </c>
      <c r="BA33" s="92"/>
      <c r="BC33" s="92"/>
      <c r="BE33" s="109" t="s">
        <v>352</v>
      </c>
      <c r="BF33" s="242" t="s">
        <v>394</v>
      </c>
      <c r="BG33" s="373" t="s">
        <v>324</v>
      </c>
      <c r="BH33" s="540"/>
      <c r="BI33" s="66"/>
      <c r="BJ33" s="29" t="s">
        <v>328</v>
      </c>
      <c r="BK33" s="242" t="s">
        <v>729</v>
      </c>
      <c r="BL33" s="109" t="s">
        <v>380</v>
      </c>
      <c r="BM33" s="92"/>
      <c r="BO33" s="92"/>
      <c r="BQ33" s="109" t="s">
        <v>399</v>
      </c>
      <c r="BR33" s="242" t="s">
        <v>449</v>
      </c>
      <c r="BS33" s="373" t="s">
        <v>352</v>
      </c>
      <c r="BT33" s="540"/>
      <c r="BU33" s="66"/>
      <c r="BV33" s="29" t="s">
        <v>324</v>
      </c>
      <c r="BW33" s="242" t="s">
        <v>458</v>
      </c>
      <c r="BX33" s="109" t="s">
        <v>373</v>
      </c>
      <c r="BY33" s="92"/>
      <c r="CA33" s="92"/>
      <c r="CC33" s="109" t="s">
        <v>317</v>
      </c>
      <c r="CD33" s="242" t="s">
        <v>366</v>
      </c>
      <c r="CE33" s="373" t="s">
        <v>331</v>
      </c>
      <c r="CF33" s="540"/>
      <c r="CG33" s="66"/>
      <c r="CH33" s="29" t="s">
        <v>19</v>
      </c>
      <c r="CI33" s="242" t="s">
        <v>422</v>
      </c>
      <c r="CJ33" s="109" t="s">
        <v>337</v>
      </c>
      <c r="CK33" s="92"/>
      <c r="CM33" s="92"/>
      <c r="CO33" s="109" t="s">
        <v>343</v>
      </c>
      <c r="CP33" s="242" t="s">
        <v>458</v>
      </c>
      <c r="CQ33" s="373" t="s">
        <v>327</v>
      </c>
      <c r="CR33" s="540"/>
      <c r="CS33" s="66"/>
      <c r="CT33" s="29" t="s">
        <v>342</v>
      </c>
      <c r="CU33" s="240" t="s">
        <v>336</v>
      </c>
      <c r="CV33" s="109" t="s">
        <v>377</v>
      </c>
      <c r="CW33" s="92"/>
      <c r="CY33" s="92"/>
      <c r="DA33" s="109" t="s">
        <v>379</v>
      </c>
      <c r="DB33" s="240" t="s">
        <v>378</v>
      </c>
      <c r="DC33" s="373" t="s">
        <v>322</v>
      </c>
      <c r="DD33" s="540"/>
      <c r="DE33" s="66"/>
      <c r="DF33" s="29" t="s">
        <v>328</v>
      </c>
      <c r="DG33" s="242" t="s">
        <v>468</v>
      </c>
      <c r="DH33" s="109" t="s">
        <v>387</v>
      </c>
      <c r="DI33" s="92"/>
      <c r="DK33" s="92"/>
      <c r="DM33" s="109" t="s">
        <v>346</v>
      </c>
      <c r="DN33" s="240" t="s">
        <v>378</v>
      </c>
      <c r="DO33" s="373" t="s">
        <v>324</v>
      </c>
      <c r="DP33" s="540"/>
      <c r="DQ33" s="66"/>
      <c r="DR33" s="29" t="s">
        <v>328</v>
      </c>
      <c r="DS33" s="242" t="s">
        <v>442</v>
      </c>
      <c r="DT33" s="109" t="s">
        <v>343</v>
      </c>
      <c r="DU33" s="92"/>
      <c r="DW33" s="92"/>
      <c r="DY33" s="109" t="s">
        <v>352</v>
      </c>
      <c r="DZ33" s="240" t="s">
        <v>394</v>
      </c>
      <c r="EA33" s="373" t="s">
        <v>342</v>
      </c>
      <c r="EB33" s="540"/>
      <c r="EC33" s="66"/>
      <c r="ED33" s="29" t="s">
        <v>377</v>
      </c>
      <c r="EE33" s="242" t="s">
        <v>442</v>
      </c>
      <c r="EF33" s="109" t="s">
        <v>334</v>
      </c>
      <c r="EG33" s="92"/>
      <c r="EI33" s="92"/>
      <c r="EK33" s="109" t="s">
        <v>361</v>
      </c>
      <c r="EL33" s="240" t="s">
        <v>338</v>
      </c>
      <c r="EM33" s="373" t="s">
        <v>322</v>
      </c>
      <c r="EN33" s="540"/>
      <c r="EO33" s="66"/>
      <c r="EP33" s="29" t="s">
        <v>342</v>
      </c>
      <c r="EQ33" s="240" t="s">
        <v>394</v>
      </c>
      <c r="ER33" s="109" t="s">
        <v>346</v>
      </c>
      <c r="ES33" s="92"/>
      <c r="EU33" s="92"/>
      <c r="EW33" s="109" t="s">
        <v>352</v>
      </c>
      <c r="EX33" s="242" t="s">
        <v>468</v>
      </c>
      <c r="EY33" s="373" t="s">
        <v>324</v>
      </c>
      <c r="EZ33" s="540"/>
      <c r="FA33" s="66"/>
      <c r="FB33" s="29" t="s">
        <v>315</v>
      </c>
      <c r="FC33" s="242" t="s">
        <v>335</v>
      </c>
      <c r="FD33" s="109" t="s">
        <v>400</v>
      </c>
      <c r="FE33" s="92"/>
      <c r="FG33" s="92"/>
      <c r="FI33" s="109" t="s">
        <v>354</v>
      </c>
      <c r="FJ33" s="242" t="s">
        <v>458</v>
      </c>
      <c r="FK33" s="373" t="s">
        <v>327</v>
      </c>
      <c r="FL33" s="540"/>
      <c r="FM33" s="66"/>
      <c r="FN33" s="29" t="s">
        <v>325</v>
      </c>
      <c r="FO33" s="242" t="s">
        <v>454</v>
      </c>
      <c r="FP33" s="109" t="s">
        <v>337</v>
      </c>
      <c r="FQ33" s="92"/>
      <c r="FS33" s="92"/>
      <c r="FU33" s="109" t="s">
        <v>328</v>
      </c>
      <c r="FV33" s="240" t="s">
        <v>336</v>
      </c>
      <c r="FW33" s="373" t="s">
        <v>315</v>
      </c>
      <c r="FX33" s="540"/>
    </row>
    <row r="34">
      <c r="A34" s="389">
        <v>1.0</v>
      </c>
      <c r="B34" s="569">
        <v>20.0</v>
      </c>
      <c r="C34" s="597" t="str">
        <f>'Schedule | 1 Division'!E32</f>
        <v>Magic</v>
      </c>
      <c r="D34" s="598">
        <f t="shared" ref="D34:E34" si="47">BN81</f>
        <v>0</v>
      </c>
      <c r="E34" s="598">
        <f t="shared" si="47"/>
        <v>2</v>
      </c>
      <c r="F34" s="570" t="str">
        <f>'Schedule | 1 Division'!I32</f>
        <v>Team Spirit</v>
      </c>
      <c r="G34" s="573" t="str">
        <f t="shared" si="12"/>
        <v>Team Spirit</v>
      </c>
      <c r="H34" s="575" t="str">
        <f t="shared" si="13"/>
        <v/>
      </c>
      <c r="I34" s="575" t="str">
        <f t="shared" si="14"/>
        <v/>
      </c>
      <c r="J34" s="576" t="str">
        <f t="shared" si="15"/>
        <v>Magic</v>
      </c>
      <c r="K34" s="540"/>
      <c r="L34" s="540"/>
      <c r="M34" s="55"/>
      <c r="N34" s="29" t="s">
        <v>387</v>
      </c>
      <c r="O34" s="372" t="s">
        <v>454</v>
      </c>
      <c r="P34" s="109" t="s">
        <v>337</v>
      </c>
      <c r="Q34" s="92"/>
      <c r="T34" s="55"/>
      <c r="U34" s="109" t="s">
        <v>739</v>
      </c>
      <c r="V34" s="372" t="s">
        <v>378</v>
      </c>
      <c r="W34" s="373" t="s">
        <v>392</v>
      </c>
      <c r="X34" s="540"/>
      <c r="Y34" s="66"/>
      <c r="Z34" s="29" t="s">
        <v>334</v>
      </c>
      <c r="AA34" s="242" t="s">
        <v>393</v>
      </c>
      <c r="AB34" s="109" t="s">
        <v>405</v>
      </c>
      <c r="AC34" s="92"/>
      <c r="AE34" s="92"/>
      <c r="AG34" s="109" t="s">
        <v>400</v>
      </c>
      <c r="AH34" s="242" t="s">
        <v>330</v>
      </c>
      <c r="AI34" s="373" t="s">
        <v>385</v>
      </c>
      <c r="AJ34" s="540"/>
      <c r="AK34" s="66"/>
      <c r="AL34" s="29" t="s">
        <v>337</v>
      </c>
      <c r="AM34" s="372" t="s">
        <v>356</v>
      </c>
      <c r="AN34" s="109" t="s">
        <v>331</v>
      </c>
      <c r="AO34" s="92"/>
      <c r="AQ34" s="92"/>
      <c r="AS34" s="109" t="s">
        <v>410</v>
      </c>
      <c r="AT34" s="242" t="s">
        <v>449</v>
      </c>
      <c r="AU34" s="373" t="s">
        <v>373</v>
      </c>
      <c r="AV34" s="540"/>
      <c r="AW34" s="66"/>
      <c r="AX34" s="29" t="s">
        <v>374</v>
      </c>
      <c r="AY34" s="372" t="s">
        <v>356</v>
      </c>
      <c r="AZ34" s="109" t="s">
        <v>411</v>
      </c>
      <c r="BA34" s="92"/>
      <c r="BC34" s="92"/>
      <c r="BE34" s="109" t="s">
        <v>396</v>
      </c>
      <c r="BF34" s="242" t="s">
        <v>383</v>
      </c>
      <c r="BG34" s="373" t="s">
        <v>382</v>
      </c>
      <c r="BH34" s="540"/>
      <c r="BI34" s="66"/>
      <c r="BJ34" s="29" t="s">
        <v>19</v>
      </c>
      <c r="BK34" s="242" t="s">
        <v>350</v>
      </c>
      <c r="BL34" s="109" t="s">
        <v>337</v>
      </c>
      <c r="BM34" s="92"/>
      <c r="BO34" s="92"/>
      <c r="BQ34" s="109" t="s">
        <v>348</v>
      </c>
      <c r="BR34" s="242" t="s">
        <v>448</v>
      </c>
      <c r="BS34" s="373" t="s">
        <v>373</v>
      </c>
      <c r="BT34" s="540"/>
      <c r="BU34" s="66"/>
      <c r="BV34" s="29" t="s">
        <v>337</v>
      </c>
      <c r="BW34" s="242" t="s">
        <v>468</v>
      </c>
      <c r="BX34" s="109" t="s">
        <v>387</v>
      </c>
      <c r="BY34" s="92"/>
      <c r="CA34" s="92"/>
      <c r="CC34" s="109" t="s">
        <v>377</v>
      </c>
      <c r="CD34" s="242" t="s">
        <v>336</v>
      </c>
      <c r="CE34" s="373" t="s">
        <v>385</v>
      </c>
      <c r="CF34" s="540"/>
      <c r="CG34" s="66"/>
      <c r="CH34" s="29" t="s">
        <v>315</v>
      </c>
      <c r="CI34" s="242" t="s">
        <v>442</v>
      </c>
      <c r="CJ34" s="109" t="s">
        <v>740</v>
      </c>
      <c r="CK34" s="92"/>
      <c r="CM34" s="92"/>
      <c r="CO34" s="109" t="s">
        <v>387</v>
      </c>
      <c r="CP34" s="242" t="s">
        <v>468</v>
      </c>
      <c r="CQ34" s="373" t="s">
        <v>334</v>
      </c>
      <c r="CR34" s="540"/>
      <c r="CS34" s="66"/>
      <c r="CT34" s="29" t="s">
        <v>375</v>
      </c>
      <c r="CU34" s="240" t="s">
        <v>394</v>
      </c>
      <c r="CV34" s="109" t="s">
        <v>438</v>
      </c>
      <c r="CW34" s="92"/>
      <c r="CY34" s="92"/>
      <c r="DA34" s="109" t="s">
        <v>324</v>
      </c>
      <c r="DB34" s="240" t="s">
        <v>338</v>
      </c>
      <c r="DC34" s="373" t="s">
        <v>352</v>
      </c>
      <c r="DD34" s="540"/>
      <c r="DE34" s="66"/>
      <c r="DF34" s="29" t="s">
        <v>325</v>
      </c>
      <c r="DG34" s="242" t="s">
        <v>464</v>
      </c>
      <c r="DH34" s="109" t="s">
        <v>396</v>
      </c>
      <c r="DI34" s="92"/>
      <c r="DK34" s="92"/>
      <c r="DM34" s="109" t="s">
        <v>374</v>
      </c>
      <c r="DN34" s="240" t="s">
        <v>326</v>
      </c>
      <c r="DO34" s="373" t="s">
        <v>332</v>
      </c>
      <c r="DP34" s="540"/>
      <c r="DQ34" s="66"/>
      <c r="DR34" s="29" t="s">
        <v>361</v>
      </c>
      <c r="DS34" s="242" t="s">
        <v>426</v>
      </c>
      <c r="DT34" s="109" t="s">
        <v>369</v>
      </c>
      <c r="DU34" s="92"/>
      <c r="DW34" s="92"/>
      <c r="DY34" s="109" t="s">
        <v>401</v>
      </c>
      <c r="DZ34" s="240" t="s">
        <v>336</v>
      </c>
      <c r="EA34" s="373" t="s">
        <v>408</v>
      </c>
      <c r="EB34" s="540"/>
      <c r="EC34" s="66"/>
      <c r="ED34" s="29" t="s">
        <v>401</v>
      </c>
      <c r="EE34" s="242" t="s">
        <v>426</v>
      </c>
      <c r="EF34" s="109" t="s">
        <v>368</v>
      </c>
      <c r="EG34" s="92"/>
      <c r="EI34" s="92"/>
      <c r="EK34" s="109" t="s">
        <v>414</v>
      </c>
      <c r="EL34" s="240" t="s">
        <v>349</v>
      </c>
      <c r="EM34" s="373" t="s">
        <v>408</v>
      </c>
      <c r="EN34" s="540"/>
      <c r="EO34" s="66"/>
      <c r="EP34" s="29" t="s">
        <v>408</v>
      </c>
      <c r="EQ34" s="240" t="s">
        <v>383</v>
      </c>
      <c r="ER34" s="109" t="s">
        <v>382</v>
      </c>
      <c r="ES34" s="92"/>
      <c r="EU34" s="92"/>
      <c r="EW34" s="109" t="s">
        <v>332</v>
      </c>
      <c r="EX34" s="242" t="s">
        <v>464</v>
      </c>
      <c r="EY34" s="373" t="s">
        <v>434</v>
      </c>
      <c r="EZ34" s="540"/>
      <c r="FA34" s="66"/>
      <c r="FB34" s="29" t="s">
        <v>382</v>
      </c>
      <c r="FC34" s="242" t="s">
        <v>351</v>
      </c>
      <c r="FD34" s="109" t="s">
        <v>352</v>
      </c>
      <c r="FE34" s="92"/>
      <c r="FG34" s="92"/>
      <c r="FI34" s="109" t="s">
        <v>346</v>
      </c>
      <c r="FJ34" s="242" t="s">
        <v>468</v>
      </c>
      <c r="FK34" s="373" t="s">
        <v>395</v>
      </c>
      <c r="FL34" s="540"/>
      <c r="FM34" s="66"/>
      <c r="FN34" s="29" t="s">
        <v>332</v>
      </c>
      <c r="FO34" s="242" t="s">
        <v>449</v>
      </c>
      <c r="FP34" s="109" t="s">
        <v>369</v>
      </c>
      <c r="FQ34" s="92"/>
      <c r="FS34" s="92"/>
      <c r="FU34" s="109" t="s">
        <v>322</v>
      </c>
      <c r="FV34" s="240" t="s">
        <v>383</v>
      </c>
      <c r="FW34" s="373" t="s">
        <v>401</v>
      </c>
      <c r="FX34" s="540"/>
    </row>
    <row r="35">
      <c r="A35" s="109">
        <v>1.0</v>
      </c>
      <c r="B35" s="429">
        <v>21.0</v>
      </c>
      <c r="C35" s="599" t="str">
        <f>'Schedule | 1 Division'!E35</f>
        <v>Aura Farmers</v>
      </c>
      <c r="D35" s="561">
        <f t="shared" ref="D35:E35" si="48">BZ21</f>
        <v>0</v>
      </c>
      <c r="E35" s="561">
        <f t="shared" si="48"/>
        <v>2</v>
      </c>
      <c r="F35" s="599" t="str">
        <f>'Schedule | 1 Division'!I35</f>
        <v>Verso Time</v>
      </c>
      <c r="G35" s="600" t="str">
        <f t="shared" si="12"/>
        <v>Verso Time</v>
      </c>
      <c r="H35" s="563" t="str">
        <f t="shared" si="13"/>
        <v/>
      </c>
      <c r="I35" s="563" t="str">
        <f t="shared" si="14"/>
        <v/>
      </c>
      <c r="J35" s="601" t="str">
        <f t="shared" si="15"/>
        <v>Aura Farmers</v>
      </c>
      <c r="K35" s="540"/>
      <c r="L35" s="540"/>
      <c r="M35" s="386"/>
      <c r="N35" s="387" t="s">
        <v>352</v>
      </c>
      <c r="O35" s="388" t="s">
        <v>448</v>
      </c>
      <c r="P35" s="389" t="s">
        <v>470</v>
      </c>
      <c r="Q35" s="375"/>
      <c r="R35" s="374"/>
      <c r="S35" s="374"/>
      <c r="T35" s="386"/>
      <c r="U35" s="389" t="s">
        <v>377</v>
      </c>
      <c r="V35" s="388" t="s">
        <v>349</v>
      </c>
      <c r="W35" s="390" t="s">
        <v>348</v>
      </c>
      <c r="X35" s="540"/>
      <c r="Y35" s="134"/>
      <c r="Z35" s="387" t="s">
        <v>432</v>
      </c>
      <c r="AA35" s="391" t="s">
        <v>381</v>
      </c>
      <c r="AB35" s="389" t="s">
        <v>389</v>
      </c>
      <c r="AC35" s="375"/>
      <c r="AD35" s="374"/>
      <c r="AE35" s="375"/>
      <c r="AF35" s="374"/>
      <c r="AG35" s="389" t="s">
        <v>342</v>
      </c>
      <c r="AH35" s="391" t="s">
        <v>378</v>
      </c>
      <c r="AI35" s="390" t="s">
        <v>439</v>
      </c>
      <c r="AJ35" s="540"/>
      <c r="AK35" s="134"/>
      <c r="AL35" s="387" t="s">
        <v>403</v>
      </c>
      <c r="AM35" s="388" t="s">
        <v>386</v>
      </c>
      <c r="AN35" s="389" t="s">
        <v>375</v>
      </c>
      <c r="AO35" s="375"/>
      <c r="AP35" s="374"/>
      <c r="AQ35" s="375"/>
      <c r="AR35" s="374"/>
      <c r="AS35" s="389" t="s">
        <v>343</v>
      </c>
      <c r="AT35" s="391" t="s">
        <v>450</v>
      </c>
      <c r="AU35" s="390" t="s">
        <v>483</v>
      </c>
      <c r="AV35" s="540"/>
      <c r="AW35" s="134"/>
      <c r="AX35" s="387" t="s">
        <v>470</v>
      </c>
      <c r="AY35" s="388" t="s">
        <v>386</v>
      </c>
      <c r="AZ35" s="389" t="s">
        <v>328</v>
      </c>
      <c r="BA35" s="375"/>
      <c r="BB35" s="374"/>
      <c r="BC35" s="375"/>
      <c r="BD35" s="374"/>
      <c r="BE35" s="389" t="s">
        <v>327</v>
      </c>
      <c r="BF35" s="391" t="s">
        <v>336</v>
      </c>
      <c r="BG35" s="390" t="s">
        <v>343</v>
      </c>
      <c r="BH35" s="540"/>
      <c r="BI35" s="134"/>
      <c r="BJ35" s="387" t="s">
        <v>389</v>
      </c>
      <c r="BK35" s="391" t="s">
        <v>355</v>
      </c>
      <c r="BL35" s="389" t="s">
        <v>331</v>
      </c>
      <c r="BM35" s="375"/>
      <c r="BN35" s="374"/>
      <c r="BO35" s="375"/>
      <c r="BP35" s="374"/>
      <c r="BQ35" s="389" t="s">
        <v>401</v>
      </c>
      <c r="BR35" s="391" t="s">
        <v>452</v>
      </c>
      <c r="BS35" s="390" t="s">
        <v>368</v>
      </c>
      <c r="BT35" s="540"/>
      <c r="BU35" s="134"/>
      <c r="BV35" s="387" t="s">
        <v>352</v>
      </c>
      <c r="BW35" s="391" t="s">
        <v>462</v>
      </c>
      <c r="BX35" s="389" t="s">
        <v>401</v>
      </c>
      <c r="BY35" s="375"/>
      <c r="BZ35" s="374"/>
      <c r="CA35" s="375"/>
      <c r="CB35" s="374"/>
      <c r="CC35" s="389" t="s">
        <v>438</v>
      </c>
      <c r="CD35" s="391" t="s">
        <v>394</v>
      </c>
      <c r="CE35" s="390" t="s">
        <v>384</v>
      </c>
      <c r="CF35" s="540"/>
      <c r="CG35" s="134"/>
      <c r="CH35" s="387" t="s">
        <v>385</v>
      </c>
      <c r="CI35" s="391" t="s">
        <v>426</v>
      </c>
      <c r="CJ35" s="389" t="s">
        <v>348</v>
      </c>
      <c r="CK35" s="375"/>
      <c r="CL35" s="374"/>
      <c r="CM35" s="375"/>
      <c r="CN35" s="374"/>
      <c r="CO35" s="389" t="s">
        <v>328</v>
      </c>
      <c r="CP35" s="391" t="s">
        <v>462</v>
      </c>
      <c r="CQ35" s="390" t="s">
        <v>368</v>
      </c>
      <c r="CR35" s="540"/>
      <c r="CS35" s="134"/>
      <c r="CT35" s="387" t="s">
        <v>354</v>
      </c>
      <c r="CU35" s="392" t="s">
        <v>383</v>
      </c>
      <c r="CV35" s="389" t="s">
        <v>361</v>
      </c>
      <c r="CW35" s="375"/>
      <c r="CX35" s="374"/>
      <c r="CY35" s="375"/>
      <c r="CZ35" s="374"/>
      <c r="DA35" s="389" t="s">
        <v>401</v>
      </c>
      <c r="DB35" s="392" t="s">
        <v>349</v>
      </c>
      <c r="DC35" s="390" t="s">
        <v>19</v>
      </c>
      <c r="DD35" s="540"/>
      <c r="DE35" s="134"/>
      <c r="DF35" s="387" t="s">
        <v>317</v>
      </c>
      <c r="DG35" s="391" t="s">
        <v>458</v>
      </c>
      <c r="DH35" s="389" t="s">
        <v>343</v>
      </c>
      <c r="DI35" s="375"/>
      <c r="DJ35" s="374"/>
      <c r="DK35" s="375"/>
      <c r="DL35" s="374"/>
      <c r="DM35" s="389" t="s">
        <v>400</v>
      </c>
      <c r="DN35" s="392" t="s">
        <v>330</v>
      </c>
      <c r="DO35" s="390" t="s">
        <v>399</v>
      </c>
      <c r="DP35" s="540"/>
      <c r="DQ35" s="134"/>
      <c r="DR35" s="387" t="s">
        <v>332</v>
      </c>
      <c r="DS35" s="391" t="s">
        <v>422</v>
      </c>
      <c r="DT35" s="389" t="s">
        <v>404</v>
      </c>
      <c r="DU35" s="375"/>
      <c r="DV35" s="374"/>
      <c r="DW35" s="375"/>
      <c r="DX35" s="374"/>
      <c r="DY35" s="389" t="s">
        <v>382</v>
      </c>
      <c r="DZ35" s="392" t="s">
        <v>383</v>
      </c>
      <c r="EA35" s="390" t="s">
        <v>362</v>
      </c>
      <c r="EB35" s="540"/>
      <c r="EC35" s="134"/>
      <c r="ED35" s="387" t="s">
        <v>741</v>
      </c>
      <c r="EE35" s="391" t="s">
        <v>422</v>
      </c>
      <c r="EF35" s="389" t="s">
        <v>337</v>
      </c>
      <c r="EG35" s="375"/>
      <c r="EH35" s="374"/>
      <c r="EI35" s="375"/>
      <c r="EJ35" s="374"/>
      <c r="EK35" s="389" t="s">
        <v>341</v>
      </c>
      <c r="EL35" s="392" t="s">
        <v>326</v>
      </c>
      <c r="EM35" s="390" t="s">
        <v>362</v>
      </c>
      <c r="EN35" s="540"/>
      <c r="EO35" s="134"/>
      <c r="EP35" s="387" t="s">
        <v>362</v>
      </c>
      <c r="EQ35" s="392" t="s">
        <v>353</v>
      </c>
      <c r="ER35" s="389" t="s">
        <v>374</v>
      </c>
      <c r="ES35" s="375"/>
      <c r="ET35" s="374"/>
      <c r="EU35" s="375"/>
      <c r="EV35" s="374"/>
      <c r="EW35" s="389" t="s">
        <v>400</v>
      </c>
      <c r="EX35" s="391" t="s">
        <v>460</v>
      </c>
      <c r="EY35" s="390" t="s">
        <v>369</v>
      </c>
      <c r="EZ35" s="540"/>
      <c r="FA35" s="134"/>
      <c r="FB35" s="387" t="s">
        <v>369</v>
      </c>
      <c r="FC35" s="391" t="s">
        <v>381</v>
      </c>
      <c r="FD35" s="389" t="s">
        <v>376</v>
      </c>
      <c r="FE35" s="375"/>
      <c r="FF35" s="374"/>
      <c r="FG35" s="375"/>
      <c r="FH35" s="374"/>
      <c r="FI35" s="389" t="s">
        <v>361</v>
      </c>
      <c r="FJ35" s="391" t="s">
        <v>464</v>
      </c>
      <c r="FK35" s="390" t="s">
        <v>19</v>
      </c>
      <c r="FL35" s="540"/>
      <c r="FM35" s="134"/>
      <c r="FN35" s="387" t="s">
        <v>396</v>
      </c>
      <c r="FO35" s="391" t="s">
        <v>452</v>
      </c>
      <c r="FP35" s="389" t="s">
        <v>377</v>
      </c>
      <c r="FQ35" s="375"/>
      <c r="FR35" s="374"/>
      <c r="FS35" s="375"/>
      <c r="FT35" s="374"/>
      <c r="FU35" s="389" t="s">
        <v>357</v>
      </c>
      <c r="FV35" s="392" t="s">
        <v>366</v>
      </c>
      <c r="FW35" s="390" t="s">
        <v>414</v>
      </c>
      <c r="FX35" s="540"/>
    </row>
    <row r="36">
      <c r="A36" s="109">
        <v>1.0</v>
      </c>
      <c r="B36" s="429">
        <v>22.0</v>
      </c>
      <c r="C36" s="555" t="str">
        <f>'Schedule | 1 Division'!E36</f>
        <v>Magic</v>
      </c>
      <c r="D36" s="561">
        <f t="shared" ref="D36:E36" si="49">BZ41</f>
        <v>0</v>
      </c>
      <c r="E36" s="561">
        <f t="shared" si="49"/>
        <v>2</v>
      </c>
      <c r="F36" s="555" t="str">
        <f>'Schedule | 1 Division'!I36</f>
        <v>Team Yandex</v>
      </c>
      <c r="G36" s="562" t="str">
        <f t="shared" si="12"/>
        <v>Team Yandex</v>
      </c>
      <c r="H36" s="563" t="str">
        <f t="shared" si="13"/>
        <v/>
      </c>
      <c r="I36" s="563" t="str">
        <f t="shared" si="14"/>
        <v/>
      </c>
      <c r="J36" s="579" t="str">
        <f t="shared" si="15"/>
        <v>Magic</v>
      </c>
      <c r="K36" s="540"/>
      <c r="L36" s="540"/>
      <c r="M36" s="29">
        <v>3.0</v>
      </c>
      <c r="N36" s="29"/>
      <c r="O36" s="372"/>
      <c r="P36" s="109"/>
      <c r="Q36" s="373"/>
      <c r="R36" s="380"/>
      <c r="S36" s="380"/>
      <c r="T36" s="29"/>
      <c r="U36" s="109"/>
      <c r="V36" s="372"/>
      <c r="W36" s="373"/>
      <c r="X36" s="540"/>
      <c r="Y36" s="371">
        <v>3.0</v>
      </c>
      <c r="Z36" s="29" t="s">
        <v>315</v>
      </c>
      <c r="AA36" s="242" t="s">
        <v>335</v>
      </c>
      <c r="AB36" s="109" t="s">
        <v>331</v>
      </c>
      <c r="AC36" s="373" t="s">
        <v>318</v>
      </c>
      <c r="AD36" s="380" t="s">
        <v>319</v>
      </c>
      <c r="AE36" s="393" t="s">
        <v>320</v>
      </c>
      <c r="AF36" s="109" t="s">
        <v>321</v>
      </c>
      <c r="AG36" s="109" t="s">
        <v>375</v>
      </c>
      <c r="AH36" s="242" t="s">
        <v>349</v>
      </c>
      <c r="AI36" s="373" t="s">
        <v>327</v>
      </c>
      <c r="AJ36" s="540"/>
      <c r="AK36" s="371">
        <v>3.0</v>
      </c>
      <c r="AL36" s="29" t="s">
        <v>337</v>
      </c>
      <c r="AM36" s="372" t="s">
        <v>367</v>
      </c>
      <c r="AN36" s="109" t="s">
        <v>352</v>
      </c>
      <c r="AO36" s="373" t="s">
        <v>318</v>
      </c>
      <c r="AP36" s="380" t="s">
        <v>319</v>
      </c>
      <c r="AQ36" s="393" t="s">
        <v>320</v>
      </c>
      <c r="AR36" s="109" t="s">
        <v>321</v>
      </c>
      <c r="AS36" s="109" t="s">
        <v>387</v>
      </c>
      <c r="AT36" s="566" t="s">
        <v>454</v>
      </c>
      <c r="AU36" s="373" t="s">
        <v>342</v>
      </c>
      <c r="AV36" s="540"/>
      <c r="AW36" s="371">
        <v>3.0</v>
      </c>
      <c r="AX36" s="29"/>
      <c r="AY36" s="372"/>
      <c r="AZ36" s="109"/>
      <c r="BA36" s="373"/>
      <c r="BB36" s="380"/>
      <c r="BC36" s="393"/>
      <c r="BD36" s="109"/>
      <c r="BE36" s="109"/>
      <c r="BF36" s="566"/>
      <c r="BG36" s="373"/>
      <c r="BH36" s="540"/>
      <c r="BI36" s="371">
        <v>3.0</v>
      </c>
      <c r="BJ36" s="29"/>
      <c r="BK36" s="372"/>
      <c r="BL36" s="109"/>
      <c r="BM36" s="373"/>
      <c r="BN36" s="380"/>
      <c r="BO36" s="393"/>
      <c r="BP36" s="109"/>
      <c r="BQ36" s="109"/>
      <c r="BR36" s="566"/>
      <c r="BS36" s="373"/>
      <c r="BT36" s="540"/>
      <c r="BU36" s="371">
        <v>3.0</v>
      </c>
      <c r="BV36" s="29"/>
      <c r="BW36" s="242"/>
      <c r="BX36" s="109"/>
      <c r="BY36" s="373"/>
      <c r="BZ36" s="380"/>
      <c r="CA36" s="393"/>
      <c r="CB36" s="109"/>
      <c r="CC36" s="109"/>
      <c r="CD36" s="372"/>
      <c r="CE36" s="373"/>
      <c r="CF36" s="540"/>
      <c r="CG36" s="371">
        <v>3.0</v>
      </c>
      <c r="CH36" s="29"/>
      <c r="CI36" s="242"/>
      <c r="CJ36" s="109"/>
      <c r="CK36" s="373"/>
      <c r="CL36" s="380"/>
      <c r="CM36" s="393"/>
      <c r="CN36" s="109"/>
      <c r="CO36" s="109"/>
      <c r="CP36" s="242"/>
      <c r="CQ36" s="373"/>
      <c r="CR36" s="540"/>
      <c r="CS36" s="371">
        <v>3.0</v>
      </c>
      <c r="CT36" s="29" t="s">
        <v>315</v>
      </c>
      <c r="CU36" s="385" t="s">
        <v>394</v>
      </c>
      <c r="CV36" s="109" t="s">
        <v>342</v>
      </c>
      <c r="CW36" s="373" t="s">
        <v>318</v>
      </c>
      <c r="CX36" s="380" t="s">
        <v>319</v>
      </c>
      <c r="CY36" s="393" t="s">
        <v>320</v>
      </c>
      <c r="CZ36" s="109" t="s">
        <v>321</v>
      </c>
      <c r="DA36" s="109" t="s">
        <v>334</v>
      </c>
      <c r="DB36" s="385" t="s">
        <v>330</v>
      </c>
      <c r="DC36" s="373" t="s">
        <v>327</v>
      </c>
      <c r="DD36" s="540"/>
      <c r="DE36" s="371">
        <v>3.0</v>
      </c>
      <c r="DF36" s="29"/>
      <c r="DG36" s="372"/>
      <c r="DH36" s="109"/>
      <c r="DI36" s="373"/>
      <c r="DJ36" s="380"/>
      <c r="DK36" s="393"/>
      <c r="DL36" s="109"/>
      <c r="DM36" s="109"/>
      <c r="DN36" s="385"/>
      <c r="DO36" s="373"/>
      <c r="DP36" s="540"/>
      <c r="DQ36" s="371">
        <v>3.0</v>
      </c>
      <c r="DR36" s="29"/>
      <c r="DS36" s="372"/>
      <c r="DT36" s="109"/>
      <c r="DU36" s="373"/>
      <c r="DV36" s="380"/>
      <c r="DW36" s="393"/>
      <c r="DX36" s="109"/>
      <c r="DY36" s="109"/>
      <c r="DZ36" s="385"/>
      <c r="EA36" s="373"/>
      <c r="EB36" s="540"/>
      <c r="EC36" s="371">
        <v>3.0</v>
      </c>
      <c r="ED36" s="29" t="s">
        <v>315</v>
      </c>
      <c r="EE36" s="242" t="s">
        <v>437</v>
      </c>
      <c r="EF36" s="109" t="s">
        <v>369</v>
      </c>
      <c r="EG36" s="373" t="s">
        <v>318</v>
      </c>
      <c r="EH36" s="380" t="s">
        <v>320</v>
      </c>
      <c r="EI36" s="393" t="s">
        <v>319</v>
      </c>
      <c r="EJ36" s="109" t="s">
        <v>321</v>
      </c>
      <c r="EK36" s="109" t="s">
        <v>341</v>
      </c>
      <c r="EL36" s="385" t="s">
        <v>326</v>
      </c>
      <c r="EM36" s="373" t="s">
        <v>342</v>
      </c>
      <c r="EN36" s="540"/>
      <c r="EO36" s="371">
        <v>3.0</v>
      </c>
      <c r="EP36" s="29"/>
      <c r="EQ36" s="385"/>
      <c r="ER36" s="109"/>
      <c r="ES36" s="373"/>
      <c r="ET36" s="380"/>
      <c r="EU36" s="393"/>
      <c r="EV36" s="109"/>
      <c r="EW36" s="109"/>
      <c r="EX36" s="372"/>
      <c r="EY36" s="373"/>
      <c r="EZ36" s="540"/>
      <c r="FA36" s="371">
        <v>3.0</v>
      </c>
      <c r="FB36" s="29"/>
      <c r="FC36" s="242"/>
      <c r="FD36" s="109"/>
      <c r="FE36" s="373"/>
      <c r="FF36" s="380"/>
      <c r="FG36" s="393"/>
      <c r="FH36" s="109"/>
      <c r="FI36" s="109"/>
      <c r="FJ36" s="372"/>
      <c r="FK36" s="373"/>
      <c r="FL36" s="540"/>
      <c r="FM36" s="371">
        <v>3.0</v>
      </c>
      <c r="FN36" s="29"/>
      <c r="FO36" s="372"/>
      <c r="FP36" s="109"/>
      <c r="FQ36" s="373"/>
      <c r="FR36" s="380"/>
      <c r="FS36" s="393"/>
      <c r="FT36" s="109"/>
      <c r="FU36" s="109"/>
      <c r="FV36" s="385"/>
      <c r="FW36" s="373"/>
      <c r="FX36" s="540"/>
    </row>
    <row r="37">
      <c r="A37" s="109">
        <v>1.0</v>
      </c>
      <c r="B37" s="429">
        <v>23.0</v>
      </c>
      <c r="C37" s="553" t="str">
        <f>'Schedule | 1 Division'!E37</f>
        <v>Virtus.pro</v>
      </c>
      <c r="D37" s="561">
        <f t="shared" ref="D37:E37" si="50">BZ61</f>
        <v>2</v>
      </c>
      <c r="E37" s="561">
        <f t="shared" si="50"/>
        <v>0</v>
      </c>
      <c r="F37" s="555" t="str">
        <f>'Schedule | 1 Division'!I37</f>
        <v>CYBERHERO</v>
      </c>
      <c r="G37" s="562" t="str">
        <f t="shared" si="12"/>
        <v>Virtus.pro</v>
      </c>
      <c r="H37" s="563" t="str">
        <f t="shared" si="13"/>
        <v/>
      </c>
      <c r="I37" s="563" t="str">
        <f t="shared" si="14"/>
        <v/>
      </c>
      <c r="J37" s="579" t="str">
        <f t="shared" si="15"/>
        <v>CYBERHERO</v>
      </c>
      <c r="K37" s="540"/>
      <c r="L37" s="540"/>
      <c r="M37" s="55"/>
      <c r="N37" s="29"/>
      <c r="O37" s="372"/>
      <c r="P37" s="109"/>
      <c r="Q37" s="92"/>
      <c r="T37" s="55"/>
      <c r="U37" s="109"/>
      <c r="V37" s="372"/>
      <c r="W37" s="373"/>
      <c r="X37" s="540"/>
      <c r="Y37" s="66"/>
      <c r="Z37" s="29" t="s">
        <v>317</v>
      </c>
      <c r="AA37" s="242" t="s">
        <v>351</v>
      </c>
      <c r="AB37" s="109" t="s">
        <v>352</v>
      </c>
      <c r="AC37" s="92"/>
      <c r="AE37" s="92"/>
      <c r="AG37" s="109" t="s">
        <v>395</v>
      </c>
      <c r="AH37" s="242" t="s">
        <v>338</v>
      </c>
      <c r="AI37" s="373" t="s">
        <v>342</v>
      </c>
      <c r="AJ37" s="540"/>
      <c r="AK37" s="66"/>
      <c r="AL37" s="29" t="s">
        <v>328</v>
      </c>
      <c r="AM37" s="372" t="s">
        <v>397</v>
      </c>
      <c r="AN37" s="109" t="s">
        <v>410</v>
      </c>
      <c r="AO37" s="92"/>
      <c r="AQ37" s="92"/>
      <c r="AS37" s="109" t="s">
        <v>348</v>
      </c>
      <c r="AT37" s="566" t="s">
        <v>448</v>
      </c>
      <c r="AU37" s="373" t="s">
        <v>324</v>
      </c>
      <c r="AV37" s="540"/>
      <c r="AW37" s="66"/>
      <c r="AX37" s="29"/>
      <c r="AY37" s="372"/>
      <c r="AZ37" s="109"/>
      <c r="BA37" s="92"/>
      <c r="BC37" s="92"/>
      <c r="BE37" s="109"/>
      <c r="BF37" s="566"/>
      <c r="BG37" s="373"/>
      <c r="BH37" s="540"/>
      <c r="BI37" s="66"/>
      <c r="BJ37" s="29"/>
      <c r="BK37" s="372"/>
      <c r="BL37" s="109"/>
      <c r="BM37" s="92"/>
      <c r="BO37" s="92"/>
      <c r="BQ37" s="109"/>
      <c r="BR37" s="566"/>
      <c r="BS37" s="373"/>
      <c r="BT37" s="540"/>
      <c r="BU37" s="66"/>
      <c r="BV37" s="29"/>
      <c r="BW37" s="242"/>
      <c r="BX37" s="109"/>
      <c r="BY37" s="92"/>
      <c r="CA37" s="92"/>
      <c r="CC37" s="109"/>
      <c r="CD37" s="372"/>
      <c r="CE37" s="373"/>
      <c r="CF37" s="540"/>
      <c r="CG37" s="66"/>
      <c r="CH37" s="29"/>
      <c r="CI37" s="242"/>
      <c r="CJ37" s="109"/>
      <c r="CK37" s="92"/>
      <c r="CM37" s="92"/>
      <c r="CO37" s="109"/>
      <c r="CP37" s="242"/>
      <c r="CQ37" s="373"/>
      <c r="CR37" s="540"/>
      <c r="CS37" s="66"/>
      <c r="CT37" s="29" t="s">
        <v>331</v>
      </c>
      <c r="CU37" s="240" t="s">
        <v>366</v>
      </c>
      <c r="CV37" s="109" t="s">
        <v>343</v>
      </c>
      <c r="CW37" s="92"/>
      <c r="CY37" s="92"/>
      <c r="DA37" s="109" t="s">
        <v>391</v>
      </c>
      <c r="DB37" s="240" t="s">
        <v>326</v>
      </c>
      <c r="DC37" s="373" t="s">
        <v>317</v>
      </c>
      <c r="DD37" s="540"/>
      <c r="DE37" s="66"/>
      <c r="DF37" s="29"/>
      <c r="DG37" s="372"/>
      <c r="DH37" s="109"/>
      <c r="DI37" s="92"/>
      <c r="DK37" s="92"/>
      <c r="DM37" s="109"/>
      <c r="DN37" s="240"/>
      <c r="DO37" s="373"/>
      <c r="DP37" s="540"/>
      <c r="DQ37" s="66"/>
      <c r="DR37" s="29"/>
      <c r="DS37" s="372"/>
      <c r="DT37" s="109"/>
      <c r="DU37" s="92"/>
      <c r="DW37" s="92"/>
      <c r="DY37" s="109"/>
      <c r="DZ37" s="240"/>
      <c r="EA37" s="373"/>
      <c r="EB37" s="540"/>
      <c r="EC37" s="66"/>
      <c r="ED37" s="29" t="s">
        <v>325</v>
      </c>
      <c r="EE37" s="242" t="s">
        <v>725</v>
      </c>
      <c r="EF37" s="109" t="s">
        <v>348</v>
      </c>
      <c r="EG37" s="92"/>
      <c r="EI37" s="92"/>
      <c r="EK37" s="109" t="s">
        <v>331</v>
      </c>
      <c r="EL37" s="240" t="s">
        <v>330</v>
      </c>
      <c r="EM37" s="373" t="s">
        <v>324</v>
      </c>
      <c r="EN37" s="540"/>
      <c r="EO37" s="66"/>
      <c r="EP37" s="29"/>
      <c r="EQ37" s="240"/>
      <c r="ER37" s="109"/>
      <c r="ES37" s="92"/>
      <c r="EU37" s="92"/>
      <c r="EW37" s="109"/>
      <c r="EX37" s="372"/>
      <c r="EY37" s="373"/>
      <c r="EZ37" s="540"/>
      <c r="FA37" s="66"/>
      <c r="FB37" s="29"/>
      <c r="FC37" s="242"/>
      <c r="FD37" s="109"/>
      <c r="FE37" s="92"/>
      <c r="FG37" s="92"/>
      <c r="FI37" s="109"/>
      <c r="FJ37" s="372"/>
      <c r="FK37" s="373"/>
      <c r="FL37" s="540"/>
      <c r="FM37" s="66"/>
      <c r="FN37" s="29"/>
      <c r="FO37" s="372"/>
      <c r="FP37" s="109"/>
      <c r="FQ37" s="92"/>
      <c r="FS37" s="92"/>
      <c r="FU37" s="109"/>
      <c r="FV37" s="240"/>
      <c r="FW37" s="373"/>
      <c r="FX37" s="540"/>
    </row>
    <row r="38">
      <c r="A38" s="109">
        <v>1.0</v>
      </c>
      <c r="B38" s="429">
        <v>24.0</v>
      </c>
      <c r="C38" s="553" t="str">
        <f>'Schedule | 1 Division'!E38</f>
        <v>Team Spirit</v>
      </c>
      <c r="D38" s="560">
        <f t="shared" ref="D38:E38" si="51">BZ81</f>
        <v>2</v>
      </c>
      <c r="E38" s="560">
        <f t="shared" si="51"/>
        <v>0</v>
      </c>
      <c r="F38" s="555" t="str">
        <f>'Schedule | 1 Division'!I38</f>
        <v>FORZE</v>
      </c>
      <c r="G38" s="562" t="str">
        <f t="shared" si="12"/>
        <v>Team Spirit</v>
      </c>
      <c r="H38" s="563" t="str">
        <f t="shared" si="13"/>
        <v/>
      </c>
      <c r="I38" s="563" t="str">
        <f t="shared" si="14"/>
        <v/>
      </c>
      <c r="J38" s="579" t="str">
        <f t="shared" si="15"/>
        <v>FORZE</v>
      </c>
      <c r="K38" s="540"/>
      <c r="L38" s="540"/>
      <c r="M38" s="55"/>
      <c r="N38" s="29"/>
      <c r="O38" s="372"/>
      <c r="P38" s="109"/>
      <c r="Q38" s="92"/>
      <c r="T38" s="55"/>
      <c r="U38" s="109"/>
      <c r="V38" s="372"/>
      <c r="W38" s="373"/>
      <c r="X38" s="540"/>
      <c r="Y38" s="66"/>
      <c r="Z38" s="29" t="s">
        <v>369</v>
      </c>
      <c r="AA38" s="242" t="s">
        <v>365</v>
      </c>
      <c r="AB38" s="109" t="s">
        <v>374</v>
      </c>
      <c r="AC38" s="92"/>
      <c r="AE38" s="92"/>
      <c r="AG38" s="109" t="s">
        <v>348</v>
      </c>
      <c r="AH38" s="242" t="s">
        <v>326</v>
      </c>
      <c r="AI38" s="373" t="s">
        <v>324</v>
      </c>
      <c r="AJ38" s="540"/>
      <c r="AK38" s="66"/>
      <c r="AL38" s="29" t="s">
        <v>315</v>
      </c>
      <c r="AM38" s="372" t="s">
        <v>340</v>
      </c>
      <c r="AN38" s="109" t="s">
        <v>373</v>
      </c>
      <c r="AO38" s="92"/>
      <c r="AQ38" s="92"/>
      <c r="AS38" s="109" t="s">
        <v>317</v>
      </c>
      <c r="AT38" s="566" t="s">
        <v>450</v>
      </c>
      <c r="AU38" s="373" t="s">
        <v>327</v>
      </c>
      <c r="AV38" s="540"/>
      <c r="AW38" s="66"/>
      <c r="AX38" s="29"/>
      <c r="AY38" s="372"/>
      <c r="AZ38" s="109"/>
      <c r="BA38" s="92"/>
      <c r="BC38" s="92"/>
      <c r="BE38" s="109"/>
      <c r="BF38" s="566"/>
      <c r="BG38" s="373"/>
      <c r="BH38" s="540"/>
      <c r="BI38" s="66"/>
      <c r="BJ38" s="29"/>
      <c r="BK38" s="372"/>
      <c r="BL38" s="109"/>
      <c r="BM38" s="92"/>
      <c r="BO38" s="92"/>
      <c r="BQ38" s="109"/>
      <c r="BR38" s="566"/>
      <c r="BS38" s="373"/>
      <c r="BT38" s="540"/>
      <c r="BU38" s="66"/>
      <c r="BV38" s="29"/>
      <c r="BW38" s="242"/>
      <c r="BX38" s="109"/>
      <c r="BY38" s="92"/>
      <c r="CA38" s="92"/>
      <c r="CC38" s="109"/>
      <c r="CD38" s="372"/>
      <c r="CE38" s="373"/>
      <c r="CF38" s="540"/>
      <c r="CG38" s="66"/>
      <c r="CH38" s="29"/>
      <c r="CI38" s="242"/>
      <c r="CJ38" s="109"/>
      <c r="CK38" s="92"/>
      <c r="CM38" s="92"/>
      <c r="CO38" s="109"/>
      <c r="CP38" s="242"/>
      <c r="CQ38" s="373"/>
      <c r="CR38" s="540"/>
      <c r="CS38" s="66"/>
      <c r="CT38" s="29" t="s">
        <v>325</v>
      </c>
      <c r="CU38" s="240" t="s">
        <v>336</v>
      </c>
      <c r="CV38" s="109" t="s">
        <v>377</v>
      </c>
      <c r="CW38" s="92"/>
      <c r="CY38" s="92"/>
      <c r="DA38" s="109" t="s">
        <v>352</v>
      </c>
      <c r="DB38" s="240" t="s">
        <v>378</v>
      </c>
      <c r="DC38" s="373" t="s">
        <v>324</v>
      </c>
      <c r="DD38" s="540"/>
      <c r="DE38" s="66"/>
      <c r="DF38" s="29"/>
      <c r="DG38" s="372"/>
      <c r="DH38" s="109"/>
      <c r="DI38" s="92"/>
      <c r="DK38" s="92"/>
      <c r="DM38" s="109"/>
      <c r="DN38" s="240"/>
      <c r="DO38" s="373"/>
      <c r="DP38" s="540"/>
      <c r="DQ38" s="66"/>
      <c r="DR38" s="29"/>
      <c r="DS38" s="372"/>
      <c r="DT38" s="109"/>
      <c r="DU38" s="92"/>
      <c r="DW38" s="92"/>
      <c r="DY38" s="109"/>
      <c r="DZ38" s="240"/>
      <c r="EA38" s="373"/>
      <c r="EB38" s="540"/>
      <c r="EC38" s="66"/>
      <c r="ED38" s="29" t="s">
        <v>334</v>
      </c>
      <c r="EE38" s="242" t="s">
        <v>442</v>
      </c>
      <c r="EF38" s="109" t="s">
        <v>343</v>
      </c>
      <c r="EG38" s="92"/>
      <c r="EI38" s="92"/>
      <c r="EK38" s="109" t="s">
        <v>328</v>
      </c>
      <c r="EL38" s="240" t="s">
        <v>349</v>
      </c>
      <c r="EM38" s="373" t="s">
        <v>317</v>
      </c>
      <c r="EN38" s="540"/>
      <c r="EO38" s="66"/>
      <c r="EP38" s="29"/>
      <c r="EQ38" s="240"/>
      <c r="ER38" s="109"/>
      <c r="ES38" s="92"/>
      <c r="EU38" s="92"/>
      <c r="EW38" s="109"/>
      <c r="EX38" s="372"/>
      <c r="EY38" s="373"/>
      <c r="EZ38" s="540"/>
      <c r="FA38" s="66"/>
      <c r="FB38" s="29"/>
      <c r="FC38" s="242"/>
      <c r="FD38" s="109"/>
      <c r="FE38" s="92"/>
      <c r="FG38" s="92"/>
      <c r="FI38" s="109"/>
      <c r="FJ38" s="372"/>
      <c r="FK38" s="373"/>
      <c r="FL38" s="540"/>
      <c r="FM38" s="66"/>
      <c r="FN38" s="29"/>
      <c r="FO38" s="372"/>
      <c r="FP38" s="109"/>
      <c r="FQ38" s="92"/>
      <c r="FS38" s="92"/>
      <c r="FU38" s="109"/>
      <c r="FV38" s="240"/>
      <c r="FW38" s="373"/>
      <c r="FX38" s="540"/>
    </row>
    <row r="39" ht="18.0" customHeight="1">
      <c r="A39" s="378">
        <v>1.0</v>
      </c>
      <c r="B39" s="587">
        <v>25.0</v>
      </c>
      <c r="C39" s="590" t="str">
        <f>'Schedule | 1 Division'!E41</f>
        <v>Team Yandex</v>
      </c>
      <c r="D39" s="589">
        <f t="shared" ref="D39:E39" si="52">CL21</f>
        <v>0</v>
      </c>
      <c r="E39" s="589">
        <f t="shared" si="52"/>
        <v>2</v>
      </c>
      <c r="F39" s="590" t="str">
        <f>'Schedule | 1 Division'!I41</f>
        <v>Verso Time</v>
      </c>
      <c r="G39" s="591" t="str">
        <f t="shared" si="12"/>
        <v>Verso Time</v>
      </c>
      <c r="H39" s="592" t="str">
        <f t="shared" si="13"/>
        <v/>
      </c>
      <c r="I39" s="592" t="str">
        <f t="shared" si="14"/>
        <v/>
      </c>
      <c r="J39" s="593" t="str">
        <f t="shared" si="15"/>
        <v>Team Yandex</v>
      </c>
      <c r="K39" s="530"/>
      <c r="L39" s="530"/>
      <c r="M39" s="55"/>
      <c r="N39" s="29"/>
      <c r="O39" s="372"/>
      <c r="P39" s="109"/>
      <c r="Q39" s="92"/>
      <c r="T39" s="55"/>
      <c r="U39" s="109"/>
      <c r="V39" s="372"/>
      <c r="W39" s="373"/>
      <c r="X39" s="530"/>
      <c r="Y39" s="66"/>
      <c r="Z39" s="29" t="s">
        <v>354</v>
      </c>
      <c r="AA39" s="242" t="s">
        <v>393</v>
      </c>
      <c r="AB39" s="109" t="s">
        <v>401</v>
      </c>
      <c r="AC39" s="92"/>
      <c r="AE39" s="92"/>
      <c r="AG39" s="109" t="s">
        <v>325</v>
      </c>
      <c r="AH39" s="242" t="s">
        <v>330</v>
      </c>
      <c r="AI39" s="373" t="s">
        <v>328</v>
      </c>
      <c r="AJ39" s="530"/>
      <c r="AK39" s="66"/>
      <c r="AL39" s="29" t="s">
        <v>414</v>
      </c>
      <c r="AM39" s="372" t="s">
        <v>356</v>
      </c>
      <c r="AN39" s="109" t="s">
        <v>331</v>
      </c>
      <c r="AO39" s="92"/>
      <c r="AQ39" s="92"/>
      <c r="AS39" s="109" t="s">
        <v>361</v>
      </c>
      <c r="AT39" s="566" t="s">
        <v>449</v>
      </c>
      <c r="AU39" s="373" t="s">
        <v>377</v>
      </c>
      <c r="AV39" s="530"/>
      <c r="AW39" s="66"/>
      <c r="AX39" s="29"/>
      <c r="AY39" s="372"/>
      <c r="AZ39" s="109"/>
      <c r="BA39" s="92"/>
      <c r="BC39" s="92"/>
      <c r="BE39" s="109"/>
      <c r="BF39" s="566"/>
      <c r="BG39" s="373"/>
      <c r="BH39" s="530"/>
      <c r="BI39" s="66"/>
      <c r="BJ39" s="29"/>
      <c r="BK39" s="372"/>
      <c r="BL39" s="109"/>
      <c r="BM39" s="92"/>
      <c r="BO39" s="92"/>
      <c r="BQ39" s="109"/>
      <c r="BR39" s="566"/>
      <c r="BS39" s="373"/>
      <c r="BT39" s="530"/>
      <c r="BU39" s="66"/>
      <c r="BV39" s="29"/>
      <c r="BW39" s="242"/>
      <c r="BX39" s="109"/>
      <c r="BY39" s="92"/>
      <c r="CA39" s="92"/>
      <c r="CC39" s="109"/>
      <c r="CD39" s="372"/>
      <c r="CE39" s="373"/>
      <c r="CF39" s="530"/>
      <c r="CG39" s="66"/>
      <c r="CH39" s="29"/>
      <c r="CI39" s="242"/>
      <c r="CJ39" s="109"/>
      <c r="CK39" s="92"/>
      <c r="CM39" s="92"/>
      <c r="CO39" s="109"/>
      <c r="CP39" s="242"/>
      <c r="CQ39" s="373"/>
      <c r="CR39" s="530"/>
      <c r="CS39" s="66"/>
      <c r="CT39" s="29" t="s">
        <v>348</v>
      </c>
      <c r="CU39" s="240" t="s">
        <v>383</v>
      </c>
      <c r="CV39" s="109" t="s">
        <v>434</v>
      </c>
      <c r="CW39" s="92"/>
      <c r="CY39" s="92"/>
      <c r="DA39" s="109" t="s">
        <v>361</v>
      </c>
      <c r="DB39" s="240" t="s">
        <v>338</v>
      </c>
      <c r="DC39" s="373" t="s">
        <v>376</v>
      </c>
      <c r="DD39" s="530"/>
      <c r="DE39" s="66"/>
      <c r="DF39" s="29"/>
      <c r="DG39" s="372"/>
      <c r="DH39" s="109"/>
      <c r="DI39" s="92"/>
      <c r="DK39" s="92"/>
      <c r="DM39" s="109"/>
      <c r="DN39" s="240"/>
      <c r="DO39" s="373"/>
      <c r="DP39" s="530"/>
      <c r="DQ39" s="66"/>
      <c r="DR39" s="29"/>
      <c r="DS39" s="372"/>
      <c r="DT39" s="109"/>
      <c r="DU39" s="92"/>
      <c r="DW39" s="92"/>
      <c r="DY39" s="109"/>
      <c r="DZ39" s="240"/>
      <c r="EA39" s="373"/>
      <c r="EB39" s="530"/>
      <c r="EC39" s="66"/>
      <c r="ED39" s="29" t="s">
        <v>361</v>
      </c>
      <c r="EE39" s="242" t="s">
        <v>426</v>
      </c>
      <c r="EF39" s="109" t="s">
        <v>327</v>
      </c>
      <c r="EG39" s="92"/>
      <c r="EI39" s="92"/>
      <c r="EK39" s="109" t="s">
        <v>19</v>
      </c>
      <c r="EL39" s="240" t="s">
        <v>338</v>
      </c>
      <c r="EM39" s="373" t="s">
        <v>377</v>
      </c>
      <c r="EN39" s="530"/>
      <c r="EO39" s="66"/>
      <c r="EP39" s="29"/>
      <c r="EQ39" s="240"/>
      <c r="ER39" s="109"/>
      <c r="ES39" s="92"/>
      <c r="EU39" s="92"/>
      <c r="EW39" s="109"/>
      <c r="EX39" s="372"/>
      <c r="EY39" s="373"/>
      <c r="EZ39" s="530"/>
      <c r="FA39" s="66"/>
      <c r="FB39" s="29"/>
      <c r="FC39" s="242"/>
      <c r="FD39" s="109"/>
      <c r="FE39" s="92"/>
      <c r="FG39" s="92"/>
      <c r="FI39" s="109"/>
      <c r="FJ39" s="372"/>
      <c r="FK39" s="373"/>
      <c r="FL39" s="530"/>
      <c r="FM39" s="66"/>
      <c r="FN39" s="29"/>
      <c r="FO39" s="372"/>
      <c r="FP39" s="109"/>
      <c r="FQ39" s="92"/>
      <c r="FS39" s="92"/>
      <c r="FU39" s="109"/>
      <c r="FV39" s="240"/>
      <c r="FW39" s="373"/>
      <c r="FX39" s="530"/>
    </row>
    <row r="40">
      <c r="A40" s="109">
        <v>1.0</v>
      </c>
      <c r="B40" s="429">
        <v>26.0</v>
      </c>
      <c r="C40" s="555" t="str">
        <f>'Schedule | 1 Division'!E42</f>
        <v>Aura Farmers</v>
      </c>
      <c r="D40" s="561">
        <f t="shared" ref="D40:E40" si="53">CL41</f>
        <v>0</v>
      </c>
      <c r="E40" s="561">
        <f t="shared" si="53"/>
        <v>2</v>
      </c>
      <c r="F40" s="555" t="str">
        <f>'Schedule | 1 Division'!I42</f>
        <v>Magic</v>
      </c>
      <c r="G40" s="562" t="str">
        <f t="shared" si="12"/>
        <v>Magic</v>
      </c>
      <c r="H40" s="563" t="str">
        <f t="shared" si="13"/>
        <v/>
      </c>
      <c r="I40" s="563" t="str">
        <f t="shared" si="14"/>
        <v/>
      </c>
      <c r="J40" s="579" t="str">
        <f t="shared" si="15"/>
        <v>Aura Farmers</v>
      </c>
      <c r="K40" s="540"/>
      <c r="L40" s="540"/>
      <c r="M40" s="61"/>
      <c r="N40" s="394"/>
      <c r="O40" s="395"/>
      <c r="P40" s="132"/>
      <c r="Q40" s="93"/>
      <c r="T40" s="61"/>
      <c r="U40" s="132"/>
      <c r="V40" s="395"/>
      <c r="W40" s="396"/>
      <c r="X40" s="540"/>
      <c r="Y40" s="94"/>
      <c r="Z40" s="394" t="s">
        <v>384</v>
      </c>
      <c r="AA40" s="254" t="s">
        <v>381</v>
      </c>
      <c r="AB40" s="132" t="s">
        <v>322</v>
      </c>
      <c r="AC40" s="93"/>
      <c r="AE40" s="92"/>
      <c r="AF40" s="22"/>
      <c r="AG40" s="132" t="s">
        <v>337</v>
      </c>
      <c r="AH40" s="254" t="s">
        <v>378</v>
      </c>
      <c r="AI40" s="396" t="s">
        <v>368</v>
      </c>
      <c r="AJ40" s="540"/>
      <c r="AK40" s="94"/>
      <c r="AL40" s="394" t="s">
        <v>401</v>
      </c>
      <c r="AM40" s="395" t="s">
        <v>386</v>
      </c>
      <c r="AN40" s="132" t="s">
        <v>411</v>
      </c>
      <c r="AO40" s="93"/>
      <c r="AQ40" s="92"/>
      <c r="AR40" s="22"/>
      <c r="AS40" s="132" t="s">
        <v>380</v>
      </c>
      <c r="AT40" s="583" t="s">
        <v>452</v>
      </c>
      <c r="AU40" s="396" t="s">
        <v>369</v>
      </c>
      <c r="AV40" s="540"/>
      <c r="AW40" s="94"/>
      <c r="AX40" s="394"/>
      <c r="AY40" s="395"/>
      <c r="AZ40" s="132"/>
      <c r="BA40" s="93"/>
      <c r="BC40" s="92"/>
      <c r="BD40" s="22"/>
      <c r="BE40" s="132"/>
      <c r="BF40" s="583"/>
      <c r="BG40" s="396"/>
      <c r="BH40" s="540"/>
      <c r="BI40" s="94"/>
      <c r="BJ40" s="394"/>
      <c r="BK40" s="395"/>
      <c r="BL40" s="132"/>
      <c r="BM40" s="93"/>
      <c r="BO40" s="92"/>
      <c r="BP40" s="22"/>
      <c r="BQ40" s="132"/>
      <c r="BR40" s="583"/>
      <c r="BS40" s="396"/>
      <c r="BT40" s="540"/>
      <c r="BU40" s="94"/>
      <c r="BV40" s="394"/>
      <c r="BW40" s="254"/>
      <c r="BX40" s="132"/>
      <c r="BY40" s="93"/>
      <c r="CA40" s="92"/>
      <c r="CB40" s="22"/>
      <c r="CC40" s="132"/>
      <c r="CD40" s="395"/>
      <c r="CE40" s="396"/>
      <c r="CF40" s="540"/>
      <c r="CG40" s="94"/>
      <c r="CH40" s="394"/>
      <c r="CI40" s="584"/>
      <c r="CJ40" s="132"/>
      <c r="CK40" s="93"/>
      <c r="CM40" s="92"/>
      <c r="CN40" s="22"/>
      <c r="CO40" s="132"/>
      <c r="CP40" s="254"/>
      <c r="CQ40" s="396"/>
      <c r="CR40" s="540"/>
      <c r="CS40" s="94"/>
      <c r="CT40" s="394" t="s">
        <v>322</v>
      </c>
      <c r="CU40" s="252" t="s">
        <v>353</v>
      </c>
      <c r="CV40" s="132" t="s">
        <v>374</v>
      </c>
      <c r="CW40" s="93"/>
      <c r="CY40" s="92"/>
      <c r="CZ40" s="22"/>
      <c r="DA40" s="132" t="s">
        <v>328</v>
      </c>
      <c r="DB40" s="392" t="s">
        <v>349</v>
      </c>
      <c r="DC40" s="396" t="s">
        <v>399</v>
      </c>
      <c r="DD40" s="540"/>
      <c r="DE40" s="94"/>
      <c r="DF40" s="394"/>
      <c r="DG40" s="395"/>
      <c r="DH40" s="132"/>
      <c r="DI40" s="93"/>
      <c r="DJ40" s="22"/>
      <c r="DK40" s="93"/>
      <c r="DL40" s="22"/>
      <c r="DM40" s="132"/>
      <c r="DN40" s="392"/>
      <c r="DO40" s="396"/>
      <c r="DP40" s="540"/>
      <c r="DQ40" s="94"/>
      <c r="DR40" s="394"/>
      <c r="DS40" s="395"/>
      <c r="DT40" s="132"/>
      <c r="DU40" s="93"/>
      <c r="DW40" s="92"/>
      <c r="DX40" s="22"/>
      <c r="DY40" s="132"/>
      <c r="DZ40" s="252"/>
      <c r="EA40" s="396"/>
      <c r="EB40" s="540"/>
      <c r="EC40" s="94"/>
      <c r="ED40" s="394" t="s">
        <v>382</v>
      </c>
      <c r="EE40" s="254" t="s">
        <v>422</v>
      </c>
      <c r="EF40" s="132" t="s">
        <v>337</v>
      </c>
      <c r="EG40" s="93"/>
      <c r="EI40" s="92"/>
      <c r="EJ40" s="22"/>
      <c r="EK40" s="132" t="s">
        <v>352</v>
      </c>
      <c r="EL40" s="392" t="s">
        <v>378</v>
      </c>
      <c r="EM40" s="396" t="s">
        <v>483</v>
      </c>
      <c r="EN40" s="540"/>
      <c r="EO40" s="94"/>
      <c r="EP40" s="394"/>
      <c r="EQ40" s="252"/>
      <c r="ER40" s="132"/>
      <c r="ES40" s="93"/>
      <c r="EU40" s="92"/>
      <c r="EV40" s="22"/>
      <c r="EW40" s="132"/>
      <c r="EX40" s="395"/>
      <c r="EY40" s="396"/>
      <c r="EZ40" s="540"/>
      <c r="FA40" s="94"/>
      <c r="FB40" s="394"/>
      <c r="FC40" s="254"/>
      <c r="FD40" s="132"/>
      <c r="FE40" s="93"/>
      <c r="FG40" s="92"/>
      <c r="FH40" s="22"/>
      <c r="FI40" s="132"/>
      <c r="FJ40" s="395"/>
      <c r="FK40" s="396"/>
      <c r="FL40" s="540"/>
      <c r="FM40" s="94"/>
      <c r="FN40" s="394"/>
      <c r="FO40" s="395"/>
      <c r="FP40" s="132"/>
      <c r="FQ40" s="93"/>
      <c r="FS40" s="92"/>
      <c r="FT40" s="22"/>
      <c r="FU40" s="132"/>
      <c r="FV40" s="252"/>
      <c r="FW40" s="396"/>
      <c r="FX40" s="540"/>
    </row>
    <row r="41">
      <c r="A41" s="109">
        <v>1.0</v>
      </c>
      <c r="B41" s="429">
        <v>27.0</v>
      </c>
      <c r="C41" s="553" t="str">
        <f>'Schedule | 1 Division'!E43</f>
        <v>Virtus.pro</v>
      </c>
      <c r="D41" s="561">
        <f t="shared" ref="D41:E41" si="54">CL61</f>
        <v>0</v>
      </c>
      <c r="E41" s="561">
        <f t="shared" si="54"/>
        <v>2</v>
      </c>
      <c r="F41" s="555" t="str">
        <f>'Schedule | 1 Division'!I43</f>
        <v>Team Spirit</v>
      </c>
      <c r="G41" s="562" t="str">
        <f t="shared" si="12"/>
        <v>Team Spirit</v>
      </c>
      <c r="H41" s="563" t="str">
        <f t="shared" si="13"/>
        <v/>
      </c>
      <c r="I41" s="563" t="str">
        <f t="shared" si="14"/>
        <v/>
      </c>
      <c r="J41" s="579" t="str">
        <f t="shared" si="15"/>
        <v>Virtus.pro</v>
      </c>
      <c r="K41" s="540"/>
      <c r="L41" s="540"/>
      <c r="M41" s="586"/>
      <c r="N41" s="586"/>
      <c r="O41" s="586"/>
      <c r="P41" s="586"/>
      <c r="Q41" s="550"/>
      <c r="R41" s="399">
        <f t="shared" ref="R41:S41" si="55">COUNTIF(R26:R40, "W")</f>
        <v>2</v>
      </c>
      <c r="S41" s="400">
        <f t="shared" si="55"/>
        <v>0</v>
      </c>
      <c r="T41" s="550"/>
      <c r="U41" s="586"/>
      <c r="V41" s="586"/>
      <c r="W41" s="586"/>
      <c r="X41" s="540"/>
      <c r="Y41" s="586"/>
      <c r="Z41" s="586"/>
      <c r="AA41" s="586"/>
      <c r="AB41" s="586"/>
      <c r="AC41" s="550"/>
      <c r="AD41" s="399">
        <f t="shared" ref="AD41:AE41" si="56">COUNTIF(AD26:AD40, "W")</f>
        <v>2</v>
      </c>
      <c r="AE41" s="400">
        <f t="shared" si="56"/>
        <v>1</v>
      </c>
      <c r="AF41" s="550"/>
      <c r="AG41" s="586"/>
      <c r="AH41" s="586"/>
      <c r="AI41" s="586"/>
      <c r="AJ41" s="540"/>
      <c r="AK41" s="586"/>
      <c r="AL41" s="586"/>
      <c r="AM41" s="586"/>
      <c r="AN41" s="586"/>
      <c r="AO41" s="550"/>
      <c r="AP41" s="399">
        <f t="shared" ref="AP41:AQ41" si="57">COUNTIF(AP26:AP40, "W")</f>
        <v>2</v>
      </c>
      <c r="AQ41" s="400">
        <f t="shared" si="57"/>
        <v>1</v>
      </c>
      <c r="AR41" s="550"/>
      <c r="AS41" s="586"/>
      <c r="AT41" s="586"/>
      <c r="AU41" s="586"/>
      <c r="AV41" s="540"/>
      <c r="AW41" s="586"/>
      <c r="AX41" s="586"/>
      <c r="AY41" s="586"/>
      <c r="AZ41" s="586"/>
      <c r="BA41" s="550"/>
      <c r="BB41" s="399">
        <f t="shared" ref="BB41:BC41" si="58">COUNTIF(BB26:BB40, "W")</f>
        <v>2</v>
      </c>
      <c r="BC41" s="400">
        <f t="shared" si="58"/>
        <v>0</v>
      </c>
      <c r="BD41" s="550"/>
      <c r="BE41" s="586"/>
      <c r="BF41" s="586"/>
      <c r="BG41" s="586"/>
      <c r="BH41" s="540"/>
      <c r="BI41" s="586"/>
      <c r="BJ41" s="586"/>
      <c r="BK41" s="586"/>
      <c r="BL41" s="586"/>
      <c r="BM41" s="550"/>
      <c r="BN41" s="399">
        <f t="shared" ref="BN41:BO41" si="59">COUNTIF(BN26:BN40, "W")</f>
        <v>0</v>
      </c>
      <c r="BO41" s="400">
        <f t="shared" si="59"/>
        <v>2</v>
      </c>
      <c r="BP41" s="550"/>
      <c r="BQ41" s="586"/>
      <c r="BR41" s="586"/>
      <c r="BS41" s="586"/>
      <c r="BT41" s="540"/>
      <c r="BU41" s="586"/>
      <c r="BV41" s="586"/>
      <c r="BW41" s="586"/>
      <c r="BX41" s="586"/>
      <c r="BY41" s="550"/>
      <c r="BZ41" s="399">
        <f t="shared" ref="BZ41:CA41" si="60">COUNTIF(BZ26:BZ40, "W")</f>
        <v>0</v>
      </c>
      <c r="CA41" s="400">
        <f t="shared" si="60"/>
        <v>2</v>
      </c>
      <c r="CB41" s="550"/>
      <c r="CC41" s="586"/>
      <c r="CD41" s="586"/>
      <c r="CE41" s="586"/>
      <c r="CF41" s="540"/>
      <c r="CG41" s="586"/>
      <c r="CH41" s="586"/>
      <c r="CI41" s="586"/>
      <c r="CJ41" s="586"/>
      <c r="CK41" s="550"/>
      <c r="CL41" s="399">
        <f t="shared" ref="CL41:CM41" si="61">COUNTIF(CL26:CL40, "W")</f>
        <v>0</v>
      </c>
      <c r="CM41" s="400">
        <f t="shared" si="61"/>
        <v>2</v>
      </c>
      <c r="CN41" s="550"/>
      <c r="CO41" s="586"/>
      <c r="CP41" s="586"/>
      <c r="CQ41" s="586"/>
      <c r="CR41" s="540"/>
      <c r="CS41" s="586"/>
      <c r="CT41" s="586"/>
      <c r="CU41" s="586"/>
      <c r="CV41" s="586"/>
      <c r="CW41" s="550"/>
      <c r="CX41" s="399">
        <f t="shared" ref="CX41:CY41" si="62">COUNTIF(CX26:CX40, "W")</f>
        <v>2</v>
      </c>
      <c r="CY41" s="400">
        <f t="shared" si="62"/>
        <v>1</v>
      </c>
      <c r="CZ41" s="550"/>
      <c r="DA41" s="586"/>
      <c r="DB41" s="586"/>
      <c r="DC41" s="586"/>
      <c r="DD41" s="540"/>
      <c r="DE41" s="586"/>
      <c r="DF41" s="586"/>
      <c r="DG41" s="586"/>
      <c r="DH41" s="586"/>
      <c r="DI41" s="550"/>
      <c r="DJ41" s="399">
        <f t="shared" ref="DJ41:DK41" si="63">COUNTIF(DJ26:DJ40, "W")</f>
        <v>0</v>
      </c>
      <c r="DK41" s="400">
        <f t="shared" si="63"/>
        <v>2</v>
      </c>
      <c r="DL41" s="550"/>
      <c r="DM41" s="586"/>
      <c r="DN41" s="586"/>
      <c r="DO41" s="586"/>
      <c r="DP41" s="540"/>
      <c r="DQ41" s="586"/>
      <c r="DR41" s="586"/>
      <c r="DS41" s="586"/>
      <c r="DT41" s="586"/>
      <c r="DU41" s="550"/>
      <c r="DV41" s="399">
        <f t="shared" ref="DV41:DW41" si="64">COUNTIF(DV26:DV40, "W")</f>
        <v>0</v>
      </c>
      <c r="DW41" s="400">
        <f t="shared" si="64"/>
        <v>2</v>
      </c>
      <c r="DX41" s="550"/>
      <c r="DY41" s="586"/>
      <c r="DZ41" s="586"/>
      <c r="EA41" s="586"/>
      <c r="EB41" s="540"/>
      <c r="EC41" s="586"/>
      <c r="ED41" s="586"/>
      <c r="EE41" s="586"/>
      <c r="EF41" s="586"/>
      <c r="EG41" s="550"/>
      <c r="EH41" s="399">
        <f t="shared" ref="EH41:EI41" si="65">COUNTIF(EH26:EH40, "W")</f>
        <v>1</v>
      </c>
      <c r="EI41" s="400">
        <f t="shared" si="65"/>
        <v>2</v>
      </c>
      <c r="EJ41" s="550"/>
      <c r="EK41" s="586"/>
      <c r="EL41" s="586"/>
      <c r="EM41" s="586"/>
      <c r="EN41" s="540"/>
      <c r="EO41" s="586"/>
      <c r="EP41" s="586"/>
      <c r="EQ41" s="586"/>
      <c r="ER41" s="586"/>
      <c r="ES41" s="550"/>
      <c r="ET41" s="399">
        <f t="shared" ref="ET41:EU41" si="66">COUNTIF(ET26:ET40, "W")</f>
        <v>2</v>
      </c>
      <c r="EU41" s="400">
        <f t="shared" si="66"/>
        <v>0</v>
      </c>
      <c r="EV41" s="550"/>
      <c r="EW41" s="586"/>
      <c r="EX41" s="586"/>
      <c r="EY41" s="586"/>
      <c r="EZ41" s="540"/>
      <c r="FA41" s="586"/>
      <c r="FB41" s="586"/>
      <c r="FC41" s="586"/>
      <c r="FD41" s="586"/>
      <c r="FE41" s="550"/>
      <c r="FF41" s="399">
        <f t="shared" ref="FF41:FG41" si="67">COUNTIF(FF26:FF40, "W")</f>
        <v>2</v>
      </c>
      <c r="FG41" s="400">
        <f t="shared" si="67"/>
        <v>0</v>
      </c>
      <c r="FH41" s="550"/>
      <c r="FI41" s="586"/>
      <c r="FJ41" s="586"/>
      <c r="FK41" s="586"/>
      <c r="FL41" s="540"/>
      <c r="FM41" s="586"/>
      <c r="FN41" s="586"/>
      <c r="FO41" s="586"/>
      <c r="FP41" s="586"/>
      <c r="FQ41" s="550"/>
      <c r="FR41" s="399">
        <f t="shared" ref="FR41:FS41" si="68">COUNTIF(FR26:FR40, "W")</f>
        <v>0</v>
      </c>
      <c r="FS41" s="400">
        <f t="shared" si="68"/>
        <v>2</v>
      </c>
      <c r="FT41" s="550"/>
      <c r="FU41" s="586"/>
      <c r="FV41" s="586"/>
      <c r="FW41" s="586"/>
      <c r="FX41" s="540"/>
    </row>
    <row r="42">
      <c r="A42" s="109">
        <v>1.0</v>
      </c>
      <c r="B42" s="429">
        <v>28.0</v>
      </c>
      <c r="C42" s="555" t="str">
        <f>'Schedule | 1 Division'!E44</f>
        <v>FORZE</v>
      </c>
      <c r="D42" s="561">
        <f t="shared" ref="D42:E42" si="69">CL81</f>
        <v>2</v>
      </c>
      <c r="E42" s="561">
        <f t="shared" si="69"/>
        <v>0</v>
      </c>
      <c r="F42" s="555" t="str">
        <f>'Schedule | 1 Division'!I44</f>
        <v>CYBERHERO</v>
      </c>
      <c r="G42" s="562" t="str">
        <f t="shared" si="12"/>
        <v>FORZE</v>
      </c>
      <c r="H42" s="563" t="str">
        <f t="shared" si="13"/>
        <v/>
      </c>
      <c r="I42" s="563" t="str">
        <f t="shared" si="14"/>
        <v/>
      </c>
      <c r="J42" s="579" t="str">
        <f t="shared" si="15"/>
        <v>CYBERHERO</v>
      </c>
      <c r="K42" s="540"/>
      <c r="L42" s="540"/>
      <c r="M42" s="602"/>
      <c r="N42" s="602"/>
      <c r="O42" s="602"/>
      <c r="P42" s="602"/>
      <c r="Q42" s="602"/>
      <c r="R42" s="602"/>
      <c r="S42" s="602"/>
      <c r="T42" s="602"/>
      <c r="U42" s="602"/>
      <c r="V42" s="602"/>
      <c r="W42" s="602"/>
      <c r="X42" s="540"/>
      <c r="Y42" s="602"/>
      <c r="Z42" s="602"/>
      <c r="AA42" s="602"/>
      <c r="AB42" s="602"/>
      <c r="AC42" s="602"/>
      <c r="AD42" s="602"/>
      <c r="AE42" s="602"/>
      <c r="AF42" s="602"/>
      <c r="AG42" s="602"/>
      <c r="AH42" s="602"/>
      <c r="AI42" s="602"/>
      <c r="AJ42" s="540"/>
      <c r="AK42" s="602"/>
      <c r="AL42" s="602"/>
      <c r="AM42" s="602"/>
      <c r="AN42" s="602"/>
      <c r="AO42" s="602"/>
      <c r="AP42" s="602"/>
      <c r="AQ42" s="602"/>
      <c r="AR42" s="602"/>
      <c r="AS42" s="602"/>
      <c r="AT42" s="602"/>
      <c r="AU42" s="602"/>
      <c r="AV42" s="540"/>
      <c r="AW42" s="602"/>
      <c r="AX42" s="602"/>
      <c r="AY42" s="602"/>
      <c r="AZ42" s="602"/>
      <c r="BA42" s="602"/>
      <c r="BB42" s="602"/>
      <c r="BC42" s="602"/>
      <c r="BD42" s="602"/>
      <c r="BE42" s="602"/>
      <c r="BF42" s="602"/>
      <c r="BG42" s="602"/>
      <c r="BH42" s="540"/>
      <c r="BI42" s="602"/>
      <c r="BJ42" s="602"/>
      <c r="BK42" s="602"/>
      <c r="BL42" s="602"/>
      <c r="BM42" s="602"/>
      <c r="BN42" s="602"/>
      <c r="BO42" s="602"/>
      <c r="BP42" s="602"/>
      <c r="BQ42" s="602"/>
      <c r="BR42" s="602"/>
      <c r="BS42" s="602"/>
      <c r="BT42" s="540"/>
      <c r="BU42" s="602"/>
      <c r="BV42" s="602"/>
      <c r="BW42" s="602"/>
      <c r="BX42" s="602"/>
      <c r="BY42" s="602"/>
      <c r="BZ42" s="602"/>
      <c r="CA42" s="602"/>
      <c r="CB42" s="602"/>
      <c r="CC42" s="602"/>
      <c r="CD42" s="602"/>
      <c r="CE42" s="602"/>
      <c r="CF42" s="540"/>
      <c r="CG42" s="602"/>
      <c r="CH42" s="602"/>
      <c r="CI42" s="602"/>
      <c r="CJ42" s="602"/>
      <c r="CK42" s="602"/>
      <c r="CL42" s="602"/>
      <c r="CM42" s="602"/>
      <c r="CN42" s="602"/>
      <c r="CO42" s="602"/>
      <c r="CP42" s="602"/>
      <c r="CQ42" s="602"/>
      <c r="CR42" s="540"/>
      <c r="CS42" s="602"/>
      <c r="CT42" s="602"/>
      <c r="CU42" s="602"/>
      <c r="CV42" s="602"/>
      <c r="CW42" s="602"/>
      <c r="CX42" s="602"/>
      <c r="CY42" s="602"/>
      <c r="CZ42" s="602"/>
      <c r="DA42" s="602"/>
      <c r="DB42" s="602"/>
      <c r="DC42" s="602"/>
      <c r="DD42" s="540"/>
      <c r="DE42" s="602"/>
      <c r="DF42" s="602"/>
      <c r="DG42" s="602"/>
      <c r="DH42" s="602"/>
      <c r="DI42" s="602"/>
      <c r="DJ42" s="602"/>
      <c r="DK42" s="602"/>
      <c r="DL42" s="602"/>
      <c r="DM42" s="602"/>
      <c r="DN42" s="602"/>
      <c r="DO42" s="602"/>
      <c r="DP42" s="540"/>
      <c r="DQ42" s="602"/>
      <c r="DR42" s="602"/>
      <c r="DS42" s="602"/>
      <c r="DT42" s="602"/>
      <c r="DU42" s="602"/>
      <c r="DV42" s="602"/>
      <c r="DW42" s="602"/>
      <c r="DX42" s="602"/>
      <c r="DY42" s="602"/>
      <c r="DZ42" s="602"/>
      <c r="EA42" s="602"/>
      <c r="EB42" s="540"/>
      <c r="EC42" s="602"/>
      <c r="ED42" s="602"/>
      <c r="EE42" s="602"/>
      <c r="EF42" s="602"/>
      <c r="EG42" s="602"/>
      <c r="EH42" s="602"/>
      <c r="EI42" s="602"/>
      <c r="EJ42" s="602"/>
      <c r="EK42" s="602"/>
      <c r="EL42" s="602"/>
      <c r="EM42" s="602"/>
      <c r="EN42" s="540"/>
      <c r="EO42" s="602"/>
      <c r="EP42" s="602"/>
      <c r="EQ42" s="602"/>
      <c r="ER42" s="602"/>
      <c r="ES42" s="602"/>
      <c r="ET42" s="602"/>
      <c r="EU42" s="602"/>
      <c r="EV42" s="602"/>
      <c r="EW42" s="602"/>
      <c r="EX42" s="602"/>
      <c r="EY42" s="602"/>
      <c r="EZ42" s="540"/>
      <c r="FA42" s="602"/>
      <c r="FB42" s="602"/>
      <c r="FC42" s="602"/>
      <c r="FD42" s="602"/>
      <c r="FE42" s="602"/>
      <c r="FF42" s="602"/>
      <c r="FG42" s="602"/>
      <c r="FH42" s="602"/>
      <c r="FI42" s="602"/>
      <c r="FJ42" s="602"/>
      <c r="FK42" s="602"/>
      <c r="FL42" s="540"/>
      <c r="FM42" s="602"/>
      <c r="FN42" s="602"/>
      <c r="FO42" s="602"/>
      <c r="FP42" s="602"/>
      <c r="FQ42" s="602"/>
      <c r="FR42" s="602"/>
      <c r="FS42" s="602"/>
      <c r="FT42" s="602"/>
      <c r="FU42" s="602"/>
      <c r="FV42" s="602"/>
      <c r="FW42" s="602"/>
      <c r="FX42" s="540"/>
    </row>
    <row r="43">
      <c r="A43" s="14">
        <v>2.0</v>
      </c>
      <c r="B43" s="428">
        <v>29.0</v>
      </c>
      <c r="C43" s="603" t="str">
        <f>'Schedule | 1 Division'!K5</f>
        <v>Team Spirit</v>
      </c>
      <c r="D43" s="604">
        <f t="shared" ref="D43:E43" si="70">CX21</f>
        <v>2</v>
      </c>
      <c r="E43" s="604">
        <f t="shared" si="70"/>
        <v>0</v>
      </c>
      <c r="F43" s="603" t="str">
        <f>'Schedule | 1 Division'!O5</f>
        <v>Magic</v>
      </c>
      <c r="G43" s="556" t="str">
        <f t="shared" si="12"/>
        <v>Team Spirit</v>
      </c>
      <c r="H43" s="557" t="str">
        <f t="shared" si="13"/>
        <v/>
      </c>
      <c r="I43" s="557" t="str">
        <f t="shared" si="14"/>
        <v/>
      </c>
      <c r="J43" s="558" t="str">
        <f t="shared" si="15"/>
        <v>Magic</v>
      </c>
      <c r="K43" s="540"/>
      <c r="L43" s="540"/>
      <c r="M43" s="351" t="str">
        <f>'Schedule | 1 Division'!E7</f>
        <v>CYBERHERO</v>
      </c>
      <c r="N43" s="8"/>
      <c r="O43" s="8"/>
      <c r="P43" s="8"/>
      <c r="Q43" s="8"/>
      <c r="R43" s="351" t="str">
        <f>'Schedule | 1 Division'!J7</f>
        <v>Match 3</v>
      </c>
      <c r="S43" s="68"/>
      <c r="T43" s="401" t="str">
        <f>'Schedule | 1 Division'!I7</f>
        <v>Team Yandex</v>
      </c>
      <c r="U43" s="8"/>
      <c r="V43" s="8"/>
      <c r="W43" s="68"/>
      <c r="X43" s="594"/>
      <c r="Y43" s="351" t="str">
        <f>'Schedule | 1 Division'!E13</f>
        <v>Magic</v>
      </c>
      <c r="Z43" s="8"/>
      <c r="AA43" s="8"/>
      <c r="AB43" s="8"/>
      <c r="AC43" s="8"/>
      <c r="AD43" s="351" t="str">
        <f>'Schedule | 1 Division'!J13</f>
        <v>Match 7</v>
      </c>
      <c r="AE43" s="68"/>
      <c r="AF43" s="402" t="str">
        <f>'Schedule | 1 Division'!I13</f>
        <v>Verso Time</v>
      </c>
      <c r="AG43" s="8"/>
      <c r="AH43" s="8"/>
      <c r="AI43" s="68"/>
      <c r="AJ43" s="594"/>
      <c r="AK43" s="351" t="str">
        <f>'Schedule | 1 Division'!E19</f>
        <v>CYBERHERO</v>
      </c>
      <c r="AL43" s="8"/>
      <c r="AM43" s="8"/>
      <c r="AN43" s="8"/>
      <c r="AO43" s="8"/>
      <c r="AP43" s="351" t="str">
        <f>'Schedule | 1 Division'!J19</f>
        <v>Match 11</v>
      </c>
      <c r="AQ43" s="68"/>
      <c r="AR43" s="402" t="str">
        <f>'Schedule | 1 Division'!I19</f>
        <v>Aura Farmers</v>
      </c>
      <c r="AS43" s="8"/>
      <c r="AT43" s="8"/>
      <c r="AU43" s="68"/>
      <c r="AV43" s="594"/>
      <c r="AW43" s="351" t="str">
        <f>'Schedule | 1 Division'!E25</f>
        <v>CYBERHERO</v>
      </c>
      <c r="AX43" s="8"/>
      <c r="AY43" s="8"/>
      <c r="AZ43" s="8"/>
      <c r="BA43" s="8"/>
      <c r="BB43" s="351" t="str">
        <f>'Schedule | 1 Division'!J25</f>
        <v>Match 15</v>
      </c>
      <c r="BC43" s="68"/>
      <c r="BD43" s="402" t="str">
        <f>'Schedule | 1 Division'!I25</f>
        <v>Magic</v>
      </c>
      <c r="BE43" s="8"/>
      <c r="BF43" s="8"/>
      <c r="BG43" s="68"/>
      <c r="BH43" s="594"/>
      <c r="BI43" s="351" t="str">
        <f>'Schedule | 1 Division'!E31</f>
        <v>Aura Farmers</v>
      </c>
      <c r="BJ43" s="8"/>
      <c r="BK43" s="8"/>
      <c r="BL43" s="8"/>
      <c r="BM43" s="8"/>
      <c r="BN43" s="351" t="str">
        <f>'Schedule | 1 Division'!J31</f>
        <v>Match 19</v>
      </c>
      <c r="BO43" s="68"/>
      <c r="BP43" s="605" t="str">
        <f>'Schedule | 1 Division'!I31</f>
        <v>Virtus.pro</v>
      </c>
      <c r="BQ43" s="8"/>
      <c r="BR43" s="8"/>
      <c r="BS43" s="68"/>
      <c r="BT43" s="594"/>
      <c r="BU43" s="413" t="str">
        <f>'Schedule | 1 Division'!E37</f>
        <v>Virtus.pro</v>
      </c>
      <c r="BV43" s="8"/>
      <c r="BW43" s="8"/>
      <c r="BX43" s="8"/>
      <c r="BY43" s="8"/>
      <c r="BZ43" s="351" t="str">
        <f>'Schedule | 1 Division'!J37</f>
        <v>Match 23</v>
      </c>
      <c r="CA43" s="68"/>
      <c r="CB43" s="402" t="str">
        <f>'Schedule | 1 Division'!I37</f>
        <v>CYBERHERO</v>
      </c>
      <c r="CC43" s="8"/>
      <c r="CD43" s="8"/>
      <c r="CE43" s="68"/>
      <c r="CF43" s="594"/>
      <c r="CG43" s="413" t="str">
        <f>'Schedule | 1 Division'!E43</f>
        <v>Virtus.pro</v>
      </c>
      <c r="CH43" s="8"/>
      <c r="CI43" s="8"/>
      <c r="CJ43" s="8"/>
      <c r="CK43" s="8"/>
      <c r="CL43" s="351" t="str">
        <f>'Schedule | 1 Division'!J43</f>
        <v>Match 27</v>
      </c>
      <c r="CM43" s="68"/>
      <c r="CN43" s="402" t="str">
        <f>'Schedule | 1 Division'!I43</f>
        <v>Team Spirit</v>
      </c>
      <c r="CO43" s="8"/>
      <c r="CP43" s="8"/>
      <c r="CQ43" s="68"/>
      <c r="CR43" s="594"/>
      <c r="CS43" s="351" t="str">
        <f>'Schedule | 1 Division'!K7</f>
        <v>Verso Time</v>
      </c>
      <c r="CT43" s="8"/>
      <c r="CU43" s="8"/>
      <c r="CV43" s="8"/>
      <c r="CW43" s="8"/>
      <c r="CX43" s="351" t="str">
        <f>'Schedule | 1 Division'!P7</f>
        <v>Match 31</v>
      </c>
      <c r="CY43" s="68"/>
      <c r="CZ43" s="402" t="str">
        <f>'Schedule | 1 Division'!O7</f>
        <v>CYBERHERO</v>
      </c>
      <c r="DA43" s="8"/>
      <c r="DB43" s="8"/>
      <c r="DC43" s="68"/>
      <c r="DD43" s="594"/>
      <c r="DE43" s="351" t="str">
        <f>'Schedule | 1 Division'!K13</f>
        <v>Verso Time</v>
      </c>
      <c r="DF43" s="8"/>
      <c r="DG43" s="8"/>
      <c r="DH43" s="8"/>
      <c r="DI43" s="8"/>
      <c r="DJ43" s="351" t="str">
        <f>'Schedule | 1 Division'!P13</f>
        <v>Match 35</v>
      </c>
      <c r="DK43" s="68"/>
      <c r="DL43" s="402" t="str">
        <f>'Schedule | 1 Division'!O13</f>
        <v>Team Spirit</v>
      </c>
      <c r="DM43" s="8"/>
      <c r="DN43" s="8"/>
      <c r="DO43" s="68"/>
      <c r="DP43" s="594"/>
      <c r="DQ43" s="351" t="str">
        <f>'Schedule | 1 Division'!K19</f>
        <v>FORZE</v>
      </c>
      <c r="DR43" s="8"/>
      <c r="DS43" s="8"/>
      <c r="DT43" s="8"/>
      <c r="DU43" s="8"/>
      <c r="DV43" s="351" t="str">
        <f>'Schedule | 1 Division'!P19</f>
        <v>Match 39</v>
      </c>
      <c r="DW43" s="68"/>
      <c r="DX43" s="605" t="str">
        <f>'Schedule | 1 Division'!O19</f>
        <v>Virtus.pro</v>
      </c>
      <c r="DY43" s="8"/>
      <c r="DZ43" s="8"/>
      <c r="EA43" s="68"/>
      <c r="EB43" s="594"/>
      <c r="EC43" s="351" t="str">
        <f>'Schedule | 1 Division'!K25</f>
        <v>Magic</v>
      </c>
      <c r="ED43" s="8"/>
      <c r="EE43" s="8"/>
      <c r="EF43" s="8"/>
      <c r="EG43" s="8"/>
      <c r="EH43" s="351" t="str">
        <f>'Schedule | 1 Division'!P25</f>
        <v>Match 43</v>
      </c>
      <c r="EI43" s="68"/>
      <c r="EJ43" s="402" t="str">
        <f>'Schedule | 1 Division'!O25</f>
        <v>CYBERHERO</v>
      </c>
      <c r="EK43" s="8"/>
      <c r="EL43" s="8"/>
      <c r="EM43" s="68"/>
      <c r="EN43" s="594"/>
      <c r="EO43" s="351" t="str">
        <f>'Schedule | 1 Division'!K31</f>
        <v>CYBERHERO</v>
      </c>
      <c r="EP43" s="8"/>
      <c r="EQ43" s="8"/>
      <c r="ER43" s="8"/>
      <c r="ES43" s="8"/>
      <c r="ET43" s="351" t="str">
        <f>'Schedule | 1 Division'!P31</f>
        <v>Match 47</v>
      </c>
      <c r="EU43" s="68"/>
      <c r="EV43" s="605" t="str">
        <f>'Schedule | 1 Division'!O31</f>
        <v>Virtus.pro</v>
      </c>
      <c r="EW43" s="8"/>
      <c r="EX43" s="8"/>
      <c r="EY43" s="68"/>
      <c r="EZ43" s="594"/>
      <c r="FA43" s="351" t="str">
        <f>'Schedule | 1 Division'!K37</f>
        <v>Team Spirit</v>
      </c>
      <c r="FB43" s="8"/>
      <c r="FC43" s="8"/>
      <c r="FD43" s="8"/>
      <c r="FE43" s="8"/>
      <c r="FF43" s="351" t="str">
        <f>'Schedule | 1 Division'!P37</f>
        <v>Match 51</v>
      </c>
      <c r="FG43" s="68"/>
      <c r="FH43" s="402" t="str">
        <f>'Schedule | 1 Division'!O37</f>
        <v>Aura Farmers</v>
      </c>
      <c r="FI43" s="8"/>
      <c r="FJ43" s="8"/>
      <c r="FK43" s="68"/>
      <c r="FL43" s="594"/>
      <c r="FM43" s="351" t="str">
        <f>'Schedule | 1 Division'!K43</f>
        <v>Magic</v>
      </c>
      <c r="FN43" s="8"/>
      <c r="FO43" s="8"/>
      <c r="FP43" s="8"/>
      <c r="FQ43" s="8"/>
      <c r="FR43" s="351" t="str">
        <f>'Schedule | 1 Division'!P43</f>
        <v>Match 55</v>
      </c>
      <c r="FS43" s="68"/>
      <c r="FT43" s="402" t="str">
        <f>'Schedule | 1 Division'!O43</f>
        <v>Aura Farmers</v>
      </c>
      <c r="FU43" s="8"/>
      <c r="FV43" s="8"/>
      <c r="FW43" s="68"/>
      <c r="FX43" s="594"/>
    </row>
    <row r="44">
      <c r="A44" s="109">
        <v>2.0</v>
      </c>
      <c r="B44" s="429">
        <v>30.0</v>
      </c>
      <c r="C44" s="555" t="str">
        <f>'Schedule | 1 Division'!K6</f>
        <v>Team Yandex</v>
      </c>
      <c r="D44" s="561">
        <f t="shared" ref="D44:E44" si="71">CX41</f>
        <v>2</v>
      </c>
      <c r="E44" s="561">
        <f t="shared" si="71"/>
        <v>1</v>
      </c>
      <c r="F44" s="555" t="str">
        <f>'Schedule | 1 Division'!O6</f>
        <v>FORZE</v>
      </c>
      <c r="G44" s="562" t="str">
        <f t="shared" si="12"/>
        <v/>
      </c>
      <c r="H44" s="563" t="str">
        <f t="shared" si="13"/>
        <v>Team Yandex</v>
      </c>
      <c r="I44" s="563" t="str">
        <f t="shared" si="14"/>
        <v>FORZE</v>
      </c>
      <c r="J44" s="579" t="str">
        <f t="shared" si="15"/>
        <v/>
      </c>
      <c r="K44" s="540"/>
      <c r="L44" s="540"/>
      <c r="M44" s="61"/>
      <c r="N44" s="22"/>
      <c r="O44" s="22"/>
      <c r="P44" s="22"/>
      <c r="Q44" s="22"/>
      <c r="R44" s="61"/>
      <c r="S44" s="93"/>
      <c r="T44" s="22"/>
      <c r="U44" s="22"/>
      <c r="V44" s="22"/>
      <c r="W44" s="93"/>
      <c r="X44" s="594"/>
      <c r="Y44" s="61"/>
      <c r="Z44" s="22"/>
      <c r="AA44" s="22"/>
      <c r="AB44" s="22"/>
      <c r="AC44" s="22"/>
      <c r="AD44" s="61"/>
      <c r="AE44" s="93"/>
      <c r="AF44" s="22"/>
      <c r="AG44" s="22"/>
      <c r="AH44" s="22"/>
      <c r="AI44" s="93"/>
      <c r="AJ44" s="594"/>
      <c r="AK44" s="61"/>
      <c r="AL44" s="22"/>
      <c r="AM44" s="22"/>
      <c r="AN44" s="22"/>
      <c r="AO44" s="22"/>
      <c r="AP44" s="61"/>
      <c r="AQ44" s="93"/>
      <c r="AR44" s="22"/>
      <c r="AS44" s="22"/>
      <c r="AT44" s="22"/>
      <c r="AU44" s="93"/>
      <c r="AV44" s="594"/>
      <c r="AW44" s="61"/>
      <c r="AX44" s="22"/>
      <c r="AY44" s="22"/>
      <c r="AZ44" s="22"/>
      <c r="BA44" s="22"/>
      <c r="BB44" s="61"/>
      <c r="BC44" s="93"/>
      <c r="BD44" s="22"/>
      <c r="BE44" s="22"/>
      <c r="BF44" s="22"/>
      <c r="BG44" s="93"/>
      <c r="BH44" s="594"/>
      <c r="BI44" s="61"/>
      <c r="BJ44" s="22"/>
      <c r="BK44" s="22"/>
      <c r="BL44" s="22"/>
      <c r="BM44" s="22"/>
      <c r="BN44" s="61"/>
      <c r="BO44" s="93"/>
      <c r="BP44" s="22"/>
      <c r="BQ44" s="22"/>
      <c r="BR44" s="22"/>
      <c r="BS44" s="93"/>
      <c r="BT44" s="594"/>
      <c r="BU44" s="61"/>
      <c r="BV44" s="22"/>
      <c r="BW44" s="22"/>
      <c r="BX44" s="22"/>
      <c r="BY44" s="22"/>
      <c r="BZ44" s="61"/>
      <c r="CA44" s="93"/>
      <c r="CB44" s="22"/>
      <c r="CC44" s="22"/>
      <c r="CD44" s="22"/>
      <c r="CE44" s="93"/>
      <c r="CF44" s="594"/>
      <c r="CG44" s="61"/>
      <c r="CH44" s="22"/>
      <c r="CI44" s="22"/>
      <c r="CJ44" s="22"/>
      <c r="CK44" s="22"/>
      <c r="CL44" s="61"/>
      <c r="CM44" s="93"/>
      <c r="CN44" s="22"/>
      <c r="CO44" s="22"/>
      <c r="CP44" s="22"/>
      <c r="CQ44" s="93"/>
      <c r="CR44" s="594"/>
      <c r="CS44" s="61"/>
      <c r="CT44" s="22"/>
      <c r="CU44" s="22"/>
      <c r="CV44" s="22"/>
      <c r="CW44" s="22"/>
      <c r="CX44" s="61"/>
      <c r="CY44" s="93"/>
      <c r="CZ44" s="22"/>
      <c r="DA44" s="22"/>
      <c r="DB44" s="22"/>
      <c r="DC44" s="93"/>
      <c r="DD44" s="594"/>
      <c r="DE44" s="61"/>
      <c r="DF44" s="22"/>
      <c r="DG44" s="22"/>
      <c r="DH44" s="22"/>
      <c r="DI44" s="22"/>
      <c r="DJ44" s="61"/>
      <c r="DK44" s="93"/>
      <c r="DL44" s="22"/>
      <c r="DM44" s="22"/>
      <c r="DN44" s="22"/>
      <c r="DO44" s="93"/>
      <c r="DP44" s="594"/>
      <c r="DQ44" s="61"/>
      <c r="DR44" s="22"/>
      <c r="DS44" s="22"/>
      <c r="DT44" s="22"/>
      <c r="DU44" s="22"/>
      <c r="DV44" s="61"/>
      <c r="DW44" s="93"/>
      <c r="DX44" s="22"/>
      <c r="DY44" s="22"/>
      <c r="DZ44" s="22"/>
      <c r="EA44" s="93"/>
      <c r="EB44" s="594"/>
      <c r="EC44" s="61"/>
      <c r="ED44" s="22"/>
      <c r="EE44" s="22"/>
      <c r="EF44" s="22"/>
      <c r="EG44" s="22"/>
      <c r="EH44" s="61"/>
      <c r="EI44" s="93"/>
      <c r="EJ44" s="22"/>
      <c r="EK44" s="22"/>
      <c r="EL44" s="22"/>
      <c r="EM44" s="93"/>
      <c r="EN44" s="594"/>
      <c r="EO44" s="61"/>
      <c r="EP44" s="22"/>
      <c r="EQ44" s="22"/>
      <c r="ER44" s="22"/>
      <c r="ES44" s="22"/>
      <c r="ET44" s="61"/>
      <c r="EU44" s="93"/>
      <c r="EV44" s="22"/>
      <c r="EW44" s="22"/>
      <c r="EX44" s="22"/>
      <c r="EY44" s="93"/>
      <c r="EZ44" s="594"/>
      <c r="FA44" s="61"/>
      <c r="FB44" s="22"/>
      <c r="FC44" s="22"/>
      <c r="FD44" s="22"/>
      <c r="FE44" s="22"/>
      <c r="FF44" s="61"/>
      <c r="FG44" s="93"/>
      <c r="FH44" s="22"/>
      <c r="FI44" s="22"/>
      <c r="FJ44" s="22"/>
      <c r="FK44" s="93"/>
      <c r="FL44" s="594"/>
      <c r="FM44" s="61"/>
      <c r="FN44" s="22"/>
      <c r="FO44" s="22"/>
      <c r="FP44" s="22"/>
      <c r="FQ44" s="22"/>
      <c r="FR44" s="61"/>
      <c r="FS44" s="93"/>
      <c r="FT44" s="22"/>
      <c r="FU44" s="22"/>
      <c r="FV44" s="22"/>
      <c r="FW44" s="93"/>
      <c r="FX44" s="594"/>
    </row>
    <row r="45">
      <c r="A45" s="109">
        <v>2.0</v>
      </c>
      <c r="B45" s="429">
        <v>31.0</v>
      </c>
      <c r="C45" s="555" t="str">
        <f>'Schedule | 1 Division'!K7</f>
        <v>Verso Time</v>
      </c>
      <c r="D45" s="561">
        <f t="shared" ref="D45:E45" si="72">CX61</f>
        <v>2</v>
      </c>
      <c r="E45" s="561">
        <f t="shared" si="72"/>
        <v>0</v>
      </c>
      <c r="F45" s="555" t="str">
        <f>'Schedule | 1 Division'!O7</f>
        <v>CYBERHERO</v>
      </c>
      <c r="G45" s="562" t="str">
        <f t="shared" si="12"/>
        <v>Verso Time</v>
      </c>
      <c r="H45" s="563" t="str">
        <f t="shared" si="13"/>
        <v/>
      </c>
      <c r="I45" s="563" t="str">
        <f t="shared" si="14"/>
        <v/>
      </c>
      <c r="J45" s="579" t="str">
        <f t="shared" si="15"/>
        <v>CYBERHERO</v>
      </c>
      <c r="K45" s="540"/>
      <c r="L45" s="540"/>
      <c r="M45" s="356" t="s">
        <v>307</v>
      </c>
      <c r="N45" s="357" t="s">
        <v>308</v>
      </c>
      <c r="O45" s="358" t="s">
        <v>309</v>
      </c>
      <c r="P45" s="358" t="s">
        <v>310</v>
      </c>
      <c r="Q45" s="359" t="s">
        <v>311</v>
      </c>
      <c r="R45" s="360" t="s">
        <v>259</v>
      </c>
      <c r="S45" s="100"/>
      <c r="T45" s="361" t="s">
        <v>311</v>
      </c>
      <c r="U45" s="358" t="s">
        <v>312</v>
      </c>
      <c r="V45" s="358" t="s">
        <v>313</v>
      </c>
      <c r="W45" s="362" t="s">
        <v>314</v>
      </c>
      <c r="X45" s="594"/>
      <c r="Y45" s="356" t="s">
        <v>307</v>
      </c>
      <c r="Z45" s="365" t="s">
        <v>308</v>
      </c>
      <c r="AA45" s="363" t="s">
        <v>309</v>
      </c>
      <c r="AB45" s="363" t="s">
        <v>310</v>
      </c>
      <c r="AC45" s="366" t="s">
        <v>311</v>
      </c>
      <c r="AD45" s="360" t="s">
        <v>259</v>
      </c>
      <c r="AE45" s="100"/>
      <c r="AF45" s="360" t="s">
        <v>311</v>
      </c>
      <c r="AG45" s="363" t="s">
        <v>312</v>
      </c>
      <c r="AH45" s="363" t="s">
        <v>313</v>
      </c>
      <c r="AI45" s="364" t="s">
        <v>314</v>
      </c>
      <c r="AJ45" s="594"/>
      <c r="AK45" s="356" t="s">
        <v>307</v>
      </c>
      <c r="AL45" s="365" t="s">
        <v>308</v>
      </c>
      <c r="AM45" s="363" t="s">
        <v>309</v>
      </c>
      <c r="AN45" s="363" t="s">
        <v>310</v>
      </c>
      <c r="AO45" s="366" t="s">
        <v>311</v>
      </c>
      <c r="AP45" s="360" t="s">
        <v>259</v>
      </c>
      <c r="AQ45" s="100"/>
      <c r="AR45" s="360" t="s">
        <v>311</v>
      </c>
      <c r="AS45" s="363" t="s">
        <v>312</v>
      </c>
      <c r="AT45" s="363" t="s">
        <v>313</v>
      </c>
      <c r="AU45" s="364" t="s">
        <v>314</v>
      </c>
      <c r="AV45" s="594"/>
      <c r="AW45" s="356" t="s">
        <v>307</v>
      </c>
      <c r="AX45" s="365" t="s">
        <v>308</v>
      </c>
      <c r="AY45" s="363" t="s">
        <v>309</v>
      </c>
      <c r="AZ45" s="363" t="s">
        <v>310</v>
      </c>
      <c r="BA45" s="366" t="s">
        <v>311</v>
      </c>
      <c r="BB45" s="360" t="s">
        <v>259</v>
      </c>
      <c r="BC45" s="100"/>
      <c r="BD45" s="360" t="s">
        <v>311</v>
      </c>
      <c r="BE45" s="363" t="s">
        <v>312</v>
      </c>
      <c r="BF45" s="363" t="s">
        <v>313</v>
      </c>
      <c r="BG45" s="364" t="s">
        <v>314</v>
      </c>
      <c r="BH45" s="594"/>
      <c r="BI45" s="356" t="s">
        <v>307</v>
      </c>
      <c r="BJ45" s="365" t="s">
        <v>308</v>
      </c>
      <c r="BK45" s="363" t="s">
        <v>309</v>
      </c>
      <c r="BL45" s="363" t="s">
        <v>310</v>
      </c>
      <c r="BM45" s="366" t="s">
        <v>311</v>
      </c>
      <c r="BN45" s="360" t="s">
        <v>259</v>
      </c>
      <c r="BO45" s="100"/>
      <c r="BP45" s="360" t="s">
        <v>311</v>
      </c>
      <c r="BQ45" s="363" t="s">
        <v>312</v>
      </c>
      <c r="BR45" s="363" t="s">
        <v>313</v>
      </c>
      <c r="BS45" s="364" t="s">
        <v>314</v>
      </c>
      <c r="BT45" s="594"/>
      <c r="BU45" s="356" t="s">
        <v>307</v>
      </c>
      <c r="BV45" s="365" t="s">
        <v>308</v>
      </c>
      <c r="BW45" s="363" t="s">
        <v>309</v>
      </c>
      <c r="BX45" s="363" t="s">
        <v>310</v>
      </c>
      <c r="BY45" s="366" t="s">
        <v>311</v>
      </c>
      <c r="BZ45" s="360" t="s">
        <v>259</v>
      </c>
      <c r="CA45" s="100"/>
      <c r="CB45" s="360" t="s">
        <v>311</v>
      </c>
      <c r="CC45" s="363" t="s">
        <v>312</v>
      </c>
      <c r="CD45" s="363" t="s">
        <v>313</v>
      </c>
      <c r="CE45" s="364" t="s">
        <v>314</v>
      </c>
      <c r="CF45" s="594"/>
      <c r="CG45" s="356" t="s">
        <v>307</v>
      </c>
      <c r="CH45" s="365" t="s">
        <v>308</v>
      </c>
      <c r="CI45" s="363" t="s">
        <v>309</v>
      </c>
      <c r="CJ45" s="363" t="s">
        <v>310</v>
      </c>
      <c r="CK45" s="366" t="s">
        <v>311</v>
      </c>
      <c r="CL45" s="360" t="s">
        <v>259</v>
      </c>
      <c r="CM45" s="100"/>
      <c r="CN45" s="360" t="s">
        <v>311</v>
      </c>
      <c r="CO45" s="363" t="s">
        <v>312</v>
      </c>
      <c r="CP45" s="363" t="s">
        <v>313</v>
      </c>
      <c r="CQ45" s="364" t="s">
        <v>314</v>
      </c>
      <c r="CR45" s="594"/>
      <c r="CS45" s="356" t="s">
        <v>307</v>
      </c>
      <c r="CT45" s="365" t="s">
        <v>308</v>
      </c>
      <c r="CU45" s="363" t="s">
        <v>309</v>
      </c>
      <c r="CV45" s="363" t="s">
        <v>310</v>
      </c>
      <c r="CW45" s="366" t="s">
        <v>311</v>
      </c>
      <c r="CX45" s="360" t="s">
        <v>259</v>
      </c>
      <c r="CY45" s="100"/>
      <c r="CZ45" s="360" t="s">
        <v>311</v>
      </c>
      <c r="DA45" s="363" t="s">
        <v>312</v>
      </c>
      <c r="DB45" s="363" t="s">
        <v>313</v>
      </c>
      <c r="DC45" s="364" t="s">
        <v>314</v>
      </c>
      <c r="DD45" s="594"/>
      <c r="DE45" s="356" t="s">
        <v>307</v>
      </c>
      <c r="DF45" s="365" t="s">
        <v>308</v>
      </c>
      <c r="DG45" s="363" t="s">
        <v>309</v>
      </c>
      <c r="DH45" s="363" t="s">
        <v>310</v>
      </c>
      <c r="DI45" s="366" t="s">
        <v>311</v>
      </c>
      <c r="DJ45" s="360" t="s">
        <v>259</v>
      </c>
      <c r="DK45" s="100"/>
      <c r="DL45" s="360" t="s">
        <v>311</v>
      </c>
      <c r="DM45" s="363" t="s">
        <v>312</v>
      </c>
      <c r="DN45" s="363" t="s">
        <v>313</v>
      </c>
      <c r="DO45" s="364" t="s">
        <v>314</v>
      </c>
      <c r="DP45" s="594"/>
      <c r="DQ45" s="356" t="s">
        <v>307</v>
      </c>
      <c r="DR45" s="365" t="s">
        <v>308</v>
      </c>
      <c r="DS45" s="363" t="s">
        <v>309</v>
      </c>
      <c r="DT45" s="363" t="s">
        <v>310</v>
      </c>
      <c r="DU45" s="366" t="s">
        <v>311</v>
      </c>
      <c r="DV45" s="360" t="s">
        <v>259</v>
      </c>
      <c r="DW45" s="100"/>
      <c r="DX45" s="360" t="s">
        <v>311</v>
      </c>
      <c r="DY45" s="363" t="s">
        <v>312</v>
      </c>
      <c r="DZ45" s="363" t="s">
        <v>313</v>
      </c>
      <c r="EA45" s="364" t="s">
        <v>314</v>
      </c>
      <c r="EB45" s="594"/>
      <c r="EC45" s="356" t="s">
        <v>307</v>
      </c>
      <c r="ED45" s="365" t="s">
        <v>308</v>
      </c>
      <c r="EE45" s="363" t="s">
        <v>309</v>
      </c>
      <c r="EF45" s="363" t="s">
        <v>310</v>
      </c>
      <c r="EG45" s="366" t="s">
        <v>311</v>
      </c>
      <c r="EH45" s="360" t="s">
        <v>259</v>
      </c>
      <c r="EI45" s="100"/>
      <c r="EJ45" s="360" t="s">
        <v>311</v>
      </c>
      <c r="EK45" s="363" t="s">
        <v>312</v>
      </c>
      <c r="EL45" s="363" t="s">
        <v>313</v>
      </c>
      <c r="EM45" s="364" t="s">
        <v>314</v>
      </c>
      <c r="EN45" s="594"/>
      <c r="EO45" s="356" t="s">
        <v>307</v>
      </c>
      <c r="EP45" s="365" t="s">
        <v>308</v>
      </c>
      <c r="EQ45" s="363" t="s">
        <v>309</v>
      </c>
      <c r="ER45" s="363" t="s">
        <v>310</v>
      </c>
      <c r="ES45" s="366" t="s">
        <v>311</v>
      </c>
      <c r="ET45" s="360" t="s">
        <v>259</v>
      </c>
      <c r="EU45" s="100"/>
      <c r="EV45" s="360" t="s">
        <v>311</v>
      </c>
      <c r="EW45" s="363" t="s">
        <v>312</v>
      </c>
      <c r="EX45" s="363" t="s">
        <v>313</v>
      </c>
      <c r="EY45" s="364" t="s">
        <v>314</v>
      </c>
      <c r="EZ45" s="594"/>
      <c r="FA45" s="356" t="s">
        <v>307</v>
      </c>
      <c r="FB45" s="365" t="s">
        <v>308</v>
      </c>
      <c r="FC45" s="363" t="s">
        <v>309</v>
      </c>
      <c r="FD45" s="363" t="s">
        <v>310</v>
      </c>
      <c r="FE45" s="366" t="s">
        <v>311</v>
      </c>
      <c r="FF45" s="360" t="s">
        <v>259</v>
      </c>
      <c r="FG45" s="100"/>
      <c r="FH45" s="360" t="s">
        <v>311</v>
      </c>
      <c r="FI45" s="363" t="s">
        <v>312</v>
      </c>
      <c r="FJ45" s="363" t="s">
        <v>313</v>
      </c>
      <c r="FK45" s="364" t="s">
        <v>314</v>
      </c>
      <c r="FL45" s="594"/>
      <c r="FM45" s="356" t="s">
        <v>307</v>
      </c>
      <c r="FN45" s="365" t="s">
        <v>308</v>
      </c>
      <c r="FO45" s="363" t="s">
        <v>309</v>
      </c>
      <c r="FP45" s="363" t="s">
        <v>310</v>
      </c>
      <c r="FQ45" s="366" t="s">
        <v>311</v>
      </c>
      <c r="FR45" s="360" t="s">
        <v>259</v>
      </c>
      <c r="FS45" s="100"/>
      <c r="FT45" s="360" t="s">
        <v>311</v>
      </c>
      <c r="FU45" s="363" t="s">
        <v>312</v>
      </c>
      <c r="FV45" s="363" t="s">
        <v>313</v>
      </c>
      <c r="FW45" s="364" t="s">
        <v>314</v>
      </c>
      <c r="FX45" s="594"/>
    </row>
    <row r="46">
      <c r="A46" s="109">
        <v>2.0</v>
      </c>
      <c r="B46" s="429">
        <v>32.0</v>
      </c>
      <c r="C46" s="553" t="str">
        <f>'Schedule | 1 Division'!K8</f>
        <v>Virtus.pro</v>
      </c>
      <c r="D46" s="561">
        <f t="shared" ref="D46:E46" si="73">CX81</f>
        <v>2</v>
      </c>
      <c r="E46" s="561">
        <f t="shared" si="73"/>
        <v>0</v>
      </c>
      <c r="F46" s="555" t="str">
        <f>'Schedule | 1 Division'!O8</f>
        <v>Aura Farmers</v>
      </c>
      <c r="G46" s="562" t="str">
        <f t="shared" si="12"/>
        <v>Virtus.pro</v>
      </c>
      <c r="H46" s="563" t="str">
        <f t="shared" si="13"/>
        <v/>
      </c>
      <c r="I46" s="563" t="str">
        <f t="shared" si="14"/>
        <v/>
      </c>
      <c r="J46" s="579" t="str">
        <f t="shared" si="15"/>
        <v>Aura Farmers</v>
      </c>
      <c r="K46" s="540"/>
      <c r="L46" s="540"/>
      <c r="M46" s="29">
        <v>1.0</v>
      </c>
      <c r="N46" s="169" t="s">
        <v>369</v>
      </c>
      <c r="O46" s="368" t="s">
        <v>729</v>
      </c>
      <c r="P46" s="14" t="s">
        <v>377</v>
      </c>
      <c r="Q46" s="171" t="s">
        <v>318</v>
      </c>
      <c r="R46" s="369" t="s">
        <v>319</v>
      </c>
      <c r="S46" s="369" t="s">
        <v>320</v>
      </c>
      <c r="T46" s="169" t="s">
        <v>321</v>
      </c>
      <c r="U46" s="14" t="s">
        <v>342</v>
      </c>
      <c r="V46" s="368" t="s">
        <v>339</v>
      </c>
      <c r="W46" s="171" t="s">
        <v>331</v>
      </c>
      <c r="X46" s="540"/>
      <c r="Y46" s="371">
        <v>1.0</v>
      </c>
      <c r="Z46" s="169" t="s">
        <v>324</v>
      </c>
      <c r="AA46" s="234" t="s">
        <v>462</v>
      </c>
      <c r="AB46" s="14" t="s">
        <v>328</v>
      </c>
      <c r="AC46" s="171" t="s">
        <v>318</v>
      </c>
      <c r="AD46" s="369" t="s">
        <v>320</v>
      </c>
      <c r="AE46" s="370" t="s">
        <v>319</v>
      </c>
      <c r="AF46" s="109" t="s">
        <v>321</v>
      </c>
      <c r="AG46" s="14" t="s">
        <v>317</v>
      </c>
      <c r="AH46" s="234" t="s">
        <v>450</v>
      </c>
      <c r="AI46" s="171" t="s">
        <v>369</v>
      </c>
      <c r="AJ46" s="540"/>
      <c r="AK46" s="371">
        <v>1.0</v>
      </c>
      <c r="AL46" s="169" t="s">
        <v>337</v>
      </c>
      <c r="AM46" s="234" t="s">
        <v>556</v>
      </c>
      <c r="AN46" s="14" t="s">
        <v>322</v>
      </c>
      <c r="AO46" s="171" t="s">
        <v>318</v>
      </c>
      <c r="AP46" s="369" t="s">
        <v>319</v>
      </c>
      <c r="AQ46" s="370" t="s">
        <v>320</v>
      </c>
      <c r="AR46" s="109" t="s">
        <v>321</v>
      </c>
      <c r="AS46" s="14" t="s">
        <v>369</v>
      </c>
      <c r="AT46" s="234" t="s">
        <v>437</v>
      </c>
      <c r="AU46" s="171" t="s">
        <v>327</v>
      </c>
      <c r="AV46" s="540"/>
      <c r="AW46" s="371">
        <v>1.0</v>
      </c>
      <c r="AX46" s="169" t="s">
        <v>315</v>
      </c>
      <c r="AY46" s="234" t="s">
        <v>556</v>
      </c>
      <c r="AZ46" s="14" t="s">
        <v>322</v>
      </c>
      <c r="BA46" s="171" t="s">
        <v>318</v>
      </c>
      <c r="BB46" s="369" t="s">
        <v>319</v>
      </c>
      <c r="BC46" s="370" t="s">
        <v>320</v>
      </c>
      <c r="BD46" s="109" t="s">
        <v>321</v>
      </c>
      <c r="BE46" s="14" t="s">
        <v>396</v>
      </c>
      <c r="BF46" s="234" t="s">
        <v>464</v>
      </c>
      <c r="BG46" s="171" t="s">
        <v>324</v>
      </c>
      <c r="BH46" s="540"/>
      <c r="BI46" s="371">
        <v>1.0</v>
      </c>
      <c r="BJ46" s="169" t="s">
        <v>328</v>
      </c>
      <c r="BK46" s="242" t="s">
        <v>437</v>
      </c>
      <c r="BL46" s="14" t="s">
        <v>418</v>
      </c>
      <c r="BM46" s="171" t="s">
        <v>318</v>
      </c>
      <c r="BN46" s="369" t="s">
        <v>319</v>
      </c>
      <c r="BO46" s="370" t="s">
        <v>320</v>
      </c>
      <c r="BP46" s="109" t="s">
        <v>321</v>
      </c>
      <c r="BQ46" s="109" t="s">
        <v>401</v>
      </c>
      <c r="BR46" s="234" t="s">
        <v>393</v>
      </c>
      <c r="BS46" s="171" t="s">
        <v>324</v>
      </c>
      <c r="BT46" s="540"/>
      <c r="BU46" s="371">
        <v>1.0</v>
      </c>
      <c r="BV46" s="169" t="s">
        <v>327</v>
      </c>
      <c r="BW46" s="234" t="s">
        <v>365</v>
      </c>
      <c r="BX46" s="14" t="s">
        <v>315</v>
      </c>
      <c r="BY46" s="171" t="s">
        <v>318</v>
      </c>
      <c r="BZ46" s="369" t="s">
        <v>319</v>
      </c>
      <c r="CA46" s="370" t="s">
        <v>320</v>
      </c>
      <c r="CB46" s="109" t="s">
        <v>321</v>
      </c>
      <c r="CC46" s="14" t="s">
        <v>361</v>
      </c>
      <c r="CD46" s="242" t="s">
        <v>556</v>
      </c>
      <c r="CE46" s="171" t="s">
        <v>342</v>
      </c>
      <c r="CF46" s="540"/>
      <c r="CG46" s="371">
        <v>1.0</v>
      </c>
      <c r="CH46" s="169" t="s">
        <v>327</v>
      </c>
      <c r="CI46" s="234" t="s">
        <v>393</v>
      </c>
      <c r="CJ46" s="14" t="s">
        <v>328</v>
      </c>
      <c r="CK46" s="171" t="s">
        <v>318</v>
      </c>
      <c r="CL46" s="369" t="s">
        <v>320</v>
      </c>
      <c r="CM46" s="370" t="s">
        <v>319</v>
      </c>
      <c r="CN46" s="109" t="s">
        <v>321</v>
      </c>
      <c r="CO46" s="14" t="s">
        <v>325</v>
      </c>
      <c r="CP46" s="368" t="s">
        <v>356</v>
      </c>
      <c r="CQ46" s="171" t="s">
        <v>342</v>
      </c>
      <c r="CR46" s="540"/>
      <c r="CS46" s="371">
        <v>1.0</v>
      </c>
      <c r="CT46" s="169" t="s">
        <v>331</v>
      </c>
      <c r="CU46" s="234" t="s">
        <v>449</v>
      </c>
      <c r="CV46" s="14" t="s">
        <v>324</v>
      </c>
      <c r="CW46" s="171" t="s">
        <v>318</v>
      </c>
      <c r="CX46" s="369" t="s">
        <v>319</v>
      </c>
      <c r="CY46" s="370" t="s">
        <v>320</v>
      </c>
      <c r="CZ46" s="109" t="s">
        <v>321</v>
      </c>
      <c r="DA46" s="14" t="s">
        <v>361</v>
      </c>
      <c r="DB46" s="242" t="s">
        <v>556</v>
      </c>
      <c r="DC46" s="171" t="s">
        <v>327</v>
      </c>
      <c r="DD46" s="540"/>
      <c r="DE46" s="371">
        <v>1.0</v>
      </c>
      <c r="DF46" s="169" t="s">
        <v>352</v>
      </c>
      <c r="DG46" s="234" t="s">
        <v>450</v>
      </c>
      <c r="DH46" s="14" t="s">
        <v>331</v>
      </c>
      <c r="DI46" s="171" t="s">
        <v>318</v>
      </c>
      <c r="DJ46" s="369" t="s">
        <v>319</v>
      </c>
      <c r="DK46" s="370" t="s">
        <v>320</v>
      </c>
      <c r="DL46" s="14" t="s">
        <v>321</v>
      </c>
      <c r="DM46" s="14" t="s">
        <v>400</v>
      </c>
      <c r="DN46" s="368" t="s">
        <v>356</v>
      </c>
      <c r="DO46" s="171" t="s">
        <v>337</v>
      </c>
      <c r="DP46" s="540"/>
      <c r="DQ46" s="371">
        <v>1.0</v>
      </c>
      <c r="DR46" s="169" t="s">
        <v>322</v>
      </c>
      <c r="DS46" s="232" t="s">
        <v>338</v>
      </c>
      <c r="DT46" s="14" t="s">
        <v>324</v>
      </c>
      <c r="DU46" s="171" t="s">
        <v>318</v>
      </c>
      <c r="DV46" s="369" t="s">
        <v>320</v>
      </c>
      <c r="DW46" s="370" t="s">
        <v>319</v>
      </c>
      <c r="DX46" s="109" t="s">
        <v>321</v>
      </c>
      <c r="DY46" s="14" t="s">
        <v>317</v>
      </c>
      <c r="DZ46" s="234" t="s">
        <v>335</v>
      </c>
      <c r="EA46" s="171" t="s">
        <v>331</v>
      </c>
      <c r="EB46" s="540"/>
      <c r="EC46" s="371">
        <v>1.0</v>
      </c>
      <c r="ED46" s="169" t="s">
        <v>315</v>
      </c>
      <c r="EE46" s="234" t="s">
        <v>468</v>
      </c>
      <c r="EF46" s="14" t="s">
        <v>352</v>
      </c>
      <c r="EG46" s="171" t="s">
        <v>318</v>
      </c>
      <c r="EH46" s="369" t="s">
        <v>319</v>
      </c>
      <c r="EI46" s="370" t="s">
        <v>320</v>
      </c>
      <c r="EJ46" s="109" t="s">
        <v>321</v>
      </c>
      <c r="EK46" s="14" t="s">
        <v>328</v>
      </c>
      <c r="EL46" s="242" t="s">
        <v>339</v>
      </c>
      <c r="EM46" s="171" t="s">
        <v>327</v>
      </c>
      <c r="EN46" s="540"/>
      <c r="EO46" s="371">
        <v>1.0</v>
      </c>
      <c r="EP46" s="169" t="s">
        <v>317</v>
      </c>
      <c r="EQ46" s="242" t="s">
        <v>727</v>
      </c>
      <c r="ER46" s="14" t="s">
        <v>331</v>
      </c>
      <c r="ES46" s="171" t="s">
        <v>318</v>
      </c>
      <c r="ET46" s="369" t="s">
        <v>320</v>
      </c>
      <c r="EU46" s="370" t="s">
        <v>319</v>
      </c>
      <c r="EV46" s="109" t="s">
        <v>321</v>
      </c>
      <c r="EW46" s="14" t="s">
        <v>348</v>
      </c>
      <c r="EX46" s="234" t="s">
        <v>365</v>
      </c>
      <c r="EY46" s="171" t="s">
        <v>342</v>
      </c>
      <c r="EZ46" s="540"/>
      <c r="FA46" s="371">
        <v>1.0</v>
      </c>
      <c r="FB46" s="169" t="s">
        <v>352</v>
      </c>
      <c r="FC46" s="368" t="s">
        <v>356</v>
      </c>
      <c r="FD46" s="14" t="s">
        <v>331</v>
      </c>
      <c r="FE46" s="171" t="s">
        <v>318</v>
      </c>
      <c r="FF46" s="369" t="s">
        <v>319</v>
      </c>
      <c r="FG46" s="370" t="s">
        <v>320</v>
      </c>
      <c r="FH46" s="109" t="s">
        <v>321</v>
      </c>
      <c r="FI46" s="14" t="s">
        <v>341</v>
      </c>
      <c r="FJ46" s="542" t="s">
        <v>426</v>
      </c>
      <c r="FK46" s="171" t="s">
        <v>389</v>
      </c>
      <c r="FL46" s="540"/>
      <c r="FM46" s="371">
        <v>1.0</v>
      </c>
      <c r="FN46" s="169" t="s">
        <v>317</v>
      </c>
      <c r="FO46" s="234" t="s">
        <v>462</v>
      </c>
      <c r="FP46" s="14" t="s">
        <v>328</v>
      </c>
      <c r="FQ46" s="171" t="s">
        <v>318</v>
      </c>
      <c r="FR46" s="369" t="s">
        <v>319</v>
      </c>
      <c r="FS46" s="370" t="s">
        <v>320</v>
      </c>
      <c r="FT46" s="109" t="s">
        <v>321</v>
      </c>
      <c r="FU46" s="14" t="s">
        <v>341</v>
      </c>
      <c r="FV46" s="542" t="s">
        <v>426</v>
      </c>
      <c r="FW46" s="171" t="s">
        <v>324</v>
      </c>
      <c r="FX46" s="540"/>
    </row>
    <row r="47">
      <c r="A47" s="378">
        <v>2.0</v>
      </c>
      <c r="B47" s="587">
        <v>33.0</v>
      </c>
      <c r="C47" s="590" t="str">
        <f>'Schedule | 1 Division'!K11</f>
        <v>Team Yandex</v>
      </c>
      <c r="D47" s="589">
        <f t="shared" ref="D47:E47" si="74">DJ21</f>
        <v>1</v>
      </c>
      <c r="E47" s="589">
        <f t="shared" si="74"/>
        <v>2</v>
      </c>
      <c r="F47" s="588" t="str">
        <f>'Schedule | 1 Division'!O11</f>
        <v>Virtus.pro</v>
      </c>
      <c r="G47" s="591" t="str">
        <f t="shared" si="12"/>
        <v/>
      </c>
      <c r="H47" s="592" t="str">
        <f t="shared" si="13"/>
        <v>Virtus.pro</v>
      </c>
      <c r="I47" s="592" t="str">
        <f t="shared" si="14"/>
        <v>Team Yandex</v>
      </c>
      <c r="J47" s="593" t="str">
        <f t="shared" si="15"/>
        <v/>
      </c>
      <c r="K47" s="540"/>
      <c r="L47" s="540"/>
      <c r="M47" s="55"/>
      <c r="N47" s="29" t="s">
        <v>334</v>
      </c>
      <c r="O47" s="372" t="s">
        <v>350</v>
      </c>
      <c r="P47" s="109" t="s">
        <v>352</v>
      </c>
      <c r="Q47" s="92"/>
      <c r="T47" s="55"/>
      <c r="U47" s="109" t="s">
        <v>395</v>
      </c>
      <c r="V47" s="372" t="s">
        <v>383</v>
      </c>
      <c r="W47" s="373" t="s">
        <v>324</v>
      </c>
      <c r="X47" s="540"/>
      <c r="Y47" s="66"/>
      <c r="Z47" s="29" t="s">
        <v>315</v>
      </c>
      <c r="AA47" s="242" t="s">
        <v>458</v>
      </c>
      <c r="AB47" s="109" t="s">
        <v>373</v>
      </c>
      <c r="AC47" s="92"/>
      <c r="AE47" s="92"/>
      <c r="AG47" s="109" t="s">
        <v>401</v>
      </c>
      <c r="AH47" s="242" t="s">
        <v>452</v>
      </c>
      <c r="AI47" s="373" t="s">
        <v>327</v>
      </c>
      <c r="AJ47" s="540"/>
      <c r="AK47" s="66"/>
      <c r="AL47" s="29" t="s">
        <v>315</v>
      </c>
      <c r="AM47" s="242" t="s">
        <v>727</v>
      </c>
      <c r="AN47" s="109" t="s">
        <v>331</v>
      </c>
      <c r="AO47" s="92"/>
      <c r="AQ47" s="92"/>
      <c r="AS47" s="109" t="s">
        <v>352</v>
      </c>
      <c r="AT47" s="242" t="s">
        <v>422</v>
      </c>
      <c r="AU47" s="373" t="s">
        <v>342</v>
      </c>
      <c r="AV47" s="540"/>
      <c r="AW47" s="66"/>
      <c r="AX47" s="29" t="s">
        <v>337</v>
      </c>
      <c r="AY47" s="242" t="s">
        <v>727</v>
      </c>
      <c r="AZ47" s="109" t="s">
        <v>331</v>
      </c>
      <c r="BA47" s="92"/>
      <c r="BC47" s="92"/>
      <c r="BE47" s="109" t="s">
        <v>352</v>
      </c>
      <c r="BF47" s="242" t="s">
        <v>468</v>
      </c>
      <c r="BG47" s="373" t="s">
        <v>342</v>
      </c>
      <c r="BH47" s="540"/>
      <c r="BI47" s="66"/>
      <c r="BJ47" s="29" t="s">
        <v>325</v>
      </c>
      <c r="BK47" s="242" t="s">
        <v>426</v>
      </c>
      <c r="BL47" s="109" t="s">
        <v>368</v>
      </c>
      <c r="BM47" s="92"/>
      <c r="BO47" s="92"/>
      <c r="BQ47" s="109" t="s">
        <v>408</v>
      </c>
      <c r="BR47" s="242" t="s">
        <v>365</v>
      </c>
      <c r="BS47" s="373" t="s">
        <v>327</v>
      </c>
      <c r="BT47" s="540"/>
      <c r="BU47" s="66"/>
      <c r="BV47" s="29" t="s">
        <v>317</v>
      </c>
      <c r="BW47" s="242" t="s">
        <v>335</v>
      </c>
      <c r="BX47" s="109" t="s">
        <v>400</v>
      </c>
      <c r="BY47" s="92"/>
      <c r="CA47" s="92"/>
      <c r="CC47" s="109" t="s">
        <v>742</v>
      </c>
      <c r="CD47" s="242" t="s">
        <v>727</v>
      </c>
      <c r="CE47" s="373" t="s">
        <v>324</v>
      </c>
      <c r="CF47" s="540"/>
      <c r="CG47" s="66"/>
      <c r="CH47" s="29" t="s">
        <v>315</v>
      </c>
      <c r="CI47" s="242" t="s">
        <v>351</v>
      </c>
      <c r="CJ47" s="109" t="s">
        <v>387</v>
      </c>
      <c r="CK47" s="92"/>
      <c r="CM47" s="92"/>
      <c r="CO47" s="109" t="s">
        <v>373</v>
      </c>
      <c r="CP47" s="372" t="s">
        <v>340</v>
      </c>
      <c r="CQ47" s="373" t="s">
        <v>331</v>
      </c>
      <c r="CR47" s="540"/>
      <c r="CS47" s="66"/>
      <c r="CT47" s="29" t="s">
        <v>352</v>
      </c>
      <c r="CU47" s="242" t="s">
        <v>450</v>
      </c>
      <c r="CV47" s="109" t="s">
        <v>325</v>
      </c>
      <c r="CW47" s="92"/>
      <c r="CY47" s="92"/>
      <c r="DA47" s="109" t="s">
        <v>317</v>
      </c>
      <c r="DB47" s="242" t="s">
        <v>727</v>
      </c>
      <c r="DC47" s="373" t="s">
        <v>342</v>
      </c>
      <c r="DD47" s="540"/>
      <c r="DE47" s="66"/>
      <c r="DF47" s="29" t="s">
        <v>317</v>
      </c>
      <c r="DG47" s="242" t="s">
        <v>448</v>
      </c>
      <c r="DH47" s="109" t="s">
        <v>315</v>
      </c>
      <c r="DI47" s="92"/>
      <c r="DK47" s="92"/>
      <c r="DM47" s="109" t="s">
        <v>327</v>
      </c>
      <c r="DN47" s="372" t="s">
        <v>386</v>
      </c>
      <c r="DO47" s="373" t="s">
        <v>328</v>
      </c>
      <c r="DP47" s="540"/>
      <c r="DQ47" s="66"/>
      <c r="DR47" s="29" t="s">
        <v>315</v>
      </c>
      <c r="DS47" s="240" t="s">
        <v>330</v>
      </c>
      <c r="DT47" s="109" t="s">
        <v>343</v>
      </c>
      <c r="DU47" s="92"/>
      <c r="DW47" s="92"/>
      <c r="DY47" s="109" t="s">
        <v>327</v>
      </c>
      <c r="DZ47" s="242" t="s">
        <v>365</v>
      </c>
      <c r="EA47" s="373" t="s">
        <v>325</v>
      </c>
      <c r="EB47" s="540"/>
      <c r="EC47" s="66"/>
      <c r="ED47" s="29" t="s">
        <v>337</v>
      </c>
      <c r="EE47" s="242" t="s">
        <v>458</v>
      </c>
      <c r="EF47" s="109" t="s">
        <v>341</v>
      </c>
      <c r="EG47" s="92"/>
      <c r="EI47" s="92"/>
      <c r="EK47" s="109" t="s">
        <v>400</v>
      </c>
      <c r="EL47" s="242" t="s">
        <v>727</v>
      </c>
      <c r="EM47" s="373" t="s">
        <v>342</v>
      </c>
      <c r="EN47" s="540"/>
      <c r="EO47" s="66"/>
      <c r="EP47" s="29" t="s">
        <v>369</v>
      </c>
      <c r="EQ47" s="242" t="s">
        <v>339</v>
      </c>
      <c r="ER47" s="109" t="s">
        <v>401</v>
      </c>
      <c r="ES47" s="92"/>
      <c r="EU47" s="92"/>
      <c r="EW47" s="109" t="s">
        <v>328</v>
      </c>
      <c r="EX47" s="242" t="s">
        <v>393</v>
      </c>
      <c r="EY47" s="373" t="s">
        <v>315</v>
      </c>
      <c r="EZ47" s="540"/>
      <c r="FA47" s="66"/>
      <c r="FB47" s="29" t="s">
        <v>387</v>
      </c>
      <c r="FC47" s="372" t="s">
        <v>340</v>
      </c>
      <c r="FD47" s="109" t="s">
        <v>354</v>
      </c>
      <c r="FE47" s="92"/>
      <c r="FG47" s="92"/>
      <c r="FI47" s="109" t="s">
        <v>377</v>
      </c>
      <c r="FJ47" s="242" t="s">
        <v>725</v>
      </c>
      <c r="FK47" s="373" t="s">
        <v>361</v>
      </c>
      <c r="FL47" s="540"/>
      <c r="FM47" s="66"/>
      <c r="FN47" s="29" t="s">
        <v>337</v>
      </c>
      <c r="FO47" s="242" t="s">
        <v>458</v>
      </c>
      <c r="FP47" s="109" t="s">
        <v>359</v>
      </c>
      <c r="FQ47" s="92"/>
      <c r="FS47" s="92"/>
      <c r="FU47" s="109" t="s">
        <v>327</v>
      </c>
      <c r="FV47" s="242" t="s">
        <v>725</v>
      </c>
      <c r="FW47" s="373" t="s">
        <v>315</v>
      </c>
      <c r="FX47" s="540"/>
    </row>
    <row r="48">
      <c r="A48" s="109">
        <v>2.0</v>
      </c>
      <c r="B48" s="429">
        <v>34.0</v>
      </c>
      <c r="C48" s="555" t="str">
        <f>'Schedule | 1 Division'!K12</f>
        <v>Magic</v>
      </c>
      <c r="D48" s="561">
        <f t="shared" ref="D48:E48" si="75">DJ41</f>
        <v>0</v>
      </c>
      <c r="E48" s="561">
        <f t="shared" si="75"/>
        <v>2</v>
      </c>
      <c r="F48" s="555" t="str">
        <f>'Schedule | 1 Division'!O12</f>
        <v>FORZE</v>
      </c>
      <c r="G48" s="562" t="str">
        <f t="shared" si="12"/>
        <v>FORZE</v>
      </c>
      <c r="H48" s="563" t="str">
        <f t="shared" si="13"/>
        <v/>
      </c>
      <c r="I48" s="563" t="str">
        <f t="shared" si="14"/>
        <v/>
      </c>
      <c r="J48" s="579" t="str">
        <f t="shared" si="15"/>
        <v>Magic</v>
      </c>
      <c r="K48" s="540"/>
      <c r="L48" s="540"/>
      <c r="M48" s="55"/>
      <c r="N48" s="29" t="s">
        <v>396</v>
      </c>
      <c r="O48" s="372" t="s">
        <v>556</v>
      </c>
      <c r="P48" s="109" t="s">
        <v>19</v>
      </c>
      <c r="Q48" s="92"/>
      <c r="T48" s="55"/>
      <c r="U48" s="109" t="s">
        <v>325</v>
      </c>
      <c r="V48" s="372" t="s">
        <v>366</v>
      </c>
      <c r="W48" s="373" t="s">
        <v>317</v>
      </c>
      <c r="X48" s="540"/>
      <c r="Y48" s="66"/>
      <c r="Z48" s="29" t="s">
        <v>352</v>
      </c>
      <c r="AA48" s="242" t="s">
        <v>464</v>
      </c>
      <c r="AB48" s="109" t="s">
        <v>322</v>
      </c>
      <c r="AC48" s="92"/>
      <c r="AE48" s="92"/>
      <c r="AG48" s="109" t="s">
        <v>368</v>
      </c>
      <c r="AH48" s="242" t="s">
        <v>448</v>
      </c>
      <c r="AI48" s="373" t="s">
        <v>342</v>
      </c>
      <c r="AJ48" s="540"/>
      <c r="AK48" s="66"/>
      <c r="AL48" s="29" t="s">
        <v>328</v>
      </c>
      <c r="AM48" s="242" t="s">
        <v>729</v>
      </c>
      <c r="AN48" s="109" t="s">
        <v>436</v>
      </c>
      <c r="AO48" s="92"/>
      <c r="AQ48" s="92"/>
      <c r="AS48" s="109" t="s">
        <v>334</v>
      </c>
      <c r="AT48" s="242" t="s">
        <v>442</v>
      </c>
      <c r="AU48" s="373" t="s">
        <v>324</v>
      </c>
      <c r="AV48" s="540"/>
      <c r="AW48" s="66"/>
      <c r="AX48" s="29" t="s">
        <v>328</v>
      </c>
      <c r="AY48" s="242" t="s">
        <v>729</v>
      </c>
      <c r="AZ48" s="109" t="s">
        <v>401</v>
      </c>
      <c r="BA48" s="92"/>
      <c r="BC48" s="92"/>
      <c r="BE48" s="109" t="s">
        <v>343</v>
      </c>
      <c r="BF48" s="242" t="s">
        <v>576</v>
      </c>
      <c r="BG48" s="373" t="s">
        <v>327</v>
      </c>
      <c r="BH48" s="540"/>
      <c r="BI48" s="66"/>
      <c r="BJ48" s="29" t="s">
        <v>317</v>
      </c>
      <c r="BK48" s="242" t="s">
        <v>442</v>
      </c>
      <c r="BL48" s="109" t="s">
        <v>343</v>
      </c>
      <c r="BM48" s="92"/>
      <c r="BO48" s="92"/>
      <c r="BQ48" s="109" t="s">
        <v>400</v>
      </c>
      <c r="BR48" s="242" t="s">
        <v>335</v>
      </c>
      <c r="BS48" s="373" t="s">
        <v>331</v>
      </c>
      <c r="BT48" s="540"/>
      <c r="BU48" s="66"/>
      <c r="BV48" s="29" t="s">
        <v>337</v>
      </c>
      <c r="BW48" s="242" t="s">
        <v>393</v>
      </c>
      <c r="BX48" s="109" t="s">
        <v>328</v>
      </c>
      <c r="BY48" s="92"/>
      <c r="CA48" s="92"/>
      <c r="CC48" s="109" t="s">
        <v>375</v>
      </c>
      <c r="CD48" s="242" t="s">
        <v>729</v>
      </c>
      <c r="CE48" s="373" t="s">
        <v>331</v>
      </c>
      <c r="CF48" s="540"/>
      <c r="CG48" s="66"/>
      <c r="CH48" s="29" t="s">
        <v>317</v>
      </c>
      <c r="CI48" s="242" t="s">
        <v>335</v>
      </c>
      <c r="CJ48" s="109" t="s">
        <v>400</v>
      </c>
      <c r="CK48" s="92"/>
      <c r="CM48" s="92"/>
      <c r="CO48" s="109" t="s">
        <v>352</v>
      </c>
      <c r="CP48" s="372" t="s">
        <v>367</v>
      </c>
      <c r="CQ48" s="373" t="s">
        <v>324</v>
      </c>
      <c r="CR48" s="540"/>
      <c r="CS48" s="66"/>
      <c r="CT48" s="29" t="s">
        <v>315</v>
      </c>
      <c r="CU48" s="242" t="s">
        <v>452</v>
      </c>
      <c r="CV48" s="109" t="s">
        <v>328</v>
      </c>
      <c r="CW48" s="92"/>
      <c r="CY48" s="92"/>
      <c r="DA48" s="109" t="s">
        <v>377</v>
      </c>
      <c r="DB48" s="242" t="s">
        <v>729</v>
      </c>
      <c r="DC48" s="373" t="s">
        <v>369</v>
      </c>
      <c r="DD48" s="540"/>
      <c r="DE48" s="66"/>
      <c r="DF48" s="29" t="s">
        <v>324</v>
      </c>
      <c r="DG48" s="242" t="s">
        <v>452</v>
      </c>
      <c r="DH48" s="109" t="s">
        <v>401</v>
      </c>
      <c r="DI48" s="92"/>
      <c r="DK48" s="92"/>
      <c r="DM48" s="109" t="s">
        <v>348</v>
      </c>
      <c r="DN48" s="372" t="s">
        <v>340</v>
      </c>
      <c r="DO48" s="373" t="s">
        <v>342</v>
      </c>
      <c r="DP48" s="540"/>
      <c r="DQ48" s="66"/>
      <c r="DR48" s="29" t="s">
        <v>342</v>
      </c>
      <c r="DS48" s="240" t="s">
        <v>378</v>
      </c>
      <c r="DT48" s="109" t="s">
        <v>379</v>
      </c>
      <c r="DU48" s="92"/>
      <c r="DW48" s="92"/>
      <c r="DY48" s="109" t="s">
        <v>328</v>
      </c>
      <c r="DZ48" s="242" t="s">
        <v>393</v>
      </c>
      <c r="EA48" s="373" t="s">
        <v>399</v>
      </c>
      <c r="EB48" s="540"/>
      <c r="EC48" s="66"/>
      <c r="ED48" s="29" t="s">
        <v>317</v>
      </c>
      <c r="EE48" s="242" t="s">
        <v>460</v>
      </c>
      <c r="EF48" s="109" t="s">
        <v>331</v>
      </c>
      <c r="EG48" s="92"/>
      <c r="EI48" s="92"/>
      <c r="EK48" s="109" t="s">
        <v>19</v>
      </c>
      <c r="EL48" s="242" t="s">
        <v>556</v>
      </c>
      <c r="EM48" s="373" t="s">
        <v>324</v>
      </c>
      <c r="EN48" s="540"/>
      <c r="EO48" s="66"/>
      <c r="EP48" s="29" t="s">
        <v>324</v>
      </c>
      <c r="EQ48" s="242" t="s">
        <v>350</v>
      </c>
      <c r="ER48" s="109" t="s">
        <v>346</v>
      </c>
      <c r="ES48" s="92"/>
      <c r="EU48" s="92"/>
      <c r="EW48" s="109" t="s">
        <v>337</v>
      </c>
      <c r="EX48" s="242" t="s">
        <v>351</v>
      </c>
      <c r="EY48" s="373" t="s">
        <v>327</v>
      </c>
      <c r="EZ48" s="540"/>
      <c r="FA48" s="66"/>
      <c r="FB48" s="29" t="s">
        <v>337</v>
      </c>
      <c r="FC48" s="372" t="s">
        <v>397</v>
      </c>
      <c r="FD48" s="109" t="s">
        <v>322</v>
      </c>
      <c r="FE48" s="92"/>
      <c r="FG48" s="92"/>
      <c r="FI48" s="109" t="s">
        <v>343</v>
      </c>
      <c r="FJ48" s="242" t="s">
        <v>442</v>
      </c>
      <c r="FK48" s="373" t="s">
        <v>342</v>
      </c>
      <c r="FL48" s="540"/>
      <c r="FM48" s="66"/>
      <c r="FN48" s="29" t="s">
        <v>325</v>
      </c>
      <c r="FO48" s="242" t="s">
        <v>464</v>
      </c>
      <c r="FP48" s="109" t="s">
        <v>332</v>
      </c>
      <c r="FQ48" s="92"/>
      <c r="FS48" s="92"/>
      <c r="FU48" s="109" t="s">
        <v>352</v>
      </c>
      <c r="FV48" s="242" t="s">
        <v>422</v>
      </c>
      <c r="FW48" s="373" t="s">
        <v>331</v>
      </c>
      <c r="FX48" s="540"/>
    </row>
    <row r="49">
      <c r="A49" s="109">
        <v>2.0</v>
      </c>
      <c r="B49" s="429">
        <v>35.0</v>
      </c>
      <c r="C49" s="555" t="str">
        <f>'Schedule | 1 Division'!K13</f>
        <v>Verso Time</v>
      </c>
      <c r="D49" s="561">
        <f t="shared" ref="D49:E49" si="76">DJ61</f>
        <v>1</v>
      </c>
      <c r="E49" s="561">
        <f t="shared" si="76"/>
        <v>2</v>
      </c>
      <c r="F49" s="555" t="str">
        <f>'Schedule | 1 Division'!O13</f>
        <v>Team Spirit</v>
      </c>
      <c r="G49" s="562" t="str">
        <f t="shared" si="12"/>
        <v/>
      </c>
      <c r="H49" s="563" t="str">
        <f t="shared" si="13"/>
        <v>Team Spirit</v>
      </c>
      <c r="I49" s="563" t="str">
        <f t="shared" si="14"/>
        <v>Verso Time</v>
      </c>
      <c r="J49" s="579" t="str">
        <f t="shared" si="15"/>
        <v/>
      </c>
      <c r="K49" s="540"/>
      <c r="L49" s="540"/>
      <c r="M49" s="55"/>
      <c r="N49" s="29" t="s">
        <v>315</v>
      </c>
      <c r="O49" s="372" t="s">
        <v>727</v>
      </c>
      <c r="P49" s="109" t="s">
        <v>403</v>
      </c>
      <c r="Q49" s="92"/>
      <c r="T49" s="55"/>
      <c r="U49" s="109" t="s">
        <v>470</v>
      </c>
      <c r="V49" s="372" t="s">
        <v>353</v>
      </c>
      <c r="W49" s="373" t="s">
        <v>400</v>
      </c>
      <c r="X49" s="540"/>
      <c r="Y49" s="66"/>
      <c r="Z49" s="29" t="s">
        <v>414</v>
      </c>
      <c r="AA49" s="242" t="s">
        <v>576</v>
      </c>
      <c r="AB49" s="109" t="s">
        <v>432</v>
      </c>
      <c r="AC49" s="92"/>
      <c r="AE49" s="92"/>
      <c r="AG49" s="109" t="s">
        <v>337</v>
      </c>
      <c r="AH49" s="242" t="s">
        <v>454</v>
      </c>
      <c r="AI49" s="373" t="s">
        <v>395</v>
      </c>
      <c r="AJ49" s="540"/>
      <c r="AK49" s="66"/>
      <c r="AL49" s="29" t="s">
        <v>384</v>
      </c>
      <c r="AM49" s="242" t="s">
        <v>350</v>
      </c>
      <c r="AN49" s="109" t="s">
        <v>387</v>
      </c>
      <c r="AO49" s="92"/>
      <c r="AQ49" s="92"/>
      <c r="AS49" s="109" t="s">
        <v>483</v>
      </c>
      <c r="AT49" s="242" t="s">
        <v>725</v>
      </c>
      <c r="AU49" s="373" t="s">
        <v>401</v>
      </c>
      <c r="AV49" s="540"/>
      <c r="AW49" s="66"/>
      <c r="AX49" s="29" t="s">
        <v>384</v>
      </c>
      <c r="AY49" s="242" t="s">
        <v>350</v>
      </c>
      <c r="AZ49" s="109" t="s">
        <v>387</v>
      </c>
      <c r="BA49" s="92"/>
      <c r="BC49" s="92"/>
      <c r="BE49" s="109" t="s">
        <v>377</v>
      </c>
      <c r="BF49" s="242" t="s">
        <v>583</v>
      </c>
      <c r="BG49" s="373" t="s">
        <v>374</v>
      </c>
      <c r="BH49" s="540"/>
      <c r="BI49" s="66"/>
      <c r="BJ49" s="29" t="s">
        <v>322</v>
      </c>
      <c r="BK49" s="242" t="s">
        <v>725</v>
      </c>
      <c r="BL49" s="109" t="s">
        <v>377</v>
      </c>
      <c r="BM49" s="92"/>
      <c r="BO49" s="92"/>
      <c r="BQ49" s="109" t="s">
        <v>337</v>
      </c>
      <c r="BR49" s="242" t="s">
        <v>351</v>
      </c>
      <c r="BS49" s="373" t="s">
        <v>361</v>
      </c>
      <c r="BT49" s="540"/>
      <c r="BU49" s="66"/>
      <c r="BV49" s="29" t="s">
        <v>325</v>
      </c>
      <c r="BW49" s="242" t="s">
        <v>381</v>
      </c>
      <c r="BX49" s="109" t="s">
        <v>399</v>
      </c>
      <c r="BY49" s="92"/>
      <c r="CA49" s="92"/>
      <c r="CC49" s="109" t="s">
        <v>387</v>
      </c>
      <c r="CD49" s="242" t="s">
        <v>350</v>
      </c>
      <c r="CE49" s="373" t="s">
        <v>352</v>
      </c>
      <c r="CF49" s="540"/>
      <c r="CG49" s="66"/>
      <c r="CH49" s="29" t="s">
        <v>382</v>
      </c>
      <c r="CI49" s="242" t="s">
        <v>381</v>
      </c>
      <c r="CJ49" s="109" t="s">
        <v>434</v>
      </c>
      <c r="CK49" s="92"/>
      <c r="CM49" s="92"/>
      <c r="CO49" s="109" t="s">
        <v>377</v>
      </c>
      <c r="CP49" s="372" t="s">
        <v>386</v>
      </c>
      <c r="CQ49" s="373" t="s">
        <v>348</v>
      </c>
      <c r="CR49" s="540"/>
      <c r="CS49" s="66"/>
      <c r="CT49" s="29" t="s">
        <v>373</v>
      </c>
      <c r="CU49" s="242" t="s">
        <v>448</v>
      </c>
      <c r="CV49" s="109" t="s">
        <v>368</v>
      </c>
      <c r="CW49" s="92"/>
      <c r="CY49" s="92"/>
      <c r="DA49" s="109" t="s">
        <v>337</v>
      </c>
      <c r="DB49" s="242" t="s">
        <v>350</v>
      </c>
      <c r="DC49" s="373" t="s">
        <v>387</v>
      </c>
      <c r="DD49" s="540"/>
      <c r="DE49" s="66"/>
      <c r="DF49" s="29" t="s">
        <v>387</v>
      </c>
      <c r="DG49" s="242" t="s">
        <v>454</v>
      </c>
      <c r="DH49" s="109" t="s">
        <v>407</v>
      </c>
      <c r="DI49" s="92"/>
      <c r="DK49" s="92"/>
      <c r="DM49" s="109" t="s">
        <v>332</v>
      </c>
      <c r="DN49" s="372" t="s">
        <v>397</v>
      </c>
      <c r="DO49" s="373" t="s">
        <v>405</v>
      </c>
      <c r="DP49" s="540"/>
      <c r="DQ49" s="66"/>
      <c r="DR49" s="29" t="s">
        <v>352</v>
      </c>
      <c r="DS49" s="240" t="s">
        <v>326</v>
      </c>
      <c r="DT49" s="109" t="s">
        <v>341</v>
      </c>
      <c r="DU49" s="92"/>
      <c r="DW49" s="92"/>
      <c r="DY49" s="109" t="s">
        <v>376</v>
      </c>
      <c r="DZ49" s="242" t="s">
        <v>381</v>
      </c>
      <c r="EA49" s="373" t="s">
        <v>374</v>
      </c>
      <c r="EB49" s="540"/>
      <c r="EC49" s="66"/>
      <c r="ED49" s="29" t="s">
        <v>348</v>
      </c>
      <c r="EE49" s="242" t="s">
        <v>462</v>
      </c>
      <c r="EF49" s="109" t="s">
        <v>377</v>
      </c>
      <c r="EG49" s="92"/>
      <c r="EI49" s="92"/>
      <c r="EK49" s="109" t="s">
        <v>407</v>
      </c>
      <c r="EL49" s="242" t="s">
        <v>350</v>
      </c>
      <c r="EM49" s="373" t="s">
        <v>374</v>
      </c>
      <c r="EN49" s="540"/>
      <c r="EO49" s="66"/>
      <c r="EP49" s="29" t="s">
        <v>19</v>
      </c>
      <c r="EQ49" s="242" t="s">
        <v>355</v>
      </c>
      <c r="ER49" s="109" t="s">
        <v>391</v>
      </c>
      <c r="ES49" s="92"/>
      <c r="EU49" s="92"/>
      <c r="EW49" s="109" t="s">
        <v>395</v>
      </c>
      <c r="EX49" s="242" t="s">
        <v>381</v>
      </c>
      <c r="EY49" s="373" t="s">
        <v>332</v>
      </c>
      <c r="EZ49" s="540"/>
      <c r="FA49" s="66"/>
      <c r="FB49" s="29" t="s">
        <v>315</v>
      </c>
      <c r="FC49" s="372" t="s">
        <v>386</v>
      </c>
      <c r="FD49" s="109" t="s">
        <v>401</v>
      </c>
      <c r="FE49" s="92"/>
      <c r="FG49" s="92"/>
      <c r="FI49" s="109" t="s">
        <v>404</v>
      </c>
      <c r="FJ49" s="242" t="s">
        <v>422</v>
      </c>
      <c r="FK49" s="373" t="s">
        <v>327</v>
      </c>
      <c r="FL49" s="540"/>
      <c r="FM49" s="66"/>
      <c r="FN49" s="29" t="s">
        <v>334</v>
      </c>
      <c r="FO49" s="242" t="s">
        <v>460</v>
      </c>
      <c r="FP49" s="109" t="s">
        <v>343</v>
      </c>
      <c r="FQ49" s="92"/>
      <c r="FS49" s="92"/>
      <c r="FU49" s="109" t="s">
        <v>411</v>
      </c>
      <c r="FV49" s="242" t="s">
        <v>442</v>
      </c>
      <c r="FW49" s="373" t="s">
        <v>19</v>
      </c>
      <c r="FX49" s="540"/>
    </row>
    <row r="50">
      <c r="A50" s="389">
        <v>2.0</v>
      </c>
      <c r="B50" s="569">
        <v>36.0</v>
      </c>
      <c r="C50" s="570" t="str">
        <f>'Schedule | 1 Division'!K14</f>
        <v>Aura Farmers</v>
      </c>
      <c r="D50" s="571">
        <f t="shared" ref="D50:E50" si="77">DJ81</f>
        <v>0</v>
      </c>
      <c r="E50" s="571">
        <f t="shared" si="77"/>
        <v>2</v>
      </c>
      <c r="F50" s="570" t="str">
        <f>'Schedule | 1 Division'!O14</f>
        <v>CYBERHERO</v>
      </c>
      <c r="G50" s="573" t="str">
        <f t="shared" si="12"/>
        <v>CYBERHERO</v>
      </c>
      <c r="H50" s="575" t="str">
        <f t="shared" si="13"/>
        <v/>
      </c>
      <c r="I50" s="575" t="str">
        <f t="shared" si="14"/>
        <v/>
      </c>
      <c r="J50" s="576" t="str">
        <f t="shared" si="15"/>
        <v>Aura Farmers</v>
      </c>
      <c r="K50" s="540"/>
      <c r="L50" s="540"/>
      <c r="M50" s="55"/>
      <c r="N50" s="29" t="s">
        <v>384</v>
      </c>
      <c r="O50" s="372" t="s">
        <v>355</v>
      </c>
      <c r="P50" s="109" t="s">
        <v>327</v>
      </c>
      <c r="Q50" s="92"/>
      <c r="R50" s="374"/>
      <c r="S50" s="374"/>
      <c r="T50" s="55"/>
      <c r="U50" s="109" t="s">
        <v>375</v>
      </c>
      <c r="V50" s="372" t="s">
        <v>336</v>
      </c>
      <c r="W50" s="373" t="s">
        <v>343</v>
      </c>
      <c r="X50" s="540"/>
      <c r="Y50" s="66"/>
      <c r="Z50" s="29" t="s">
        <v>374</v>
      </c>
      <c r="AA50" s="242" t="s">
        <v>468</v>
      </c>
      <c r="AB50" s="109" t="s">
        <v>387</v>
      </c>
      <c r="AC50" s="92"/>
      <c r="AD50" s="374"/>
      <c r="AE50" s="375"/>
      <c r="AF50" s="374"/>
      <c r="AG50" s="109" t="s">
        <v>389</v>
      </c>
      <c r="AH50" s="242" t="s">
        <v>449</v>
      </c>
      <c r="AI50" s="373" t="s">
        <v>334</v>
      </c>
      <c r="AJ50" s="540"/>
      <c r="AK50" s="66"/>
      <c r="AL50" s="29" t="s">
        <v>348</v>
      </c>
      <c r="AM50" s="242" t="s">
        <v>355</v>
      </c>
      <c r="AN50" s="109" t="s">
        <v>374</v>
      </c>
      <c r="AO50" s="92"/>
      <c r="AP50" s="374"/>
      <c r="AQ50" s="375"/>
      <c r="AR50" s="374"/>
      <c r="AS50" s="109" t="s">
        <v>408</v>
      </c>
      <c r="AT50" s="242" t="s">
        <v>426</v>
      </c>
      <c r="AU50" s="373" t="s">
        <v>377</v>
      </c>
      <c r="AV50" s="540"/>
      <c r="AW50" s="66"/>
      <c r="AX50" s="29" t="s">
        <v>348</v>
      </c>
      <c r="AY50" s="242" t="s">
        <v>355</v>
      </c>
      <c r="AZ50" s="109" t="s">
        <v>470</v>
      </c>
      <c r="BA50" s="92"/>
      <c r="BB50" s="374"/>
      <c r="BC50" s="375"/>
      <c r="BD50" s="374"/>
      <c r="BE50" s="109" t="s">
        <v>373</v>
      </c>
      <c r="BF50" s="242" t="s">
        <v>458</v>
      </c>
      <c r="BG50" s="373" t="s">
        <v>368</v>
      </c>
      <c r="BH50" s="540"/>
      <c r="BI50" s="66"/>
      <c r="BJ50" s="29" t="s">
        <v>19</v>
      </c>
      <c r="BK50" s="391" t="s">
        <v>422</v>
      </c>
      <c r="BL50" s="109" t="s">
        <v>342</v>
      </c>
      <c r="BM50" s="92"/>
      <c r="BN50" s="374"/>
      <c r="BO50" s="375"/>
      <c r="BP50" s="374"/>
      <c r="BQ50" s="109" t="s">
        <v>389</v>
      </c>
      <c r="BR50" s="242" t="s">
        <v>381</v>
      </c>
      <c r="BS50" s="373" t="s">
        <v>369</v>
      </c>
      <c r="BT50" s="540"/>
      <c r="BU50" s="66"/>
      <c r="BV50" s="29" t="s">
        <v>343</v>
      </c>
      <c r="BW50" s="242" t="s">
        <v>351</v>
      </c>
      <c r="BX50" s="109" t="s">
        <v>379</v>
      </c>
      <c r="BY50" s="92"/>
      <c r="BZ50" s="374"/>
      <c r="CA50" s="375"/>
      <c r="CB50" s="374"/>
      <c r="CC50" s="109" t="s">
        <v>408</v>
      </c>
      <c r="CD50" s="391" t="s">
        <v>355</v>
      </c>
      <c r="CE50" s="373" t="s">
        <v>439</v>
      </c>
      <c r="CF50" s="540"/>
      <c r="CG50" s="66"/>
      <c r="CH50" s="29" t="s">
        <v>369</v>
      </c>
      <c r="CI50" s="242" t="s">
        <v>365</v>
      </c>
      <c r="CJ50" s="109" t="s">
        <v>368</v>
      </c>
      <c r="CK50" s="92"/>
      <c r="CL50" s="374"/>
      <c r="CM50" s="375"/>
      <c r="CN50" s="374"/>
      <c r="CO50" s="109" t="s">
        <v>418</v>
      </c>
      <c r="CP50" s="372" t="s">
        <v>397</v>
      </c>
      <c r="CQ50" s="373" t="s">
        <v>374</v>
      </c>
      <c r="CR50" s="540"/>
      <c r="CS50" s="66"/>
      <c r="CT50" s="29" t="s">
        <v>348</v>
      </c>
      <c r="CU50" s="242" t="s">
        <v>454</v>
      </c>
      <c r="CV50" s="109" t="s">
        <v>346</v>
      </c>
      <c r="CW50" s="92"/>
      <c r="CX50" s="374"/>
      <c r="CY50" s="375"/>
      <c r="CZ50" s="374"/>
      <c r="DA50" s="109" t="s">
        <v>322</v>
      </c>
      <c r="DB50" s="391" t="s">
        <v>355</v>
      </c>
      <c r="DC50" s="373" t="s">
        <v>405</v>
      </c>
      <c r="DD50" s="540"/>
      <c r="DE50" s="66"/>
      <c r="DF50" s="29" t="s">
        <v>346</v>
      </c>
      <c r="DG50" s="242" t="s">
        <v>449</v>
      </c>
      <c r="DH50" s="109" t="s">
        <v>322</v>
      </c>
      <c r="DI50" s="92"/>
      <c r="DJ50" s="374"/>
      <c r="DK50" s="375"/>
      <c r="DL50" s="374"/>
      <c r="DM50" s="109" t="s">
        <v>439</v>
      </c>
      <c r="DN50" s="372" t="s">
        <v>367</v>
      </c>
      <c r="DO50" s="373" t="s">
        <v>379</v>
      </c>
      <c r="DP50" s="540"/>
      <c r="DQ50" s="66"/>
      <c r="DR50" s="29" t="s">
        <v>19</v>
      </c>
      <c r="DS50" s="240" t="s">
        <v>349</v>
      </c>
      <c r="DT50" s="109" t="s">
        <v>380</v>
      </c>
      <c r="DU50" s="92"/>
      <c r="DV50" s="374"/>
      <c r="DW50" s="375"/>
      <c r="DX50" s="374"/>
      <c r="DY50" s="109" t="s">
        <v>385</v>
      </c>
      <c r="DZ50" s="242" t="s">
        <v>351</v>
      </c>
      <c r="EA50" s="373" t="s">
        <v>401</v>
      </c>
      <c r="EB50" s="540"/>
      <c r="EC50" s="66"/>
      <c r="ED50" s="29" t="s">
        <v>368</v>
      </c>
      <c r="EE50" s="242" t="s">
        <v>464</v>
      </c>
      <c r="EF50" s="109" t="s">
        <v>322</v>
      </c>
      <c r="EG50" s="92"/>
      <c r="EH50" s="374"/>
      <c r="EI50" s="375"/>
      <c r="EJ50" s="374"/>
      <c r="EK50" s="109" t="s">
        <v>470</v>
      </c>
      <c r="EL50" s="391" t="s">
        <v>355</v>
      </c>
      <c r="EM50" s="373" t="s">
        <v>373</v>
      </c>
      <c r="EN50" s="540"/>
      <c r="EO50" s="66"/>
      <c r="EP50" s="29" t="s">
        <v>334</v>
      </c>
      <c r="EQ50" s="391" t="s">
        <v>556</v>
      </c>
      <c r="ER50" s="109" t="s">
        <v>376</v>
      </c>
      <c r="ES50" s="92"/>
      <c r="ET50" s="374"/>
      <c r="EU50" s="375"/>
      <c r="EV50" s="374"/>
      <c r="EW50" s="109" t="s">
        <v>343</v>
      </c>
      <c r="EX50" s="242" t="s">
        <v>335</v>
      </c>
      <c r="EY50" s="373" t="s">
        <v>434</v>
      </c>
      <c r="EZ50" s="540"/>
      <c r="FA50" s="66"/>
      <c r="FB50" s="29" t="s">
        <v>328</v>
      </c>
      <c r="FC50" s="372" t="s">
        <v>367</v>
      </c>
      <c r="FD50" s="109" t="s">
        <v>405</v>
      </c>
      <c r="FE50" s="92"/>
      <c r="FF50" s="374"/>
      <c r="FG50" s="375"/>
      <c r="FH50" s="374"/>
      <c r="FI50" s="109" t="s">
        <v>418</v>
      </c>
      <c r="FJ50" s="391" t="s">
        <v>437</v>
      </c>
      <c r="FK50" s="373" t="s">
        <v>324</v>
      </c>
      <c r="FL50" s="540"/>
      <c r="FM50" s="66"/>
      <c r="FN50" s="29" t="s">
        <v>400</v>
      </c>
      <c r="FO50" s="242" t="s">
        <v>468</v>
      </c>
      <c r="FP50" s="109" t="s">
        <v>342</v>
      </c>
      <c r="FQ50" s="92"/>
      <c r="FR50" s="374"/>
      <c r="FS50" s="375"/>
      <c r="FT50" s="374"/>
      <c r="FU50" s="109" t="s">
        <v>361</v>
      </c>
      <c r="FV50" s="391" t="s">
        <v>437</v>
      </c>
      <c r="FW50" s="373" t="s">
        <v>382</v>
      </c>
      <c r="FX50" s="540"/>
    </row>
    <row r="51">
      <c r="A51" s="109">
        <v>2.0</v>
      </c>
      <c r="B51" s="429">
        <v>37.0</v>
      </c>
      <c r="C51" s="555" t="str">
        <f>'Schedule | 1 Division'!K17</f>
        <v>CYBERHERO</v>
      </c>
      <c r="D51" s="561">
        <f t="shared" ref="D51:E51" si="78">DV21</f>
        <v>0</v>
      </c>
      <c r="E51" s="561">
        <f t="shared" si="78"/>
        <v>2</v>
      </c>
      <c r="F51" s="555" t="str">
        <f>'Schedule | 1 Division'!O17</f>
        <v>Team Spirit</v>
      </c>
      <c r="G51" s="562" t="str">
        <f t="shared" si="12"/>
        <v>Team Spirit</v>
      </c>
      <c r="H51" s="563" t="str">
        <f t="shared" si="13"/>
        <v/>
      </c>
      <c r="I51" s="563" t="str">
        <f t="shared" si="14"/>
        <v/>
      </c>
      <c r="J51" s="579" t="str">
        <f t="shared" si="15"/>
        <v>CYBERHERO</v>
      </c>
      <c r="K51" s="540"/>
      <c r="L51" s="540"/>
      <c r="M51" s="376">
        <v>2.0</v>
      </c>
      <c r="N51" s="376" t="s">
        <v>317</v>
      </c>
      <c r="O51" s="377" t="s">
        <v>729</v>
      </c>
      <c r="P51" s="378" t="s">
        <v>375</v>
      </c>
      <c r="Q51" s="379" t="s">
        <v>321</v>
      </c>
      <c r="R51" s="380" t="s">
        <v>319</v>
      </c>
      <c r="S51" s="380" t="s">
        <v>320</v>
      </c>
      <c r="T51" s="376" t="s">
        <v>318</v>
      </c>
      <c r="U51" s="378" t="s">
        <v>327</v>
      </c>
      <c r="V51" s="377" t="s">
        <v>353</v>
      </c>
      <c r="W51" s="379" t="s">
        <v>325</v>
      </c>
      <c r="X51" s="540"/>
      <c r="Y51" s="383">
        <v>2.0</v>
      </c>
      <c r="Z51" s="376" t="s">
        <v>324</v>
      </c>
      <c r="AA51" s="384" t="s">
        <v>462</v>
      </c>
      <c r="AB51" s="378" t="s">
        <v>328</v>
      </c>
      <c r="AC51" s="379" t="s">
        <v>318</v>
      </c>
      <c r="AD51" s="381" t="s">
        <v>320</v>
      </c>
      <c r="AE51" s="382" t="s">
        <v>319</v>
      </c>
      <c r="AF51" s="378" t="s">
        <v>321</v>
      </c>
      <c r="AG51" s="378" t="s">
        <v>317</v>
      </c>
      <c r="AH51" s="384" t="s">
        <v>450</v>
      </c>
      <c r="AI51" s="379" t="s">
        <v>342</v>
      </c>
      <c r="AJ51" s="540"/>
      <c r="AK51" s="383">
        <v>2.0</v>
      </c>
      <c r="AL51" s="376" t="s">
        <v>327</v>
      </c>
      <c r="AM51" s="384" t="s">
        <v>556</v>
      </c>
      <c r="AN51" s="378" t="s">
        <v>434</v>
      </c>
      <c r="AO51" s="379" t="s">
        <v>321</v>
      </c>
      <c r="AP51" s="381" t="s">
        <v>320</v>
      </c>
      <c r="AQ51" s="382" t="s">
        <v>319</v>
      </c>
      <c r="AR51" s="378" t="s">
        <v>318</v>
      </c>
      <c r="AS51" s="378" t="s">
        <v>369</v>
      </c>
      <c r="AT51" s="384" t="s">
        <v>437</v>
      </c>
      <c r="AU51" s="379" t="s">
        <v>315</v>
      </c>
      <c r="AV51" s="540"/>
      <c r="AW51" s="383">
        <v>2.0</v>
      </c>
      <c r="AX51" s="376" t="s">
        <v>327</v>
      </c>
      <c r="AY51" s="384" t="s">
        <v>727</v>
      </c>
      <c r="AZ51" s="378" t="s">
        <v>317</v>
      </c>
      <c r="BA51" s="379" t="s">
        <v>321</v>
      </c>
      <c r="BB51" s="381" t="s">
        <v>319</v>
      </c>
      <c r="BC51" s="382" t="s">
        <v>320</v>
      </c>
      <c r="BD51" s="378" t="s">
        <v>318</v>
      </c>
      <c r="BE51" s="378" t="s">
        <v>315</v>
      </c>
      <c r="BF51" s="384" t="s">
        <v>458</v>
      </c>
      <c r="BG51" s="379" t="s">
        <v>328</v>
      </c>
      <c r="BH51" s="540"/>
      <c r="BI51" s="383">
        <v>2.0</v>
      </c>
      <c r="BJ51" s="376" t="s">
        <v>324</v>
      </c>
      <c r="BK51" s="242" t="s">
        <v>437</v>
      </c>
      <c r="BL51" s="378" t="s">
        <v>331</v>
      </c>
      <c r="BM51" s="379" t="s">
        <v>321</v>
      </c>
      <c r="BN51" s="381" t="s">
        <v>320</v>
      </c>
      <c r="BO51" s="382" t="s">
        <v>319</v>
      </c>
      <c r="BP51" s="378" t="s">
        <v>318</v>
      </c>
      <c r="BQ51" s="378" t="s">
        <v>414</v>
      </c>
      <c r="BR51" s="384" t="s">
        <v>393</v>
      </c>
      <c r="BS51" s="379" t="s">
        <v>337</v>
      </c>
      <c r="BT51" s="540"/>
      <c r="BU51" s="383">
        <v>2.0</v>
      </c>
      <c r="BV51" s="376" t="s">
        <v>327</v>
      </c>
      <c r="BW51" s="384" t="s">
        <v>365</v>
      </c>
      <c r="BX51" s="378" t="s">
        <v>348</v>
      </c>
      <c r="BY51" s="379" t="s">
        <v>321</v>
      </c>
      <c r="BZ51" s="381" t="s">
        <v>319</v>
      </c>
      <c r="CA51" s="382" t="s">
        <v>320</v>
      </c>
      <c r="CB51" s="378" t="s">
        <v>318</v>
      </c>
      <c r="CC51" s="378" t="s">
        <v>331</v>
      </c>
      <c r="CD51" s="242" t="s">
        <v>727</v>
      </c>
      <c r="CE51" s="379" t="s">
        <v>328</v>
      </c>
      <c r="CF51" s="540"/>
      <c r="CG51" s="383">
        <v>2.0</v>
      </c>
      <c r="CH51" s="376" t="s">
        <v>317</v>
      </c>
      <c r="CI51" s="384" t="s">
        <v>365</v>
      </c>
      <c r="CJ51" s="378" t="s">
        <v>327</v>
      </c>
      <c r="CK51" s="379" t="s">
        <v>318</v>
      </c>
      <c r="CL51" s="381" t="s">
        <v>320</v>
      </c>
      <c r="CM51" s="382" t="s">
        <v>319</v>
      </c>
      <c r="CN51" s="378" t="s">
        <v>321</v>
      </c>
      <c r="CO51" s="378" t="s">
        <v>400</v>
      </c>
      <c r="CP51" s="377" t="s">
        <v>356</v>
      </c>
      <c r="CQ51" s="379" t="s">
        <v>342</v>
      </c>
      <c r="CR51" s="540"/>
      <c r="CS51" s="383">
        <v>2.0</v>
      </c>
      <c r="CT51" s="376" t="s">
        <v>342</v>
      </c>
      <c r="CU51" s="384" t="s">
        <v>450</v>
      </c>
      <c r="CV51" s="378" t="s">
        <v>331</v>
      </c>
      <c r="CW51" s="379" t="s">
        <v>321</v>
      </c>
      <c r="CX51" s="381" t="s">
        <v>319</v>
      </c>
      <c r="CY51" s="382" t="s">
        <v>320</v>
      </c>
      <c r="CZ51" s="378" t="s">
        <v>318</v>
      </c>
      <c r="DA51" s="378" t="s">
        <v>400</v>
      </c>
      <c r="DB51" s="242" t="s">
        <v>727</v>
      </c>
      <c r="DC51" s="379" t="s">
        <v>337</v>
      </c>
      <c r="DD51" s="540"/>
      <c r="DE51" s="383">
        <v>2.0</v>
      </c>
      <c r="DF51" s="376" t="s">
        <v>352</v>
      </c>
      <c r="DG51" s="384" t="s">
        <v>450</v>
      </c>
      <c r="DH51" s="378" t="s">
        <v>331</v>
      </c>
      <c r="DI51" s="379" t="s">
        <v>318</v>
      </c>
      <c r="DJ51" s="380" t="s">
        <v>320</v>
      </c>
      <c r="DK51" s="393" t="s">
        <v>319</v>
      </c>
      <c r="DL51" s="378" t="s">
        <v>321</v>
      </c>
      <c r="DM51" s="378" t="s">
        <v>327</v>
      </c>
      <c r="DN51" s="377" t="s">
        <v>340</v>
      </c>
      <c r="DO51" s="379" t="s">
        <v>337</v>
      </c>
      <c r="DP51" s="540"/>
      <c r="DQ51" s="383">
        <v>2.0</v>
      </c>
      <c r="DR51" s="376" t="s">
        <v>322</v>
      </c>
      <c r="DS51" s="385" t="s">
        <v>378</v>
      </c>
      <c r="DT51" s="378" t="s">
        <v>342</v>
      </c>
      <c r="DU51" s="379" t="s">
        <v>318</v>
      </c>
      <c r="DV51" s="381" t="s">
        <v>319</v>
      </c>
      <c r="DW51" s="382" t="s">
        <v>320</v>
      </c>
      <c r="DX51" s="378" t="s">
        <v>321</v>
      </c>
      <c r="DY51" s="378" t="s">
        <v>327</v>
      </c>
      <c r="DZ51" s="384" t="s">
        <v>365</v>
      </c>
      <c r="EA51" s="379" t="s">
        <v>337</v>
      </c>
      <c r="EB51" s="540"/>
      <c r="EC51" s="383">
        <v>2.0</v>
      </c>
      <c r="ED51" s="376" t="s">
        <v>324</v>
      </c>
      <c r="EE51" s="384" t="s">
        <v>462</v>
      </c>
      <c r="EF51" s="378" t="s">
        <v>414</v>
      </c>
      <c r="EG51" s="379" t="s">
        <v>321</v>
      </c>
      <c r="EH51" s="381" t="s">
        <v>319</v>
      </c>
      <c r="EI51" s="382" t="s">
        <v>320</v>
      </c>
      <c r="EJ51" s="378" t="s">
        <v>318</v>
      </c>
      <c r="EK51" s="378" t="s">
        <v>342</v>
      </c>
      <c r="EL51" s="242" t="s">
        <v>350</v>
      </c>
      <c r="EM51" s="379" t="s">
        <v>328</v>
      </c>
      <c r="EN51" s="540"/>
      <c r="EO51" s="383">
        <v>2.0</v>
      </c>
      <c r="EP51" s="376" t="s">
        <v>334</v>
      </c>
      <c r="EQ51" s="242" t="s">
        <v>355</v>
      </c>
      <c r="ER51" s="378" t="s">
        <v>315</v>
      </c>
      <c r="ES51" s="379" t="s">
        <v>318</v>
      </c>
      <c r="ET51" s="381" t="s">
        <v>320</v>
      </c>
      <c r="EU51" s="382" t="s">
        <v>319</v>
      </c>
      <c r="EV51" s="378" t="s">
        <v>321</v>
      </c>
      <c r="EW51" s="378" t="s">
        <v>337</v>
      </c>
      <c r="EX51" s="384" t="s">
        <v>351</v>
      </c>
      <c r="EY51" s="379" t="s">
        <v>342</v>
      </c>
      <c r="EZ51" s="540"/>
      <c r="FA51" s="383">
        <v>2.0</v>
      </c>
      <c r="FB51" s="376" t="s">
        <v>328</v>
      </c>
      <c r="FC51" s="377" t="s">
        <v>356</v>
      </c>
      <c r="FD51" s="378" t="s">
        <v>331</v>
      </c>
      <c r="FE51" s="379" t="s">
        <v>321</v>
      </c>
      <c r="FF51" s="381" t="s">
        <v>319</v>
      </c>
      <c r="FG51" s="382" t="s">
        <v>320</v>
      </c>
      <c r="FH51" s="378" t="s">
        <v>318</v>
      </c>
      <c r="FI51" s="378" t="s">
        <v>342</v>
      </c>
      <c r="FJ51" s="242" t="s">
        <v>422</v>
      </c>
      <c r="FK51" s="379" t="s">
        <v>315</v>
      </c>
      <c r="FL51" s="540"/>
      <c r="FM51" s="383">
        <v>2.0</v>
      </c>
      <c r="FN51" s="376" t="s">
        <v>324</v>
      </c>
      <c r="FO51" s="384" t="s">
        <v>462</v>
      </c>
      <c r="FP51" s="378" t="s">
        <v>328</v>
      </c>
      <c r="FQ51" s="379" t="s">
        <v>321</v>
      </c>
      <c r="FR51" s="381" t="s">
        <v>320</v>
      </c>
      <c r="FS51" s="382" t="s">
        <v>319</v>
      </c>
      <c r="FT51" s="378" t="s">
        <v>318</v>
      </c>
      <c r="FU51" s="378" t="s">
        <v>327</v>
      </c>
      <c r="FV51" s="242" t="s">
        <v>725</v>
      </c>
      <c r="FW51" s="379" t="s">
        <v>315</v>
      </c>
      <c r="FX51" s="540"/>
    </row>
    <row r="52">
      <c r="A52" s="109">
        <v>2.0</v>
      </c>
      <c r="B52" s="429">
        <v>38.0</v>
      </c>
      <c r="C52" s="553" t="str">
        <f>'Schedule | 1 Division'!K18</f>
        <v>Aura Farmers</v>
      </c>
      <c r="D52" s="560">
        <f t="shared" ref="D52:E52" si="79">DV41</f>
        <v>0</v>
      </c>
      <c r="E52" s="560">
        <f t="shared" si="79"/>
        <v>2</v>
      </c>
      <c r="F52" s="555" t="str">
        <f>'Schedule | 1 Division'!O18</f>
        <v>Team Yandex</v>
      </c>
      <c r="G52" s="562" t="str">
        <f t="shared" si="12"/>
        <v>Team Yandex</v>
      </c>
      <c r="H52" s="563" t="str">
        <f t="shared" si="13"/>
        <v/>
      </c>
      <c r="I52" s="563" t="str">
        <f t="shared" si="14"/>
        <v/>
      </c>
      <c r="J52" s="579" t="str">
        <f t="shared" si="15"/>
        <v>Aura Farmers</v>
      </c>
      <c r="K52" s="540"/>
      <c r="L52" s="540"/>
      <c r="M52" s="55"/>
      <c r="N52" s="29" t="s">
        <v>324</v>
      </c>
      <c r="O52" s="372" t="s">
        <v>350</v>
      </c>
      <c r="P52" s="109" t="s">
        <v>342</v>
      </c>
      <c r="Q52" s="92"/>
      <c r="T52" s="55"/>
      <c r="U52" s="109" t="s">
        <v>389</v>
      </c>
      <c r="V52" s="372" t="s">
        <v>383</v>
      </c>
      <c r="W52" s="373" t="s">
        <v>19</v>
      </c>
      <c r="X52" s="540"/>
      <c r="Y52" s="66"/>
      <c r="Z52" s="29" t="s">
        <v>315</v>
      </c>
      <c r="AA52" s="242" t="s">
        <v>458</v>
      </c>
      <c r="AB52" s="109" t="s">
        <v>374</v>
      </c>
      <c r="AC52" s="92"/>
      <c r="AE52" s="92"/>
      <c r="AG52" s="109" t="s">
        <v>483</v>
      </c>
      <c r="AH52" s="242" t="s">
        <v>452</v>
      </c>
      <c r="AI52" s="373" t="s">
        <v>373</v>
      </c>
      <c r="AJ52" s="540"/>
      <c r="AK52" s="66"/>
      <c r="AL52" s="29" t="s">
        <v>342</v>
      </c>
      <c r="AM52" s="242" t="s">
        <v>727</v>
      </c>
      <c r="AN52" s="109" t="s">
        <v>331</v>
      </c>
      <c r="AO52" s="92"/>
      <c r="AQ52" s="92"/>
      <c r="AS52" s="109" t="s">
        <v>352</v>
      </c>
      <c r="AT52" s="242" t="s">
        <v>422</v>
      </c>
      <c r="AU52" s="373" t="s">
        <v>337</v>
      </c>
      <c r="AV52" s="540"/>
      <c r="AW52" s="66"/>
      <c r="AX52" s="29" t="s">
        <v>342</v>
      </c>
      <c r="AY52" s="242" t="s">
        <v>355</v>
      </c>
      <c r="AZ52" s="109" t="s">
        <v>408</v>
      </c>
      <c r="BA52" s="92"/>
      <c r="BC52" s="92"/>
      <c r="BE52" s="109" t="s">
        <v>384</v>
      </c>
      <c r="BF52" s="242" t="s">
        <v>462</v>
      </c>
      <c r="BG52" s="373" t="s">
        <v>324</v>
      </c>
      <c r="BH52" s="540"/>
      <c r="BI52" s="66"/>
      <c r="BJ52" s="29" t="s">
        <v>327</v>
      </c>
      <c r="BK52" s="242" t="s">
        <v>426</v>
      </c>
      <c r="BL52" s="109" t="s">
        <v>348</v>
      </c>
      <c r="BM52" s="92"/>
      <c r="BO52" s="92"/>
      <c r="BQ52" s="109" t="s">
        <v>374</v>
      </c>
      <c r="BR52" s="242" t="s">
        <v>365</v>
      </c>
      <c r="BS52" s="373" t="s">
        <v>369</v>
      </c>
      <c r="BT52" s="540"/>
      <c r="BU52" s="66"/>
      <c r="BV52" s="29" t="s">
        <v>342</v>
      </c>
      <c r="BW52" s="242" t="s">
        <v>351</v>
      </c>
      <c r="BX52" s="109" t="s">
        <v>337</v>
      </c>
      <c r="BY52" s="92"/>
      <c r="CA52" s="92"/>
      <c r="CC52" s="109" t="s">
        <v>361</v>
      </c>
      <c r="CD52" s="242" t="s">
        <v>556</v>
      </c>
      <c r="CE52" s="373" t="s">
        <v>334</v>
      </c>
      <c r="CF52" s="540"/>
      <c r="CG52" s="66"/>
      <c r="CH52" s="29" t="s">
        <v>325</v>
      </c>
      <c r="CI52" s="242" t="s">
        <v>381</v>
      </c>
      <c r="CJ52" s="109" t="s">
        <v>418</v>
      </c>
      <c r="CK52" s="92"/>
      <c r="CM52" s="92"/>
      <c r="CO52" s="109" t="s">
        <v>384</v>
      </c>
      <c r="CP52" s="372" t="s">
        <v>386</v>
      </c>
      <c r="CQ52" s="373" t="s">
        <v>331</v>
      </c>
      <c r="CR52" s="540"/>
      <c r="CS52" s="66"/>
      <c r="CT52" s="29" t="s">
        <v>324</v>
      </c>
      <c r="CU52" s="242" t="s">
        <v>452</v>
      </c>
      <c r="CV52" s="109" t="s">
        <v>328</v>
      </c>
      <c r="CW52" s="92"/>
      <c r="CY52" s="92"/>
      <c r="DA52" s="109" t="s">
        <v>19</v>
      </c>
      <c r="DB52" s="242" t="s">
        <v>556</v>
      </c>
      <c r="DC52" s="373" t="s">
        <v>325</v>
      </c>
      <c r="DD52" s="540"/>
      <c r="DE52" s="66"/>
      <c r="DF52" s="29" t="s">
        <v>317</v>
      </c>
      <c r="DG52" s="242" t="s">
        <v>448</v>
      </c>
      <c r="DH52" s="109" t="s">
        <v>315</v>
      </c>
      <c r="DI52" s="92"/>
      <c r="DK52" s="92"/>
      <c r="DM52" s="109" t="s">
        <v>400</v>
      </c>
      <c r="DN52" s="372" t="s">
        <v>356</v>
      </c>
      <c r="DO52" s="373" t="s">
        <v>328</v>
      </c>
      <c r="DP52" s="540"/>
      <c r="DQ52" s="66"/>
      <c r="DR52" s="29" t="s">
        <v>324</v>
      </c>
      <c r="DS52" s="240" t="s">
        <v>349</v>
      </c>
      <c r="DT52" s="109" t="s">
        <v>377</v>
      </c>
      <c r="DU52" s="92"/>
      <c r="DW52" s="92"/>
      <c r="DY52" s="109" t="s">
        <v>328</v>
      </c>
      <c r="DZ52" s="242" t="s">
        <v>393</v>
      </c>
      <c r="EA52" s="373" t="s">
        <v>315</v>
      </c>
      <c r="EB52" s="540"/>
      <c r="EC52" s="66"/>
      <c r="ED52" s="29" t="s">
        <v>327</v>
      </c>
      <c r="EE52" s="242" t="s">
        <v>464</v>
      </c>
      <c r="EF52" s="109" t="s">
        <v>19</v>
      </c>
      <c r="EG52" s="92"/>
      <c r="EI52" s="92"/>
      <c r="EK52" s="109" t="s">
        <v>412</v>
      </c>
      <c r="EL52" s="242" t="s">
        <v>727</v>
      </c>
      <c r="EM52" s="373" t="s">
        <v>325</v>
      </c>
      <c r="EN52" s="540"/>
      <c r="EO52" s="66"/>
      <c r="EP52" s="29" t="s">
        <v>331</v>
      </c>
      <c r="EQ52" s="242" t="s">
        <v>339</v>
      </c>
      <c r="ER52" s="109" t="s">
        <v>377</v>
      </c>
      <c r="ES52" s="92"/>
      <c r="EU52" s="92"/>
      <c r="EW52" s="109" t="s">
        <v>348</v>
      </c>
      <c r="EX52" s="242" t="s">
        <v>393</v>
      </c>
      <c r="EY52" s="373" t="s">
        <v>324</v>
      </c>
      <c r="EZ52" s="540"/>
      <c r="FA52" s="66"/>
      <c r="FB52" s="29" t="s">
        <v>337</v>
      </c>
      <c r="FC52" s="372" t="s">
        <v>340</v>
      </c>
      <c r="FD52" s="109" t="s">
        <v>327</v>
      </c>
      <c r="FE52" s="92"/>
      <c r="FG52" s="92"/>
      <c r="FI52" s="109" t="s">
        <v>19</v>
      </c>
      <c r="FJ52" s="242" t="s">
        <v>437</v>
      </c>
      <c r="FK52" s="373" t="s">
        <v>341</v>
      </c>
      <c r="FL52" s="540"/>
      <c r="FM52" s="66"/>
      <c r="FN52" s="29" t="s">
        <v>342</v>
      </c>
      <c r="FO52" s="242" t="s">
        <v>458</v>
      </c>
      <c r="FP52" s="109" t="s">
        <v>341</v>
      </c>
      <c r="FQ52" s="92"/>
      <c r="FS52" s="92"/>
      <c r="FU52" s="109" t="s">
        <v>359</v>
      </c>
      <c r="FV52" s="242" t="s">
        <v>426</v>
      </c>
      <c r="FW52" s="373" t="s">
        <v>331</v>
      </c>
      <c r="FX52" s="540"/>
    </row>
    <row r="53">
      <c r="A53" s="109">
        <v>2.0</v>
      </c>
      <c r="B53" s="429">
        <v>39.0</v>
      </c>
      <c r="C53" s="555" t="str">
        <f>'Schedule | 1 Division'!K19</f>
        <v>FORZE</v>
      </c>
      <c r="D53" s="561">
        <f t="shared" ref="D53:E53" si="80">DV61</f>
        <v>1</v>
      </c>
      <c r="E53" s="561">
        <f t="shared" si="80"/>
        <v>2</v>
      </c>
      <c r="F53" s="553" t="str">
        <f>'Schedule | 1 Division'!O19</f>
        <v>Virtus.pro</v>
      </c>
      <c r="G53" s="562" t="str">
        <f t="shared" si="12"/>
        <v/>
      </c>
      <c r="H53" s="563" t="str">
        <f t="shared" si="13"/>
        <v>Virtus.pro</v>
      </c>
      <c r="I53" s="563" t="str">
        <f t="shared" si="14"/>
        <v>FORZE</v>
      </c>
      <c r="J53" s="579" t="str">
        <f t="shared" si="15"/>
        <v/>
      </c>
      <c r="K53" s="540"/>
      <c r="L53" s="540"/>
      <c r="M53" s="55"/>
      <c r="N53" s="29" t="s">
        <v>331</v>
      </c>
      <c r="O53" s="372" t="s">
        <v>556</v>
      </c>
      <c r="P53" s="109" t="s">
        <v>322</v>
      </c>
      <c r="Q53" s="92"/>
      <c r="T53" s="55"/>
      <c r="U53" s="109" t="s">
        <v>337</v>
      </c>
      <c r="V53" s="372" t="s">
        <v>339</v>
      </c>
      <c r="W53" s="373" t="s">
        <v>315</v>
      </c>
      <c r="X53" s="540"/>
      <c r="Y53" s="66"/>
      <c r="Z53" s="29" t="s">
        <v>325</v>
      </c>
      <c r="AA53" s="242" t="s">
        <v>464</v>
      </c>
      <c r="AB53" s="109" t="s">
        <v>389</v>
      </c>
      <c r="AC53" s="92"/>
      <c r="AE53" s="92"/>
      <c r="AG53" s="109" t="s">
        <v>348</v>
      </c>
      <c r="AH53" s="242" t="s">
        <v>448</v>
      </c>
      <c r="AI53" s="373" t="s">
        <v>327</v>
      </c>
      <c r="AJ53" s="540"/>
      <c r="AK53" s="66"/>
      <c r="AL53" s="29" t="s">
        <v>324</v>
      </c>
      <c r="AM53" s="242" t="s">
        <v>729</v>
      </c>
      <c r="AN53" s="109" t="s">
        <v>328</v>
      </c>
      <c r="AO53" s="92"/>
      <c r="AQ53" s="92"/>
      <c r="AS53" s="109" t="s">
        <v>334</v>
      </c>
      <c r="AT53" s="242" t="s">
        <v>442</v>
      </c>
      <c r="AU53" s="373" t="s">
        <v>387</v>
      </c>
      <c r="AV53" s="540"/>
      <c r="AW53" s="66"/>
      <c r="AX53" s="29" t="s">
        <v>331</v>
      </c>
      <c r="AY53" s="242" t="s">
        <v>350</v>
      </c>
      <c r="AZ53" s="109" t="s">
        <v>342</v>
      </c>
      <c r="BA53" s="92"/>
      <c r="BC53" s="92"/>
      <c r="BE53" s="109" t="s">
        <v>369</v>
      </c>
      <c r="BF53" s="242" t="s">
        <v>464</v>
      </c>
      <c r="BG53" s="373" t="s">
        <v>337</v>
      </c>
      <c r="BH53" s="540"/>
      <c r="BI53" s="66"/>
      <c r="BJ53" s="29" t="s">
        <v>325</v>
      </c>
      <c r="BK53" s="242" t="s">
        <v>442</v>
      </c>
      <c r="BL53" s="109" t="s">
        <v>343</v>
      </c>
      <c r="BM53" s="92"/>
      <c r="BO53" s="92"/>
      <c r="BQ53" s="109" t="s">
        <v>400</v>
      </c>
      <c r="BR53" s="242" t="s">
        <v>335</v>
      </c>
      <c r="BS53" s="373" t="s">
        <v>317</v>
      </c>
      <c r="BT53" s="540"/>
      <c r="BU53" s="66"/>
      <c r="BV53" s="29" t="s">
        <v>324</v>
      </c>
      <c r="BW53" s="242" t="s">
        <v>335</v>
      </c>
      <c r="BX53" s="109" t="s">
        <v>317</v>
      </c>
      <c r="BY53" s="92"/>
      <c r="CA53" s="92"/>
      <c r="CC53" s="109" t="s">
        <v>377</v>
      </c>
      <c r="CD53" s="242" t="s">
        <v>729</v>
      </c>
      <c r="CE53" s="373" t="s">
        <v>315</v>
      </c>
      <c r="CF53" s="540"/>
      <c r="CG53" s="66"/>
      <c r="CH53" s="29" t="s">
        <v>328</v>
      </c>
      <c r="CI53" s="242" t="s">
        <v>351</v>
      </c>
      <c r="CJ53" s="109" t="s">
        <v>352</v>
      </c>
      <c r="CK53" s="92"/>
      <c r="CM53" s="92"/>
      <c r="CO53" s="109" t="s">
        <v>315</v>
      </c>
      <c r="CP53" s="372" t="s">
        <v>340</v>
      </c>
      <c r="CQ53" s="373" t="s">
        <v>324</v>
      </c>
      <c r="CR53" s="540"/>
      <c r="CS53" s="66"/>
      <c r="CT53" s="29" t="s">
        <v>327</v>
      </c>
      <c r="CU53" s="242" t="s">
        <v>454</v>
      </c>
      <c r="CV53" s="109" t="s">
        <v>405</v>
      </c>
      <c r="CW53" s="92"/>
      <c r="CY53" s="92"/>
      <c r="DA53" s="109" t="s">
        <v>401</v>
      </c>
      <c r="DB53" s="242" t="s">
        <v>729</v>
      </c>
      <c r="DC53" s="373" t="s">
        <v>315</v>
      </c>
      <c r="DD53" s="540"/>
      <c r="DE53" s="66"/>
      <c r="DF53" s="29" t="s">
        <v>324</v>
      </c>
      <c r="DG53" s="242" t="s">
        <v>452</v>
      </c>
      <c r="DH53" s="109" t="s">
        <v>401</v>
      </c>
      <c r="DI53" s="92"/>
      <c r="DK53" s="92"/>
      <c r="DM53" s="109" t="s">
        <v>346</v>
      </c>
      <c r="DN53" s="372" t="s">
        <v>367</v>
      </c>
      <c r="DO53" s="373" t="s">
        <v>342</v>
      </c>
      <c r="DP53" s="540"/>
      <c r="DQ53" s="66"/>
      <c r="DR53" s="29" t="s">
        <v>317</v>
      </c>
      <c r="DS53" s="240" t="s">
        <v>338</v>
      </c>
      <c r="DT53" s="109" t="s">
        <v>361</v>
      </c>
      <c r="DU53" s="92"/>
      <c r="DW53" s="92"/>
      <c r="DY53" s="109" t="s">
        <v>400</v>
      </c>
      <c r="DZ53" s="242" t="s">
        <v>335</v>
      </c>
      <c r="EA53" s="373" t="s">
        <v>331</v>
      </c>
      <c r="EB53" s="540"/>
      <c r="EC53" s="66"/>
      <c r="ED53" s="29" t="s">
        <v>331</v>
      </c>
      <c r="EE53" s="242" t="s">
        <v>468</v>
      </c>
      <c r="EF53" s="109" t="s">
        <v>337</v>
      </c>
      <c r="EG53" s="92"/>
      <c r="EI53" s="92"/>
      <c r="EK53" s="109" t="s">
        <v>377</v>
      </c>
      <c r="EL53" s="242" t="s">
        <v>339</v>
      </c>
      <c r="EM53" s="373" t="s">
        <v>317</v>
      </c>
      <c r="EN53" s="540"/>
      <c r="EO53" s="66"/>
      <c r="EP53" s="29" t="s">
        <v>327</v>
      </c>
      <c r="EQ53" s="242" t="s">
        <v>727</v>
      </c>
      <c r="ER53" s="109" t="s">
        <v>400</v>
      </c>
      <c r="ES53" s="92"/>
      <c r="EU53" s="92"/>
      <c r="EW53" s="109" t="s">
        <v>412</v>
      </c>
      <c r="EX53" s="242" t="s">
        <v>335</v>
      </c>
      <c r="EY53" s="373" t="s">
        <v>317</v>
      </c>
      <c r="EZ53" s="540"/>
      <c r="FA53" s="66"/>
      <c r="FB53" s="29" t="s">
        <v>400</v>
      </c>
      <c r="FC53" s="372" t="s">
        <v>397</v>
      </c>
      <c r="FD53" s="109" t="s">
        <v>410</v>
      </c>
      <c r="FE53" s="92"/>
      <c r="FG53" s="92"/>
      <c r="FI53" s="109" t="s">
        <v>368</v>
      </c>
      <c r="FJ53" s="242" t="s">
        <v>426</v>
      </c>
      <c r="FK53" s="373" t="s">
        <v>324</v>
      </c>
      <c r="FL53" s="540"/>
      <c r="FM53" s="66"/>
      <c r="FN53" s="29" t="s">
        <v>334</v>
      </c>
      <c r="FO53" s="242" t="s">
        <v>464</v>
      </c>
      <c r="FP53" s="109" t="s">
        <v>361</v>
      </c>
      <c r="FQ53" s="92"/>
      <c r="FS53" s="92"/>
      <c r="FU53" s="109" t="s">
        <v>411</v>
      </c>
      <c r="FV53" s="242" t="s">
        <v>442</v>
      </c>
      <c r="FW53" s="373" t="s">
        <v>317</v>
      </c>
      <c r="FX53" s="540"/>
    </row>
    <row r="54">
      <c r="A54" s="109">
        <v>2.0</v>
      </c>
      <c r="B54" s="429">
        <v>40.0</v>
      </c>
      <c r="C54" s="555" t="str">
        <f>'Schedule | 1 Division'!K20</f>
        <v>Verso Time</v>
      </c>
      <c r="D54" s="561">
        <f t="shared" ref="D54:E54" si="81">DV81</f>
        <v>2</v>
      </c>
      <c r="E54" s="561">
        <f t="shared" si="81"/>
        <v>0</v>
      </c>
      <c r="F54" s="555" t="str">
        <f>'Schedule | 1 Division'!O20</f>
        <v>Magic</v>
      </c>
      <c r="G54" s="562" t="str">
        <f t="shared" si="12"/>
        <v>Verso Time</v>
      </c>
      <c r="H54" s="563" t="str">
        <f t="shared" si="13"/>
        <v/>
      </c>
      <c r="I54" s="563" t="str">
        <f t="shared" si="14"/>
        <v/>
      </c>
      <c r="J54" s="579" t="str">
        <f t="shared" si="15"/>
        <v>Magic</v>
      </c>
      <c r="K54" s="540"/>
      <c r="L54" s="540"/>
      <c r="M54" s="55"/>
      <c r="N54" s="29" t="s">
        <v>352</v>
      </c>
      <c r="O54" s="372" t="s">
        <v>355</v>
      </c>
      <c r="P54" s="109" t="s">
        <v>374</v>
      </c>
      <c r="Q54" s="92"/>
      <c r="T54" s="55"/>
      <c r="U54" s="109" t="s">
        <v>377</v>
      </c>
      <c r="V54" s="372" t="s">
        <v>336</v>
      </c>
      <c r="W54" s="373" t="s">
        <v>328</v>
      </c>
      <c r="X54" s="540"/>
      <c r="Y54" s="66"/>
      <c r="Z54" s="29" t="s">
        <v>414</v>
      </c>
      <c r="AA54" s="242" t="s">
        <v>576</v>
      </c>
      <c r="AB54" s="109" t="s">
        <v>331</v>
      </c>
      <c r="AC54" s="92"/>
      <c r="AE54" s="92"/>
      <c r="AG54" s="109" t="s">
        <v>369</v>
      </c>
      <c r="AH54" s="242" t="s">
        <v>449</v>
      </c>
      <c r="AI54" s="373" t="s">
        <v>354</v>
      </c>
      <c r="AJ54" s="540"/>
      <c r="AK54" s="66"/>
      <c r="AL54" s="29" t="s">
        <v>384</v>
      </c>
      <c r="AM54" s="242" t="s">
        <v>350</v>
      </c>
      <c r="AN54" s="109" t="s">
        <v>404</v>
      </c>
      <c r="AO54" s="92"/>
      <c r="AQ54" s="92"/>
      <c r="AS54" s="109" t="s">
        <v>368</v>
      </c>
      <c r="AT54" s="242" t="s">
        <v>426</v>
      </c>
      <c r="AU54" s="373" t="s">
        <v>374</v>
      </c>
      <c r="AV54" s="540"/>
      <c r="AW54" s="66"/>
      <c r="AX54" s="29" t="s">
        <v>334</v>
      </c>
      <c r="AY54" s="242" t="s">
        <v>556</v>
      </c>
      <c r="AZ54" s="109" t="s">
        <v>396</v>
      </c>
      <c r="BA54" s="92"/>
      <c r="BC54" s="92"/>
      <c r="BE54" s="109" t="s">
        <v>325</v>
      </c>
      <c r="BF54" s="242" t="s">
        <v>576</v>
      </c>
      <c r="BG54" s="373" t="s">
        <v>322</v>
      </c>
      <c r="BH54" s="540"/>
      <c r="BI54" s="66"/>
      <c r="BJ54" s="29" t="s">
        <v>389</v>
      </c>
      <c r="BK54" s="242" t="s">
        <v>725</v>
      </c>
      <c r="BL54" s="109" t="s">
        <v>401</v>
      </c>
      <c r="BM54" s="92"/>
      <c r="BO54" s="92"/>
      <c r="BQ54" s="109" t="s">
        <v>418</v>
      </c>
      <c r="BR54" s="242" t="s">
        <v>381</v>
      </c>
      <c r="BS54" s="373" t="s">
        <v>328</v>
      </c>
      <c r="BT54" s="540"/>
      <c r="BU54" s="66"/>
      <c r="BV54" s="29" t="s">
        <v>374</v>
      </c>
      <c r="BW54" s="242" t="s">
        <v>381</v>
      </c>
      <c r="BX54" s="109" t="s">
        <v>322</v>
      </c>
      <c r="BY54" s="92"/>
      <c r="CA54" s="92"/>
      <c r="CC54" s="109" t="s">
        <v>352</v>
      </c>
      <c r="CD54" s="242" t="s">
        <v>350</v>
      </c>
      <c r="CE54" s="373" t="s">
        <v>384</v>
      </c>
      <c r="CF54" s="540"/>
      <c r="CG54" s="66"/>
      <c r="CH54" s="29" t="s">
        <v>382</v>
      </c>
      <c r="CI54" s="242" t="s">
        <v>393</v>
      </c>
      <c r="CJ54" s="109" t="s">
        <v>380</v>
      </c>
      <c r="CK54" s="92"/>
      <c r="CM54" s="92"/>
      <c r="CO54" s="109" t="s">
        <v>337</v>
      </c>
      <c r="CP54" s="372" t="s">
        <v>367</v>
      </c>
      <c r="CQ54" s="373" t="s">
        <v>414</v>
      </c>
      <c r="CR54" s="540"/>
      <c r="CS54" s="66"/>
      <c r="CT54" s="29" t="s">
        <v>377</v>
      </c>
      <c r="CU54" s="242" t="s">
        <v>449</v>
      </c>
      <c r="CV54" s="109" t="s">
        <v>389</v>
      </c>
      <c r="CW54" s="92"/>
      <c r="CY54" s="92"/>
      <c r="DA54" s="109" t="s">
        <v>352</v>
      </c>
      <c r="DB54" s="242" t="s">
        <v>350</v>
      </c>
      <c r="DC54" s="373" t="s">
        <v>369</v>
      </c>
      <c r="DD54" s="540"/>
      <c r="DE54" s="66"/>
      <c r="DF54" s="29" t="s">
        <v>348</v>
      </c>
      <c r="DG54" s="242" t="s">
        <v>454</v>
      </c>
      <c r="DH54" s="109" t="s">
        <v>407</v>
      </c>
      <c r="DI54" s="92"/>
      <c r="DK54" s="92"/>
      <c r="DM54" s="109" t="s">
        <v>332</v>
      </c>
      <c r="DN54" s="372" t="s">
        <v>397</v>
      </c>
      <c r="DO54" s="373" t="s">
        <v>405</v>
      </c>
      <c r="DP54" s="540"/>
      <c r="DQ54" s="66"/>
      <c r="DR54" s="29" t="s">
        <v>352</v>
      </c>
      <c r="DS54" s="240" t="s">
        <v>326</v>
      </c>
      <c r="DT54" s="109" t="s">
        <v>341</v>
      </c>
      <c r="DU54" s="92"/>
      <c r="DW54" s="92"/>
      <c r="DY54" s="109" t="s">
        <v>376</v>
      </c>
      <c r="DZ54" s="242" t="s">
        <v>381</v>
      </c>
      <c r="EA54" s="373" t="s">
        <v>334</v>
      </c>
      <c r="EB54" s="540"/>
      <c r="EC54" s="66"/>
      <c r="ED54" s="29" t="s">
        <v>368</v>
      </c>
      <c r="EE54" s="242" t="s">
        <v>458</v>
      </c>
      <c r="EF54" s="109" t="s">
        <v>315</v>
      </c>
      <c r="EG54" s="92"/>
      <c r="EI54" s="92"/>
      <c r="EK54" s="109" t="s">
        <v>391</v>
      </c>
      <c r="EL54" s="242" t="s">
        <v>355</v>
      </c>
      <c r="EM54" s="373" t="s">
        <v>380</v>
      </c>
      <c r="EN54" s="540"/>
      <c r="EO54" s="66"/>
      <c r="EP54" s="29" t="s">
        <v>401</v>
      </c>
      <c r="EQ54" s="242" t="s">
        <v>556</v>
      </c>
      <c r="ER54" s="109" t="s">
        <v>382</v>
      </c>
      <c r="ES54" s="92"/>
      <c r="EU54" s="92"/>
      <c r="EW54" s="109" t="s">
        <v>361</v>
      </c>
      <c r="EX54" s="242" t="s">
        <v>381</v>
      </c>
      <c r="EY54" s="373" t="s">
        <v>332</v>
      </c>
      <c r="EZ54" s="540"/>
      <c r="FA54" s="66"/>
      <c r="FB54" s="29" t="s">
        <v>343</v>
      </c>
      <c r="FC54" s="372" t="s">
        <v>386</v>
      </c>
      <c r="FD54" s="109" t="s">
        <v>377</v>
      </c>
      <c r="FE54" s="92"/>
      <c r="FG54" s="92"/>
      <c r="FI54" s="109" t="s">
        <v>334</v>
      </c>
      <c r="FJ54" s="242" t="s">
        <v>442</v>
      </c>
      <c r="FK54" s="373" t="s">
        <v>387</v>
      </c>
      <c r="FL54" s="540"/>
      <c r="FM54" s="66"/>
      <c r="FN54" s="29" t="s">
        <v>382</v>
      </c>
      <c r="FO54" s="242" t="s">
        <v>460</v>
      </c>
      <c r="FP54" s="109" t="s">
        <v>343</v>
      </c>
      <c r="FQ54" s="92"/>
      <c r="FS54" s="92"/>
      <c r="FU54" s="109" t="s">
        <v>19</v>
      </c>
      <c r="FV54" s="242" t="s">
        <v>437</v>
      </c>
      <c r="FW54" s="373" t="s">
        <v>337</v>
      </c>
      <c r="FX54" s="540"/>
    </row>
    <row r="55">
      <c r="A55" s="378">
        <v>2.0</v>
      </c>
      <c r="B55" s="587">
        <v>41.0</v>
      </c>
      <c r="C55" s="588" t="str">
        <f>'Schedule | 1 Division'!K23</f>
        <v>Virtus.pro</v>
      </c>
      <c r="D55" s="589">
        <f t="shared" ref="D55:E55" si="82">EH21</f>
        <v>1</v>
      </c>
      <c r="E55" s="589">
        <f t="shared" si="82"/>
        <v>2</v>
      </c>
      <c r="F55" s="590" t="str">
        <f>'Schedule | 1 Division'!O23</f>
        <v>Verso Time</v>
      </c>
      <c r="G55" s="591" t="str">
        <f t="shared" si="12"/>
        <v/>
      </c>
      <c r="H55" s="592" t="str">
        <f t="shared" si="13"/>
        <v>Verso Time</v>
      </c>
      <c r="I55" s="592" t="str">
        <f t="shared" si="14"/>
        <v>Virtus.pro</v>
      </c>
      <c r="J55" s="593" t="str">
        <f t="shared" si="15"/>
        <v/>
      </c>
      <c r="K55" s="540"/>
      <c r="L55" s="540"/>
      <c r="M55" s="386"/>
      <c r="N55" s="387" t="s">
        <v>401</v>
      </c>
      <c r="O55" s="388" t="s">
        <v>727</v>
      </c>
      <c r="P55" s="389" t="s">
        <v>334</v>
      </c>
      <c r="Q55" s="375"/>
      <c r="R55" s="374"/>
      <c r="S55" s="374"/>
      <c r="T55" s="386"/>
      <c r="U55" s="389" t="s">
        <v>412</v>
      </c>
      <c r="V55" s="388" t="s">
        <v>366</v>
      </c>
      <c r="W55" s="390" t="s">
        <v>373</v>
      </c>
      <c r="X55" s="540"/>
      <c r="Y55" s="134"/>
      <c r="Z55" s="387" t="s">
        <v>408</v>
      </c>
      <c r="AA55" s="391" t="s">
        <v>468</v>
      </c>
      <c r="AB55" s="389" t="s">
        <v>342</v>
      </c>
      <c r="AC55" s="375"/>
      <c r="AD55" s="374"/>
      <c r="AE55" s="375"/>
      <c r="AF55" s="374"/>
      <c r="AG55" s="389" t="s">
        <v>337</v>
      </c>
      <c r="AH55" s="391" t="s">
        <v>454</v>
      </c>
      <c r="AI55" s="390" t="s">
        <v>368</v>
      </c>
      <c r="AJ55" s="540"/>
      <c r="AK55" s="134"/>
      <c r="AL55" s="387" t="s">
        <v>377</v>
      </c>
      <c r="AM55" s="391" t="s">
        <v>355</v>
      </c>
      <c r="AN55" s="389" t="s">
        <v>348</v>
      </c>
      <c r="AO55" s="375"/>
      <c r="AP55" s="374"/>
      <c r="AQ55" s="375"/>
      <c r="AR55" s="374"/>
      <c r="AS55" s="389" t="s">
        <v>483</v>
      </c>
      <c r="AT55" s="391" t="s">
        <v>725</v>
      </c>
      <c r="AU55" s="390" t="s">
        <v>408</v>
      </c>
      <c r="AV55" s="540"/>
      <c r="AW55" s="134"/>
      <c r="AX55" s="387" t="s">
        <v>352</v>
      </c>
      <c r="AY55" s="391" t="s">
        <v>729</v>
      </c>
      <c r="AZ55" s="389" t="s">
        <v>377</v>
      </c>
      <c r="BA55" s="375"/>
      <c r="BB55" s="374"/>
      <c r="BC55" s="375"/>
      <c r="BD55" s="374"/>
      <c r="BE55" s="389" t="s">
        <v>379</v>
      </c>
      <c r="BF55" s="391" t="s">
        <v>468</v>
      </c>
      <c r="BG55" s="390" t="s">
        <v>418</v>
      </c>
      <c r="BH55" s="540"/>
      <c r="BI55" s="134"/>
      <c r="BJ55" s="387" t="s">
        <v>384</v>
      </c>
      <c r="BK55" s="391" t="s">
        <v>422</v>
      </c>
      <c r="BL55" s="389" t="s">
        <v>352</v>
      </c>
      <c r="BM55" s="375"/>
      <c r="BN55" s="374"/>
      <c r="BO55" s="375"/>
      <c r="BP55" s="374"/>
      <c r="BQ55" s="389" t="s">
        <v>342</v>
      </c>
      <c r="BR55" s="391" t="s">
        <v>351</v>
      </c>
      <c r="BS55" s="390" t="s">
        <v>368</v>
      </c>
      <c r="BT55" s="540"/>
      <c r="BU55" s="134"/>
      <c r="BV55" s="387" t="s">
        <v>369</v>
      </c>
      <c r="BW55" s="391" t="s">
        <v>393</v>
      </c>
      <c r="BX55" s="389" t="s">
        <v>414</v>
      </c>
      <c r="BY55" s="375"/>
      <c r="BZ55" s="374"/>
      <c r="CA55" s="375"/>
      <c r="CB55" s="374"/>
      <c r="CC55" s="389" t="s">
        <v>373</v>
      </c>
      <c r="CD55" s="391" t="s">
        <v>355</v>
      </c>
      <c r="CE55" s="390" t="s">
        <v>19</v>
      </c>
      <c r="CF55" s="540"/>
      <c r="CG55" s="134"/>
      <c r="CH55" s="387" t="s">
        <v>369</v>
      </c>
      <c r="CI55" s="391" t="s">
        <v>335</v>
      </c>
      <c r="CJ55" s="389" t="s">
        <v>343</v>
      </c>
      <c r="CK55" s="375"/>
      <c r="CL55" s="374"/>
      <c r="CM55" s="375"/>
      <c r="CN55" s="374"/>
      <c r="CO55" s="389" t="s">
        <v>361</v>
      </c>
      <c r="CP55" s="388" t="s">
        <v>397</v>
      </c>
      <c r="CQ55" s="390" t="s">
        <v>375</v>
      </c>
      <c r="CR55" s="540"/>
      <c r="CS55" s="134"/>
      <c r="CT55" s="387" t="s">
        <v>361</v>
      </c>
      <c r="CU55" s="391" t="s">
        <v>448</v>
      </c>
      <c r="CV55" s="389" t="s">
        <v>374</v>
      </c>
      <c r="CW55" s="375"/>
      <c r="CX55" s="374"/>
      <c r="CY55" s="375"/>
      <c r="CZ55" s="374"/>
      <c r="DA55" s="389" t="s">
        <v>348</v>
      </c>
      <c r="DB55" s="391" t="s">
        <v>355</v>
      </c>
      <c r="DC55" s="390" t="s">
        <v>410</v>
      </c>
      <c r="DD55" s="540"/>
      <c r="DE55" s="134"/>
      <c r="DF55" s="387" t="s">
        <v>19</v>
      </c>
      <c r="DG55" s="391" t="s">
        <v>449</v>
      </c>
      <c r="DH55" s="389" t="s">
        <v>322</v>
      </c>
      <c r="DI55" s="375"/>
      <c r="DJ55" s="374"/>
      <c r="DK55" s="375"/>
      <c r="DL55" s="374"/>
      <c r="DM55" s="389" t="s">
        <v>377</v>
      </c>
      <c r="DN55" s="388" t="s">
        <v>386</v>
      </c>
      <c r="DO55" s="390" t="s">
        <v>387</v>
      </c>
      <c r="DP55" s="540"/>
      <c r="DQ55" s="134"/>
      <c r="DR55" s="387" t="s">
        <v>385</v>
      </c>
      <c r="DS55" s="392" t="s">
        <v>330</v>
      </c>
      <c r="DT55" s="389" t="s">
        <v>343</v>
      </c>
      <c r="DU55" s="375"/>
      <c r="DV55" s="374"/>
      <c r="DW55" s="375"/>
      <c r="DX55" s="374"/>
      <c r="DY55" s="389" t="s">
        <v>443</v>
      </c>
      <c r="DZ55" s="391" t="s">
        <v>351</v>
      </c>
      <c r="EA55" s="390" t="s">
        <v>374</v>
      </c>
      <c r="EB55" s="540"/>
      <c r="EC55" s="134"/>
      <c r="ED55" s="387" t="s">
        <v>374</v>
      </c>
      <c r="EE55" s="391" t="s">
        <v>460</v>
      </c>
      <c r="EF55" s="389" t="s">
        <v>400</v>
      </c>
      <c r="EG55" s="375"/>
      <c r="EH55" s="374"/>
      <c r="EI55" s="375"/>
      <c r="EJ55" s="374"/>
      <c r="EK55" s="389" t="s">
        <v>332</v>
      </c>
      <c r="EL55" s="391" t="s">
        <v>556</v>
      </c>
      <c r="EM55" s="390" t="s">
        <v>384</v>
      </c>
      <c r="EN55" s="540"/>
      <c r="EO55" s="134"/>
      <c r="EP55" s="387" t="s">
        <v>380</v>
      </c>
      <c r="EQ55" s="391" t="s">
        <v>350</v>
      </c>
      <c r="ER55" s="389" t="s">
        <v>439</v>
      </c>
      <c r="ES55" s="375"/>
      <c r="ET55" s="374"/>
      <c r="EU55" s="375"/>
      <c r="EV55" s="374"/>
      <c r="EW55" s="389" t="s">
        <v>485</v>
      </c>
      <c r="EX55" s="391" t="s">
        <v>365</v>
      </c>
      <c r="EY55" s="390" t="s">
        <v>19</v>
      </c>
      <c r="EZ55" s="540"/>
      <c r="FA55" s="134"/>
      <c r="FB55" s="387" t="s">
        <v>317</v>
      </c>
      <c r="FC55" s="388" t="s">
        <v>367</v>
      </c>
      <c r="FD55" s="389" t="s">
        <v>405</v>
      </c>
      <c r="FE55" s="375"/>
      <c r="FF55" s="374"/>
      <c r="FG55" s="375"/>
      <c r="FH55" s="374"/>
      <c r="FI55" s="389" t="s">
        <v>470</v>
      </c>
      <c r="FJ55" s="391" t="s">
        <v>725</v>
      </c>
      <c r="FK55" s="390" t="s">
        <v>743</v>
      </c>
      <c r="FL55" s="540"/>
      <c r="FM55" s="134"/>
      <c r="FN55" s="387" t="s">
        <v>434</v>
      </c>
      <c r="FO55" s="391" t="s">
        <v>468</v>
      </c>
      <c r="FP55" s="389" t="s">
        <v>387</v>
      </c>
      <c r="FQ55" s="375"/>
      <c r="FR55" s="374"/>
      <c r="FS55" s="375"/>
      <c r="FT55" s="374"/>
      <c r="FU55" s="389" t="s">
        <v>405</v>
      </c>
      <c r="FV55" s="391" t="s">
        <v>422</v>
      </c>
      <c r="FW55" s="390" t="s">
        <v>396</v>
      </c>
      <c r="FX55" s="540"/>
    </row>
    <row r="56">
      <c r="A56" s="109">
        <v>2.0</v>
      </c>
      <c r="B56" s="429">
        <v>42.0</v>
      </c>
      <c r="C56" s="555" t="str">
        <f>'Schedule | 1 Division'!K24</f>
        <v>Aura Farmers</v>
      </c>
      <c r="D56" s="561">
        <f t="shared" ref="D56:E56" si="83">EH41</f>
        <v>1</v>
      </c>
      <c r="E56" s="561">
        <f t="shared" si="83"/>
        <v>2</v>
      </c>
      <c r="F56" s="555" t="str">
        <f>'Schedule | 1 Division'!O24</f>
        <v>FORZE</v>
      </c>
      <c r="G56" s="562" t="str">
        <f t="shared" si="12"/>
        <v/>
      </c>
      <c r="H56" s="563" t="str">
        <f t="shared" si="13"/>
        <v>FORZE</v>
      </c>
      <c r="I56" s="563" t="str">
        <f t="shared" si="14"/>
        <v>Aura Farmers</v>
      </c>
      <c r="J56" s="579" t="str">
        <f t="shared" si="15"/>
        <v/>
      </c>
      <c r="K56" s="540"/>
      <c r="L56" s="540"/>
      <c r="M56" s="29">
        <v>3.0</v>
      </c>
      <c r="N56" s="29"/>
      <c r="O56" s="372"/>
      <c r="P56" s="109"/>
      <c r="Q56" s="373"/>
      <c r="R56" s="380"/>
      <c r="S56" s="380"/>
      <c r="T56" s="29"/>
      <c r="U56" s="109"/>
      <c r="V56" s="372"/>
      <c r="W56" s="373"/>
      <c r="X56" s="540"/>
      <c r="Y56" s="371">
        <v>3.0</v>
      </c>
      <c r="Z56" s="29"/>
      <c r="AA56" s="606"/>
      <c r="AB56" s="109"/>
      <c r="AC56" s="373"/>
      <c r="AD56" s="380"/>
      <c r="AE56" s="393"/>
      <c r="AF56" s="109"/>
      <c r="AG56" s="109"/>
      <c r="AH56" s="565"/>
      <c r="AI56" s="373"/>
      <c r="AJ56" s="540"/>
      <c r="AK56" s="371">
        <v>3.0</v>
      </c>
      <c r="AL56" s="29" t="s">
        <v>315</v>
      </c>
      <c r="AM56" s="566" t="s">
        <v>556</v>
      </c>
      <c r="AN56" s="109" t="s">
        <v>418</v>
      </c>
      <c r="AO56" s="373" t="s">
        <v>318</v>
      </c>
      <c r="AP56" s="380" t="s">
        <v>319</v>
      </c>
      <c r="AQ56" s="393" t="s">
        <v>320</v>
      </c>
      <c r="AR56" s="109" t="s">
        <v>321</v>
      </c>
      <c r="AS56" s="109" t="s">
        <v>408</v>
      </c>
      <c r="AT56" s="566" t="s">
        <v>426</v>
      </c>
      <c r="AU56" s="373" t="s">
        <v>327</v>
      </c>
      <c r="AV56" s="540"/>
      <c r="AW56" s="371">
        <v>3.0</v>
      </c>
      <c r="AX56" s="29"/>
      <c r="AY56" s="566"/>
      <c r="AZ56" s="109"/>
      <c r="BA56" s="373"/>
      <c r="BB56" s="380"/>
      <c r="BC56" s="393"/>
      <c r="BD56" s="109"/>
      <c r="BE56" s="109"/>
      <c r="BF56" s="242"/>
      <c r="BG56" s="373"/>
      <c r="BH56" s="540"/>
      <c r="BI56" s="371">
        <v>3.0</v>
      </c>
      <c r="BJ56" s="29" t="s">
        <v>328</v>
      </c>
      <c r="BK56" s="242" t="s">
        <v>437</v>
      </c>
      <c r="BL56" s="109" t="s">
        <v>19</v>
      </c>
      <c r="BM56" s="373" t="s">
        <v>318</v>
      </c>
      <c r="BN56" s="380" t="s">
        <v>319</v>
      </c>
      <c r="BO56" s="393" t="s">
        <v>320</v>
      </c>
      <c r="BP56" s="109" t="s">
        <v>321</v>
      </c>
      <c r="BQ56" s="109" t="s">
        <v>331</v>
      </c>
      <c r="BR56" s="242" t="s">
        <v>335</v>
      </c>
      <c r="BS56" s="373" t="s">
        <v>324</v>
      </c>
      <c r="BT56" s="540"/>
      <c r="BU56" s="371">
        <v>3.0</v>
      </c>
      <c r="BV56" s="29"/>
      <c r="BW56" s="242"/>
      <c r="BX56" s="109"/>
      <c r="BY56" s="373"/>
      <c r="BZ56" s="380"/>
      <c r="CA56" s="393"/>
      <c r="CB56" s="109"/>
      <c r="CC56" s="109"/>
      <c r="CD56" s="372"/>
      <c r="CE56" s="373"/>
      <c r="CF56" s="540"/>
      <c r="CG56" s="371">
        <v>3.0</v>
      </c>
      <c r="CH56" s="29"/>
      <c r="CI56" s="242"/>
      <c r="CJ56" s="109"/>
      <c r="CK56" s="373"/>
      <c r="CL56" s="380"/>
      <c r="CM56" s="393"/>
      <c r="CN56" s="109"/>
      <c r="CO56" s="109"/>
      <c r="CP56" s="372"/>
      <c r="CQ56" s="373"/>
      <c r="CR56" s="540"/>
      <c r="CS56" s="371">
        <v>3.0</v>
      </c>
      <c r="CT56" s="29"/>
      <c r="CU56" s="565"/>
      <c r="CV56" s="109"/>
      <c r="CW56" s="373"/>
      <c r="CX56" s="380"/>
      <c r="CY56" s="393"/>
      <c r="CZ56" s="109"/>
      <c r="DA56" s="109"/>
      <c r="DB56" s="372"/>
      <c r="DC56" s="373"/>
      <c r="DD56" s="540"/>
      <c r="DE56" s="371">
        <v>3.0</v>
      </c>
      <c r="DF56" s="29" t="s">
        <v>324</v>
      </c>
      <c r="DG56" s="566" t="s">
        <v>450</v>
      </c>
      <c r="DH56" s="109" t="s">
        <v>331</v>
      </c>
      <c r="DI56" s="373" t="s">
        <v>321</v>
      </c>
      <c r="DJ56" s="380" t="s">
        <v>320</v>
      </c>
      <c r="DK56" s="393" t="s">
        <v>319</v>
      </c>
      <c r="DL56" s="109" t="s">
        <v>318</v>
      </c>
      <c r="DM56" s="109" t="s">
        <v>317</v>
      </c>
      <c r="DN56" s="372" t="s">
        <v>356</v>
      </c>
      <c r="DO56" s="373" t="s">
        <v>337</v>
      </c>
      <c r="DP56" s="540"/>
      <c r="DQ56" s="371">
        <v>3.0</v>
      </c>
      <c r="DR56" s="29" t="s">
        <v>324</v>
      </c>
      <c r="DS56" s="385" t="s">
        <v>338</v>
      </c>
      <c r="DT56" s="109" t="s">
        <v>322</v>
      </c>
      <c r="DU56" s="373" t="s">
        <v>321</v>
      </c>
      <c r="DV56" s="380" t="s">
        <v>320</v>
      </c>
      <c r="DW56" s="393" t="s">
        <v>319</v>
      </c>
      <c r="DX56" s="109" t="s">
        <v>318</v>
      </c>
      <c r="DY56" s="109" t="s">
        <v>328</v>
      </c>
      <c r="DZ56" s="242" t="s">
        <v>393</v>
      </c>
      <c r="EA56" s="373" t="s">
        <v>317</v>
      </c>
      <c r="EB56" s="540"/>
      <c r="EC56" s="371">
        <v>3.0</v>
      </c>
      <c r="ED56" s="29"/>
      <c r="EE56" s="372"/>
      <c r="EF56" s="109"/>
      <c r="EG56" s="373"/>
      <c r="EH56" s="380"/>
      <c r="EI56" s="393"/>
      <c r="EJ56" s="109"/>
      <c r="EK56" s="109"/>
      <c r="EL56" s="372"/>
      <c r="EM56" s="373"/>
      <c r="EN56" s="540"/>
      <c r="EO56" s="371">
        <v>3.0</v>
      </c>
      <c r="EP56" s="29"/>
      <c r="EQ56" s="372"/>
      <c r="ER56" s="109"/>
      <c r="ES56" s="373"/>
      <c r="ET56" s="380"/>
      <c r="EU56" s="393"/>
      <c r="EV56" s="109"/>
      <c r="EW56" s="109"/>
      <c r="EX56" s="242"/>
      <c r="EY56" s="373"/>
      <c r="EZ56" s="540"/>
      <c r="FA56" s="371">
        <v>3.0</v>
      </c>
      <c r="FB56" s="29"/>
      <c r="FC56" s="372"/>
      <c r="FD56" s="109"/>
      <c r="FE56" s="373"/>
      <c r="FF56" s="380"/>
      <c r="FG56" s="393"/>
      <c r="FH56" s="109"/>
      <c r="FI56" s="109"/>
      <c r="FJ56" s="242"/>
      <c r="FK56" s="373"/>
      <c r="FL56" s="540"/>
      <c r="FM56" s="371">
        <v>3.0</v>
      </c>
      <c r="FN56" s="29" t="s">
        <v>317</v>
      </c>
      <c r="FO56" s="242" t="s">
        <v>460</v>
      </c>
      <c r="FP56" s="109" t="s">
        <v>331</v>
      </c>
      <c r="FQ56" s="373" t="s">
        <v>318</v>
      </c>
      <c r="FR56" s="380" t="s">
        <v>320</v>
      </c>
      <c r="FS56" s="393" t="s">
        <v>319</v>
      </c>
      <c r="FT56" s="109" t="s">
        <v>321</v>
      </c>
      <c r="FU56" s="109" t="s">
        <v>343</v>
      </c>
      <c r="FV56" s="242" t="s">
        <v>442</v>
      </c>
      <c r="FW56" s="373" t="s">
        <v>414</v>
      </c>
      <c r="FX56" s="540"/>
    </row>
    <row r="57">
      <c r="A57" s="109">
        <v>2.0</v>
      </c>
      <c r="B57" s="429">
        <v>43.0</v>
      </c>
      <c r="C57" s="553" t="str">
        <f>'Schedule | 1 Division'!K25</f>
        <v>Magic</v>
      </c>
      <c r="D57" s="560">
        <f t="shared" ref="D57:E57" si="84">EH61</f>
        <v>2</v>
      </c>
      <c r="E57" s="560">
        <f t="shared" si="84"/>
        <v>0</v>
      </c>
      <c r="F57" s="555" t="str">
        <f>'Schedule | 1 Division'!O25</f>
        <v>CYBERHERO</v>
      </c>
      <c r="G57" s="562" t="str">
        <f t="shared" si="12"/>
        <v>Magic</v>
      </c>
      <c r="H57" s="563" t="str">
        <f t="shared" si="13"/>
        <v/>
      </c>
      <c r="I57" s="563" t="str">
        <f t="shared" si="14"/>
        <v/>
      </c>
      <c r="J57" s="579" t="str">
        <f t="shared" si="15"/>
        <v>CYBERHERO</v>
      </c>
      <c r="K57" s="540"/>
      <c r="L57" s="540"/>
      <c r="M57" s="55"/>
      <c r="N57" s="29"/>
      <c r="O57" s="372"/>
      <c r="P57" s="109"/>
      <c r="Q57" s="92"/>
      <c r="T57" s="55"/>
      <c r="U57" s="109"/>
      <c r="V57" s="372"/>
      <c r="W57" s="373"/>
      <c r="X57" s="540"/>
      <c r="Y57" s="66"/>
      <c r="Z57" s="29"/>
      <c r="AA57" s="606"/>
      <c r="AB57" s="109"/>
      <c r="AC57" s="92"/>
      <c r="AE57" s="92"/>
      <c r="AG57" s="109"/>
      <c r="AH57" s="565"/>
      <c r="AI57" s="373"/>
      <c r="AJ57" s="540"/>
      <c r="AK57" s="66"/>
      <c r="AL57" s="29" t="s">
        <v>337</v>
      </c>
      <c r="AM57" s="566" t="s">
        <v>727</v>
      </c>
      <c r="AN57" s="109" t="s">
        <v>331</v>
      </c>
      <c r="AO57" s="92"/>
      <c r="AQ57" s="92"/>
      <c r="AS57" s="109" t="s">
        <v>342</v>
      </c>
      <c r="AT57" s="566" t="s">
        <v>422</v>
      </c>
      <c r="AU57" s="373" t="s">
        <v>324</v>
      </c>
      <c r="AV57" s="540"/>
      <c r="AW57" s="66"/>
      <c r="AX57" s="29"/>
      <c r="AY57" s="566"/>
      <c r="AZ57" s="109"/>
      <c r="BA57" s="92"/>
      <c r="BC57" s="92"/>
      <c r="BE57" s="109"/>
      <c r="BF57" s="242"/>
      <c r="BG57" s="373"/>
      <c r="BH57" s="540"/>
      <c r="BI57" s="66"/>
      <c r="BJ57" s="29" t="s">
        <v>325</v>
      </c>
      <c r="BK57" s="242" t="s">
        <v>426</v>
      </c>
      <c r="BL57" s="109" t="s">
        <v>348</v>
      </c>
      <c r="BM57" s="92"/>
      <c r="BO57" s="92"/>
      <c r="BQ57" s="109" t="s">
        <v>315</v>
      </c>
      <c r="BR57" s="242" t="s">
        <v>365</v>
      </c>
      <c r="BS57" s="373" t="s">
        <v>337</v>
      </c>
      <c r="BT57" s="540"/>
      <c r="BU57" s="66"/>
      <c r="BV57" s="29"/>
      <c r="BW57" s="242"/>
      <c r="BX57" s="109"/>
      <c r="BY57" s="92"/>
      <c r="CA57" s="92"/>
      <c r="CC57" s="109"/>
      <c r="CD57" s="372"/>
      <c r="CE57" s="373"/>
      <c r="CF57" s="540"/>
      <c r="CG57" s="66"/>
      <c r="CH57" s="29"/>
      <c r="CI57" s="242"/>
      <c r="CJ57" s="109"/>
      <c r="CK57" s="92"/>
      <c r="CM57" s="92"/>
      <c r="CO57" s="109"/>
      <c r="CP57" s="372"/>
      <c r="CQ57" s="373"/>
      <c r="CR57" s="540"/>
      <c r="CS57" s="66"/>
      <c r="CT57" s="29"/>
      <c r="CU57" s="565"/>
      <c r="CV57" s="109"/>
      <c r="CW57" s="92"/>
      <c r="CY57" s="92"/>
      <c r="DA57" s="109"/>
      <c r="DB57" s="372"/>
      <c r="DC57" s="373"/>
      <c r="DD57" s="540"/>
      <c r="DE57" s="66"/>
      <c r="DF57" s="29" t="s">
        <v>342</v>
      </c>
      <c r="DG57" s="566" t="s">
        <v>448</v>
      </c>
      <c r="DH57" s="109" t="s">
        <v>405</v>
      </c>
      <c r="DI57" s="92"/>
      <c r="DK57" s="92"/>
      <c r="DM57" s="109" t="s">
        <v>373</v>
      </c>
      <c r="DN57" s="372" t="s">
        <v>340</v>
      </c>
      <c r="DO57" s="373" t="s">
        <v>328</v>
      </c>
      <c r="DP57" s="540"/>
      <c r="DQ57" s="66"/>
      <c r="DR57" s="29" t="s">
        <v>342</v>
      </c>
      <c r="DS57" s="240" t="s">
        <v>349</v>
      </c>
      <c r="DT57" s="109" t="s">
        <v>377</v>
      </c>
      <c r="DU57" s="92"/>
      <c r="DW57" s="92"/>
      <c r="DY57" s="109" t="s">
        <v>352</v>
      </c>
      <c r="DZ57" s="242" t="s">
        <v>351</v>
      </c>
      <c r="EA57" s="373" t="s">
        <v>337</v>
      </c>
      <c r="EB57" s="540"/>
      <c r="EC57" s="66"/>
      <c r="ED57" s="29"/>
      <c r="EE57" s="372"/>
      <c r="EF57" s="109"/>
      <c r="EG57" s="92"/>
      <c r="EI57" s="92"/>
      <c r="EK57" s="109"/>
      <c r="EL57" s="372"/>
      <c r="EM57" s="373"/>
      <c r="EN57" s="540"/>
      <c r="EO57" s="66"/>
      <c r="EP57" s="29"/>
      <c r="EQ57" s="372"/>
      <c r="ER57" s="109"/>
      <c r="ES57" s="92"/>
      <c r="EU57" s="92"/>
      <c r="EW57" s="109"/>
      <c r="EX57" s="242"/>
      <c r="EY57" s="373"/>
      <c r="EZ57" s="540"/>
      <c r="FA57" s="66"/>
      <c r="FB57" s="29"/>
      <c r="FC57" s="372"/>
      <c r="FD57" s="109"/>
      <c r="FE57" s="92"/>
      <c r="FG57" s="92"/>
      <c r="FI57" s="109"/>
      <c r="FJ57" s="242"/>
      <c r="FK57" s="373"/>
      <c r="FL57" s="540"/>
      <c r="FM57" s="66"/>
      <c r="FN57" s="29" t="s">
        <v>337</v>
      </c>
      <c r="FO57" s="242" t="s">
        <v>464</v>
      </c>
      <c r="FP57" s="109" t="s">
        <v>332</v>
      </c>
      <c r="FQ57" s="92"/>
      <c r="FS57" s="92"/>
      <c r="FU57" s="109" t="s">
        <v>315</v>
      </c>
      <c r="FV57" s="242" t="s">
        <v>426</v>
      </c>
      <c r="FW57" s="373" t="s">
        <v>401</v>
      </c>
      <c r="FX57" s="540"/>
    </row>
    <row r="58">
      <c r="A58" s="389">
        <v>2.0</v>
      </c>
      <c r="B58" s="569">
        <v>44.0</v>
      </c>
      <c r="C58" s="570" t="str">
        <f>'Schedule | 1 Division'!K26</f>
        <v>Team Yandex</v>
      </c>
      <c r="D58" s="571">
        <f t="shared" ref="D58:E58" si="85">EH81</f>
        <v>2</v>
      </c>
      <c r="E58" s="571">
        <f t="shared" si="85"/>
        <v>1</v>
      </c>
      <c r="F58" s="570" t="str">
        <f>'Schedule | 1 Division'!O26</f>
        <v>Team Spirit</v>
      </c>
      <c r="G58" s="573" t="str">
        <f t="shared" si="12"/>
        <v/>
      </c>
      <c r="H58" s="575" t="str">
        <f t="shared" si="13"/>
        <v>Team Yandex</v>
      </c>
      <c r="I58" s="575" t="str">
        <f t="shared" si="14"/>
        <v>Team Spirit</v>
      </c>
      <c r="J58" s="576" t="str">
        <f t="shared" si="15"/>
        <v/>
      </c>
      <c r="K58" s="540"/>
      <c r="L58" s="540"/>
      <c r="M58" s="55"/>
      <c r="N58" s="29"/>
      <c r="O58" s="372"/>
      <c r="P58" s="109"/>
      <c r="Q58" s="92"/>
      <c r="T58" s="55"/>
      <c r="U58" s="109"/>
      <c r="V58" s="372"/>
      <c r="W58" s="373"/>
      <c r="X58" s="540"/>
      <c r="Y58" s="66"/>
      <c r="Z58" s="29"/>
      <c r="AA58" s="606"/>
      <c r="AB58" s="109"/>
      <c r="AC58" s="92"/>
      <c r="AE58" s="92"/>
      <c r="AG58" s="109"/>
      <c r="AH58" s="565"/>
      <c r="AI58" s="373"/>
      <c r="AJ58" s="540"/>
      <c r="AK58" s="66"/>
      <c r="AL58" s="29" t="s">
        <v>328</v>
      </c>
      <c r="AM58" s="566" t="s">
        <v>729</v>
      </c>
      <c r="AN58" s="109" t="s">
        <v>401</v>
      </c>
      <c r="AO58" s="92"/>
      <c r="AQ58" s="92"/>
      <c r="AS58" s="109" t="s">
        <v>343</v>
      </c>
      <c r="AT58" s="566" t="s">
        <v>442</v>
      </c>
      <c r="AU58" s="373" t="s">
        <v>375</v>
      </c>
      <c r="AV58" s="540"/>
      <c r="AW58" s="66"/>
      <c r="AX58" s="29"/>
      <c r="AY58" s="566"/>
      <c r="AZ58" s="109"/>
      <c r="BA58" s="92"/>
      <c r="BC58" s="92"/>
      <c r="BE58" s="109"/>
      <c r="BF58" s="242"/>
      <c r="BG58" s="373"/>
      <c r="BH58" s="540"/>
      <c r="BI58" s="66"/>
      <c r="BJ58" s="29" t="s">
        <v>342</v>
      </c>
      <c r="BK58" s="242" t="s">
        <v>442</v>
      </c>
      <c r="BL58" s="109" t="s">
        <v>400</v>
      </c>
      <c r="BM58" s="92"/>
      <c r="BO58" s="92"/>
      <c r="BQ58" s="109" t="s">
        <v>387</v>
      </c>
      <c r="BR58" s="242" t="s">
        <v>351</v>
      </c>
      <c r="BS58" s="373" t="s">
        <v>317</v>
      </c>
      <c r="BT58" s="540"/>
      <c r="BU58" s="66"/>
      <c r="BV58" s="29"/>
      <c r="BW58" s="242"/>
      <c r="BX58" s="109"/>
      <c r="BY58" s="92"/>
      <c r="CA58" s="92"/>
      <c r="CC58" s="109"/>
      <c r="CD58" s="372"/>
      <c r="CE58" s="373"/>
      <c r="CF58" s="540"/>
      <c r="CG58" s="66"/>
      <c r="CH58" s="29"/>
      <c r="CI58" s="242"/>
      <c r="CJ58" s="109"/>
      <c r="CK58" s="92"/>
      <c r="CM58" s="92"/>
      <c r="CO58" s="109"/>
      <c r="CP58" s="372"/>
      <c r="CQ58" s="373"/>
      <c r="CR58" s="540"/>
      <c r="CS58" s="66"/>
      <c r="CT58" s="29"/>
      <c r="CU58" s="565"/>
      <c r="CV58" s="109"/>
      <c r="CW58" s="92"/>
      <c r="CY58" s="92"/>
      <c r="DA58" s="109"/>
      <c r="DB58" s="372"/>
      <c r="DC58" s="373"/>
      <c r="DD58" s="540"/>
      <c r="DE58" s="66"/>
      <c r="DF58" s="29" t="s">
        <v>327</v>
      </c>
      <c r="DG58" s="566" t="s">
        <v>454</v>
      </c>
      <c r="DH58" s="109" t="s">
        <v>374</v>
      </c>
      <c r="DI58" s="92"/>
      <c r="DK58" s="92"/>
      <c r="DM58" s="109" t="s">
        <v>418</v>
      </c>
      <c r="DN58" s="372" t="s">
        <v>397</v>
      </c>
      <c r="DO58" s="373" t="s">
        <v>315</v>
      </c>
      <c r="DP58" s="540"/>
      <c r="DQ58" s="66"/>
      <c r="DR58" s="29" t="s">
        <v>331</v>
      </c>
      <c r="DS58" s="240" t="s">
        <v>378</v>
      </c>
      <c r="DT58" s="109" t="s">
        <v>385</v>
      </c>
      <c r="DU58" s="92"/>
      <c r="DW58" s="92"/>
      <c r="DY58" s="109" t="s">
        <v>315</v>
      </c>
      <c r="DZ58" s="242" t="s">
        <v>365</v>
      </c>
      <c r="EA58" s="373" t="s">
        <v>327</v>
      </c>
      <c r="EB58" s="540"/>
      <c r="EC58" s="66"/>
      <c r="ED58" s="29"/>
      <c r="EE58" s="372"/>
      <c r="EF58" s="109"/>
      <c r="EG58" s="92"/>
      <c r="EI58" s="92"/>
      <c r="EK58" s="109"/>
      <c r="EL58" s="372"/>
      <c r="EM58" s="373"/>
      <c r="EN58" s="540"/>
      <c r="EO58" s="66"/>
      <c r="EP58" s="29"/>
      <c r="EQ58" s="372"/>
      <c r="ER58" s="109"/>
      <c r="ES58" s="92"/>
      <c r="EU58" s="92"/>
      <c r="EW58" s="109"/>
      <c r="EX58" s="242"/>
      <c r="EY58" s="373"/>
      <c r="EZ58" s="540"/>
      <c r="FA58" s="66"/>
      <c r="FB58" s="29"/>
      <c r="FC58" s="372"/>
      <c r="FD58" s="109"/>
      <c r="FE58" s="92"/>
      <c r="FG58" s="92"/>
      <c r="FI58" s="109"/>
      <c r="FJ58" s="242"/>
      <c r="FK58" s="373"/>
      <c r="FL58" s="540"/>
      <c r="FM58" s="66"/>
      <c r="FN58" s="29" t="s">
        <v>325</v>
      </c>
      <c r="FO58" s="242" t="s">
        <v>458</v>
      </c>
      <c r="FP58" s="109" t="s">
        <v>348</v>
      </c>
      <c r="FQ58" s="92"/>
      <c r="FS58" s="92"/>
      <c r="FU58" s="109" t="s">
        <v>384</v>
      </c>
      <c r="FV58" s="242" t="s">
        <v>725</v>
      </c>
      <c r="FW58" s="373" t="s">
        <v>328</v>
      </c>
      <c r="FX58" s="540"/>
    </row>
    <row r="59">
      <c r="A59" s="109">
        <v>2.0</v>
      </c>
      <c r="B59" s="429">
        <v>45.0</v>
      </c>
      <c r="C59" s="555" t="str">
        <f>'Schedule | 1 Division'!K29</f>
        <v>Verso Time</v>
      </c>
      <c r="D59" s="561">
        <f t="shared" ref="D59:E59" si="86">ET21</f>
        <v>2</v>
      </c>
      <c r="E59" s="561">
        <f t="shared" si="86"/>
        <v>0</v>
      </c>
      <c r="F59" s="555" t="str">
        <f>'Schedule | 1 Division'!O29</f>
        <v>Aura Farmers</v>
      </c>
      <c r="G59" s="562" t="str">
        <f t="shared" si="12"/>
        <v>Verso Time</v>
      </c>
      <c r="H59" s="563" t="str">
        <f t="shared" si="13"/>
        <v/>
      </c>
      <c r="I59" s="563" t="str">
        <f t="shared" si="14"/>
        <v/>
      </c>
      <c r="J59" s="579" t="str">
        <f t="shared" si="15"/>
        <v>Aura Farmers</v>
      </c>
      <c r="K59" s="540"/>
      <c r="L59" s="540"/>
      <c r="M59" s="55"/>
      <c r="N59" s="29"/>
      <c r="O59" s="372"/>
      <c r="P59" s="109"/>
      <c r="Q59" s="92"/>
      <c r="T59" s="55"/>
      <c r="U59" s="109"/>
      <c r="V59" s="372"/>
      <c r="W59" s="373"/>
      <c r="X59" s="540"/>
      <c r="Y59" s="66"/>
      <c r="Z59" s="29"/>
      <c r="AA59" s="606"/>
      <c r="AB59" s="109"/>
      <c r="AC59" s="92"/>
      <c r="AE59" s="92"/>
      <c r="AG59" s="109"/>
      <c r="AH59" s="565"/>
      <c r="AI59" s="373"/>
      <c r="AJ59" s="540"/>
      <c r="AK59" s="66"/>
      <c r="AL59" s="29" t="s">
        <v>395</v>
      </c>
      <c r="AM59" s="566" t="s">
        <v>350</v>
      </c>
      <c r="AN59" s="109" t="s">
        <v>352</v>
      </c>
      <c r="AO59" s="92"/>
      <c r="AQ59" s="92"/>
      <c r="AS59" s="109" t="s">
        <v>384</v>
      </c>
      <c r="AT59" s="566" t="s">
        <v>725</v>
      </c>
      <c r="AU59" s="373" t="s">
        <v>361</v>
      </c>
      <c r="AV59" s="540"/>
      <c r="AW59" s="66"/>
      <c r="AX59" s="29"/>
      <c r="AY59" s="566"/>
      <c r="AZ59" s="109"/>
      <c r="BA59" s="92"/>
      <c r="BC59" s="92"/>
      <c r="BE59" s="109"/>
      <c r="BF59" s="242"/>
      <c r="BG59" s="373"/>
      <c r="BH59" s="540"/>
      <c r="BI59" s="66"/>
      <c r="BJ59" s="29" t="s">
        <v>322</v>
      </c>
      <c r="BK59" s="242" t="s">
        <v>725</v>
      </c>
      <c r="BL59" s="109" t="s">
        <v>327</v>
      </c>
      <c r="BM59" s="92"/>
      <c r="BO59" s="92"/>
      <c r="BQ59" s="109" t="s">
        <v>418</v>
      </c>
      <c r="BR59" s="242" t="s">
        <v>381</v>
      </c>
      <c r="BS59" s="373" t="s">
        <v>334</v>
      </c>
      <c r="BT59" s="540"/>
      <c r="BU59" s="66"/>
      <c r="BV59" s="29"/>
      <c r="BW59" s="242"/>
      <c r="BX59" s="109"/>
      <c r="BY59" s="92"/>
      <c r="CA59" s="92"/>
      <c r="CC59" s="109"/>
      <c r="CD59" s="372"/>
      <c r="CE59" s="373"/>
      <c r="CF59" s="540"/>
      <c r="CG59" s="66"/>
      <c r="CH59" s="29"/>
      <c r="CI59" s="242"/>
      <c r="CJ59" s="109"/>
      <c r="CK59" s="92"/>
      <c r="CM59" s="92"/>
      <c r="CO59" s="109"/>
      <c r="CP59" s="372"/>
      <c r="CQ59" s="373"/>
      <c r="CR59" s="540"/>
      <c r="CS59" s="66"/>
      <c r="CT59" s="29"/>
      <c r="CU59" s="565"/>
      <c r="CV59" s="109"/>
      <c r="CW59" s="92"/>
      <c r="CY59" s="92"/>
      <c r="DA59" s="109"/>
      <c r="DB59" s="372"/>
      <c r="DC59" s="373"/>
      <c r="DD59" s="540"/>
      <c r="DE59" s="66"/>
      <c r="DF59" s="29" t="s">
        <v>332</v>
      </c>
      <c r="DG59" s="566" t="s">
        <v>452</v>
      </c>
      <c r="DH59" s="109" t="s">
        <v>401</v>
      </c>
      <c r="DI59" s="92"/>
      <c r="DK59" s="92"/>
      <c r="DM59" s="109" t="s">
        <v>352</v>
      </c>
      <c r="DN59" s="372" t="s">
        <v>367</v>
      </c>
      <c r="DO59" s="373" t="s">
        <v>410</v>
      </c>
      <c r="DP59" s="540"/>
      <c r="DQ59" s="66"/>
      <c r="DR59" s="29" t="s">
        <v>334</v>
      </c>
      <c r="DS59" s="240" t="s">
        <v>330</v>
      </c>
      <c r="DT59" s="109" t="s">
        <v>400</v>
      </c>
      <c r="DU59" s="92"/>
      <c r="DW59" s="92"/>
      <c r="DY59" s="109" t="s">
        <v>341</v>
      </c>
      <c r="DZ59" s="242" t="s">
        <v>381</v>
      </c>
      <c r="EA59" s="373" t="s">
        <v>348</v>
      </c>
      <c r="EB59" s="540"/>
      <c r="EC59" s="66"/>
      <c r="ED59" s="29"/>
      <c r="EE59" s="372"/>
      <c r="EF59" s="109"/>
      <c r="EG59" s="92"/>
      <c r="EI59" s="92"/>
      <c r="EK59" s="109"/>
      <c r="EL59" s="372"/>
      <c r="EM59" s="373"/>
      <c r="EN59" s="540"/>
      <c r="EO59" s="66"/>
      <c r="EP59" s="29"/>
      <c r="EQ59" s="372"/>
      <c r="ER59" s="109"/>
      <c r="ES59" s="92"/>
      <c r="EU59" s="92"/>
      <c r="EW59" s="109"/>
      <c r="EX59" s="242"/>
      <c r="EY59" s="373"/>
      <c r="EZ59" s="540"/>
      <c r="FA59" s="66"/>
      <c r="FB59" s="29"/>
      <c r="FC59" s="372"/>
      <c r="FD59" s="109"/>
      <c r="FE59" s="92"/>
      <c r="FG59" s="92"/>
      <c r="FI59" s="109"/>
      <c r="FJ59" s="242"/>
      <c r="FK59" s="373"/>
      <c r="FL59" s="540"/>
      <c r="FM59" s="66"/>
      <c r="FN59" s="29" t="s">
        <v>19</v>
      </c>
      <c r="FO59" s="242" t="s">
        <v>462</v>
      </c>
      <c r="FP59" s="109" t="s">
        <v>377</v>
      </c>
      <c r="FQ59" s="92"/>
      <c r="FS59" s="92"/>
      <c r="FU59" s="109" t="s">
        <v>369</v>
      </c>
      <c r="FV59" s="242" t="s">
        <v>437</v>
      </c>
      <c r="FW59" s="373" t="s">
        <v>342</v>
      </c>
      <c r="FX59" s="540"/>
    </row>
    <row r="60">
      <c r="A60" s="109">
        <v>2.0</v>
      </c>
      <c r="B60" s="429">
        <v>46.0</v>
      </c>
      <c r="C60" s="555" t="str">
        <f>'Schedule | 1 Division'!K30</f>
        <v>Team Yandex</v>
      </c>
      <c r="D60" s="561">
        <f t="shared" ref="D60:E60" si="87">ET41</f>
        <v>2</v>
      </c>
      <c r="E60" s="561">
        <f t="shared" si="87"/>
        <v>0</v>
      </c>
      <c r="F60" s="555" t="str">
        <f>'Schedule | 1 Division'!O30</f>
        <v>Magic</v>
      </c>
      <c r="G60" s="562" t="str">
        <f t="shared" si="12"/>
        <v>Team Yandex</v>
      </c>
      <c r="H60" s="563" t="str">
        <f t="shared" si="13"/>
        <v/>
      </c>
      <c r="I60" s="563" t="str">
        <f t="shared" si="14"/>
        <v/>
      </c>
      <c r="J60" s="579" t="str">
        <f t="shared" si="15"/>
        <v>Magic</v>
      </c>
      <c r="K60" s="540"/>
      <c r="L60" s="540"/>
      <c r="M60" s="61"/>
      <c r="N60" s="394"/>
      <c r="O60" s="395"/>
      <c r="P60" s="132"/>
      <c r="Q60" s="93"/>
      <c r="T60" s="61"/>
      <c r="U60" s="132"/>
      <c r="V60" s="395"/>
      <c r="W60" s="396"/>
      <c r="X60" s="540"/>
      <c r="Y60" s="94"/>
      <c r="Z60" s="394"/>
      <c r="AA60" s="607"/>
      <c r="AB60" s="132"/>
      <c r="AC60" s="93"/>
      <c r="AE60" s="92"/>
      <c r="AF60" s="22"/>
      <c r="AG60" s="132"/>
      <c r="AH60" s="581"/>
      <c r="AI60" s="396"/>
      <c r="AJ60" s="540"/>
      <c r="AK60" s="94"/>
      <c r="AL60" s="394" t="s">
        <v>369</v>
      </c>
      <c r="AM60" s="583" t="s">
        <v>355</v>
      </c>
      <c r="AN60" s="132" t="s">
        <v>373</v>
      </c>
      <c r="AO60" s="93"/>
      <c r="AQ60" s="92"/>
      <c r="AR60" s="22"/>
      <c r="AS60" s="132" t="s">
        <v>382</v>
      </c>
      <c r="AT60" s="583" t="s">
        <v>437</v>
      </c>
      <c r="AU60" s="396"/>
      <c r="AV60" s="540"/>
      <c r="AW60" s="94"/>
      <c r="AX60" s="394"/>
      <c r="AY60" s="583"/>
      <c r="AZ60" s="132"/>
      <c r="BA60" s="93"/>
      <c r="BC60" s="92"/>
      <c r="BD60" s="22"/>
      <c r="BE60" s="132"/>
      <c r="BF60" s="254"/>
      <c r="BG60" s="396"/>
      <c r="BH60" s="540"/>
      <c r="BI60" s="94"/>
      <c r="BJ60" s="394" t="s">
        <v>389</v>
      </c>
      <c r="BK60" s="584" t="s">
        <v>422</v>
      </c>
      <c r="BL60" s="132" t="s">
        <v>404</v>
      </c>
      <c r="BM60" s="93"/>
      <c r="BO60" s="92"/>
      <c r="BP60" s="22"/>
      <c r="BQ60" s="132" t="s">
        <v>401</v>
      </c>
      <c r="BR60" s="254" t="s">
        <v>393</v>
      </c>
      <c r="BS60" s="396" t="s">
        <v>369</v>
      </c>
      <c r="BT60" s="540"/>
      <c r="BU60" s="94"/>
      <c r="BV60" s="394"/>
      <c r="BW60" s="254"/>
      <c r="BX60" s="132"/>
      <c r="BY60" s="93"/>
      <c r="CA60" s="92"/>
      <c r="CB60" s="22"/>
      <c r="CC60" s="132"/>
      <c r="CD60" s="395"/>
      <c r="CE60" s="396"/>
      <c r="CF60" s="540"/>
      <c r="CG60" s="94"/>
      <c r="CH60" s="394"/>
      <c r="CI60" s="254"/>
      <c r="CJ60" s="132"/>
      <c r="CK60" s="93"/>
      <c r="CM60" s="92"/>
      <c r="CN60" s="22"/>
      <c r="CO60" s="132"/>
      <c r="CP60" s="395"/>
      <c r="CQ60" s="396"/>
      <c r="CR60" s="540"/>
      <c r="CS60" s="94"/>
      <c r="CT60" s="394"/>
      <c r="CU60" s="581"/>
      <c r="CV60" s="132"/>
      <c r="CW60" s="93"/>
      <c r="CY60" s="92"/>
      <c r="CZ60" s="22"/>
      <c r="DA60" s="132"/>
      <c r="DB60" s="395"/>
      <c r="DC60" s="396"/>
      <c r="DD60" s="540"/>
      <c r="DE60" s="94"/>
      <c r="DF60" s="394" t="s">
        <v>382</v>
      </c>
      <c r="DG60" s="583" t="s">
        <v>449</v>
      </c>
      <c r="DH60" s="132" t="s">
        <v>361</v>
      </c>
      <c r="DI60" s="93"/>
      <c r="DJ60" s="22"/>
      <c r="DK60" s="93"/>
      <c r="DL60" s="22"/>
      <c r="DM60" s="132" t="s">
        <v>377</v>
      </c>
      <c r="DN60" s="395" t="s">
        <v>386</v>
      </c>
      <c r="DO60" s="396" t="s">
        <v>322</v>
      </c>
      <c r="DP60" s="540"/>
      <c r="DQ60" s="94"/>
      <c r="DR60" s="394" t="s">
        <v>376</v>
      </c>
      <c r="DS60" s="392" t="s">
        <v>326</v>
      </c>
      <c r="DT60" s="132" t="s">
        <v>382</v>
      </c>
      <c r="DU60" s="93"/>
      <c r="DW60" s="92"/>
      <c r="DX60" s="22"/>
      <c r="DY60" s="132" t="s">
        <v>343</v>
      </c>
      <c r="DZ60" s="254" t="s">
        <v>335</v>
      </c>
      <c r="EA60" s="396" t="s">
        <v>325</v>
      </c>
      <c r="EB60" s="540"/>
      <c r="EC60" s="94"/>
      <c r="ED60" s="394"/>
      <c r="EE60" s="395"/>
      <c r="EF60" s="132"/>
      <c r="EG60" s="93"/>
      <c r="EI60" s="92"/>
      <c r="EJ60" s="22"/>
      <c r="EK60" s="132"/>
      <c r="EL60" s="395"/>
      <c r="EM60" s="396"/>
      <c r="EN60" s="540"/>
      <c r="EO60" s="94"/>
      <c r="EP60" s="394"/>
      <c r="EQ60" s="395"/>
      <c r="ER60" s="132"/>
      <c r="ES60" s="93"/>
      <c r="EU60" s="92"/>
      <c r="EV60" s="22"/>
      <c r="EW60" s="132"/>
      <c r="EX60" s="254"/>
      <c r="EY60" s="396"/>
      <c r="EZ60" s="540"/>
      <c r="FA60" s="94"/>
      <c r="FB60" s="394"/>
      <c r="FC60" s="395"/>
      <c r="FD60" s="132"/>
      <c r="FE60" s="93"/>
      <c r="FG60" s="92"/>
      <c r="FH60" s="22"/>
      <c r="FI60" s="132"/>
      <c r="FJ60" s="254"/>
      <c r="FK60" s="396"/>
      <c r="FL60" s="540"/>
      <c r="FM60" s="94"/>
      <c r="FN60" s="394" t="s">
        <v>395</v>
      </c>
      <c r="FO60" s="254" t="s">
        <v>468</v>
      </c>
      <c r="FP60" s="132" t="s">
        <v>346</v>
      </c>
      <c r="FQ60" s="93"/>
      <c r="FS60" s="92"/>
      <c r="FT60" s="22"/>
      <c r="FU60" s="132" t="s">
        <v>404</v>
      </c>
      <c r="FV60" s="254" t="s">
        <v>422</v>
      </c>
      <c r="FW60" s="396" t="s">
        <v>324</v>
      </c>
      <c r="FX60" s="540"/>
    </row>
    <row r="61">
      <c r="A61" s="109">
        <v>2.0</v>
      </c>
      <c r="B61" s="429">
        <v>47.0</v>
      </c>
      <c r="C61" s="555" t="str">
        <f>'Schedule | 1 Division'!K31</f>
        <v>CYBERHERO</v>
      </c>
      <c r="D61" s="561">
        <f t="shared" ref="D61:E61" si="88">ET61</f>
        <v>0</v>
      </c>
      <c r="E61" s="561">
        <f t="shared" si="88"/>
        <v>2</v>
      </c>
      <c r="F61" s="553" t="str">
        <f>'Schedule | 1 Division'!O31</f>
        <v>Virtus.pro</v>
      </c>
      <c r="G61" s="562" t="str">
        <f t="shared" si="12"/>
        <v>Virtus.pro</v>
      </c>
      <c r="H61" s="563" t="str">
        <f t="shared" si="13"/>
        <v/>
      </c>
      <c r="I61" s="563" t="str">
        <f t="shared" si="14"/>
        <v/>
      </c>
      <c r="J61" s="579" t="str">
        <f t="shared" si="15"/>
        <v>CYBERHERO</v>
      </c>
      <c r="K61" s="540"/>
      <c r="L61" s="540"/>
      <c r="M61" s="586"/>
      <c r="N61" s="586"/>
      <c r="O61" s="586"/>
      <c r="P61" s="586"/>
      <c r="Q61" s="550"/>
      <c r="R61" s="399">
        <f t="shared" ref="R61:S61" si="89">COUNTIF(R46:R60, "W")</f>
        <v>2</v>
      </c>
      <c r="S61" s="400">
        <f t="shared" si="89"/>
        <v>0</v>
      </c>
      <c r="T61" s="550"/>
      <c r="U61" s="586"/>
      <c r="V61" s="586"/>
      <c r="W61" s="586"/>
      <c r="X61" s="540"/>
      <c r="Y61" s="586"/>
      <c r="Z61" s="586"/>
      <c r="AA61" s="586"/>
      <c r="AB61" s="586"/>
      <c r="AC61" s="550"/>
      <c r="AD61" s="399">
        <f t="shared" ref="AD61:AE61" si="90">COUNTIF(AD46:AD60, "W")</f>
        <v>0</v>
      </c>
      <c r="AE61" s="400">
        <f t="shared" si="90"/>
        <v>2</v>
      </c>
      <c r="AF61" s="550"/>
      <c r="AG61" s="586"/>
      <c r="AH61" s="586"/>
      <c r="AI61" s="586"/>
      <c r="AJ61" s="540"/>
      <c r="AK61" s="586"/>
      <c r="AL61" s="586"/>
      <c r="AM61" s="586"/>
      <c r="AN61" s="586"/>
      <c r="AO61" s="550"/>
      <c r="AP61" s="399">
        <f t="shared" ref="AP61:AQ61" si="91">COUNTIF(AP46:AP60, "W")</f>
        <v>2</v>
      </c>
      <c r="AQ61" s="400">
        <f t="shared" si="91"/>
        <v>1</v>
      </c>
      <c r="AR61" s="550"/>
      <c r="AS61" s="586"/>
      <c r="AT61" s="586"/>
      <c r="AU61" s="586"/>
      <c r="AV61" s="540"/>
      <c r="AW61" s="586"/>
      <c r="AX61" s="586"/>
      <c r="AY61" s="586"/>
      <c r="AZ61" s="586"/>
      <c r="BA61" s="550"/>
      <c r="BB61" s="399">
        <f t="shared" ref="BB61:BC61" si="92">COUNTIF(BB46:BB60, "W")</f>
        <v>2</v>
      </c>
      <c r="BC61" s="400">
        <f t="shared" si="92"/>
        <v>0</v>
      </c>
      <c r="BD61" s="550"/>
      <c r="BE61" s="586"/>
      <c r="BF61" s="586"/>
      <c r="BG61" s="586"/>
      <c r="BH61" s="540"/>
      <c r="BI61" s="586"/>
      <c r="BJ61" s="586"/>
      <c r="BK61" s="586"/>
      <c r="BL61" s="586"/>
      <c r="BM61" s="550"/>
      <c r="BN61" s="399">
        <f t="shared" ref="BN61:BO61" si="93">COUNTIF(BN46:BN60, "W")</f>
        <v>2</v>
      </c>
      <c r="BO61" s="400">
        <f t="shared" si="93"/>
        <v>1</v>
      </c>
      <c r="BP61" s="550"/>
      <c r="BQ61" s="586"/>
      <c r="BR61" s="586"/>
      <c r="BS61" s="586"/>
      <c r="BT61" s="540"/>
      <c r="BU61" s="586"/>
      <c r="BV61" s="586"/>
      <c r="BW61" s="586"/>
      <c r="BX61" s="586"/>
      <c r="BY61" s="550"/>
      <c r="BZ61" s="399">
        <f t="shared" ref="BZ61:CA61" si="94">COUNTIF(BZ46:BZ60, "W")</f>
        <v>2</v>
      </c>
      <c r="CA61" s="400">
        <f t="shared" si="94"/>
        <v>0</v>
      </c>
      <c r="CB61" s="550"/>
      <c r="CC61" s="586"/>
      <c r="CD61" s="586"/>
      <c r="CE61" s="586"/>
      <c r="CF61" s="540"/>
      <c r="CG61" s="586"/>
      <c r="CH61" s="586"/>
      <c r="CI61" s="586"/>
      <c r="CJ61" s="586"/>
      <c r="CK61" s="550"/>
      <c r="CL61" s="399">
        <f t="shared" ref="CL61:CM61" si="95">COUNTIF(CL46:CL60, "W")</f>
        <v>0</v>
      </c>
      <c r="CM61" s="400">
        <f t="shared" si="95"/>
        <v>2</v>
      </c>
      <c r="CN61" s="550"/>
      <c r="CO61" s="586"/>
      <c r="CP61" s="586"/>
      <c r="CQ61" s="586"/>
      <c r="CR61" s="540"/>
      <c r="CS61" s="586"/>
      <c r="CT61" s="586"/>
      <c r="CU61" s="586"/>
      <c r="CV61" s="586"/>
      <c r="CW61" s="550"/>
      <c r="CX61" s="399">
        <f t="shared" ref="CX61:CY61" si="96">COUNTIF(CX46:CX60, "W")</f>
        <v>2</v>
      </c>
      <c r="CY61" s="400">
        <f t="shared" si="96"/>
        <v>0</v>
      </c>
      <c r="CZ61" s="550"/>
      <c r="DA61" s="586"/>
      <c r="DB61" s="586"/>
      <c r="DC61" s="586"/>
      <c r="DD61" s="540"/>
      <c r="DE61" s="586"/>
      <c r="DF61" s="586"/>
      <c r="DG61" s="586"/>
      <c r="DH61" s="586"/>
      <c r="DI61" s="550"/>
      <c r="DJ61" s="399">
        <f t="shared" ref="DJ61:DK61" si="97">COUNTIF(DJ46:DJ60, "W")</f>
        <v>1</v>
      </c>
      <c r="DK61" s="400">
        <f t="shared" si="97"/>
        <v>2</v>
      </c>
      <c r="DL61" s="550"/>
      <c r="DM61" s="586"/>
      <c r="DN61" s="586"/>
      <c r="DO61" s="586"/>
      <c r="DP61" s="540"/>
      <c r="DQ61" s="586"/>
      <c r="DR61" s="586"/>
      <c r="DS61" s="586"/>
      <c r="DT61" s="586"/>
      <c r="DU61" s="550"/>
      <c r="DV61" s="399">
        <f t="shared" ref="DV61:DW61" si="98">COUNTIF(DV46:DV60, "W")</f>
        <v>1</v>
      </c>
      <c r="DW61" s="400">
        <f t="shared" si="98"/>
        <v>2</v>
      </c>
      <c r="DX61" s="550"/>
      <c r="DY61" s="586"/>
      <c r="DZ61" s="586"/>
      <c r="EA61" s="586"/>
      <c r="EB61" s="540"/>
      <c r="EC61" s="586"/>
      <c r="ED61" s="586"/>
      <c r="EE61" s="586"/>
      <c r="EF61" s="586"/>
      <c r="EG61" s="550"/>
      <c r="EH61" s="399">
        <f t="shared" ref="EH61:EI61" si="99">COUNTIF(EH46:EH60, "W")</f>
        <v>2</v>
      </c>
      <c r="EI61" s="400">
        <f t="shared" si="99"/>
        <v>0</v>
      </c>
      <c r="EJ61" s="550"/>
      <c r="EK61" s="586"/>
      <c r="EL61" s="586"/>
      <c r="EM61" s="586"/>
      <c r="EN61" s="540"/>
      <c r="EO61" s="586"/>
      <c r="EP61" s="586"/>
      <c r="EQ61" s="586"/>
      <c r="ER61" s="586"/>
      <c r="ES61" s="550"/>
      <c r="ET61" s="399">
        <f t="shared" ref="ET61:EU61" si="100">COUNTIF(ET46:ET60, "W")</f>
        <v>0</v>
      </c>
      <c r="EU61" s="400">
        <f t="shared" si="100"/>
        <v>2</v>
      </c>
      <c r="EV61" s="550"/>
      <c r="EW61" s="586"/>
      <c r="EX61" s="586"/>
      <c r="EY61" s="586"/>
      <c r="EZ61" s="540"/>
      <c r="FA61" s="586"/>
      <c r="FB61" s="586"/>
      <c r="FC61" s="586"/>
      <c r="FD61" s="586"/>
      <c r="FE61" s="550"/>
      <c r="FF61" s="399">
        <f t="shared" ref="FF61:FG61" si="101">COUNTIF(FF46:FF60, "W")</f>
        <v>2</v>
      </c>
      <c r="FG61" s="400">
        <f t="shared" si="101"/>
        <v>0</v>
      </c>
      <c r="FH61" s="550"/>
      <c r="FI61" s="586"/>
      <c r="FJ61" s="586"/>
      <c r="FK61" s="586"/>
      <c r="FL61" s="540"/>
      <c r="FM61" s="586"/>
      <c r="FN61" s="586"/>
      <c r="FO61" s="586"/>
      <c r="FP61" s="586"/>
      <c r="FQ61" s="550"/>
      <c r="FR61" s="399">
        <f t="shared" ref="FR61:FS61" si="102">COUNTIF(FR46:FR60, "W")</f>
        <v>1</v>
      </c>
      <c r="FS61" s="400">
        <f t="shared" si="102"/>
        <v>2</v>
      </c>
      <c r="FT61" s="550"/>
      <c r="FU61" s="586"/>
      <c r="FV61" s="586"/>
      <c r="FW61" s="586"/>
      <c r="FX61" s="540"/>
    </row>
    <row r="62">
      <c r="A62" s="109">
        <v>2.0</v>
      </c>
      <c r="B62" s="429">
        <v>48.0</v>
      </c>
      <c r="C62" s="555" t="str">
        <f>'Schedule | 1 Division'!K32</f>
        <v>FORZE</v>
      </c>
      <c r="D62" s="561">
        <f t="shared" ref="D62:E62" si="103">ET81</f>
        <v>0</v>
      </c>
      <c r="E62" s="561">
        <f t="shared" si="103"/>
        <v>2</v>
      </c>
      <c r="F62" s="555" t="str">
        <f>'Schedule | 1 Division'!O32</f>
        <v>Team Spirit</v>
      </c>
      <c r="G62" s="562" t="str">
        <f t="shared" si="12"/>
        <v>Team Spirit</v>
      </c>
      <c r="H62" s="563" t="str">
        <f t="shared" si="13"/>
        <v/>
      </c>
      <c r="I62" s="563" t="str">
        <f t="shared" si="14"/>
        <v/>
      </c>
      <c r="J62" s="579" t="str">
        <f t="shared" si="15"/>
        <v>FORZE</v>
      </c>
      <c r="K62" s="540"/>
      <c r="L62" s="540"/>
      <c r="M62" s="602"/>
      <c r="N62" s="602"/>
      <c r="O62" s="602"/>
      <c r="P62" s="602"/>
      <c r="Q62" s="602"/>
      <c r="R62" s="602"/>
      <c r="S62" s="602"/>
      <c r="T62" s="602"/>
      <c r="U62" s="602"/>
      <c r="V62" s="602"/>
      <c r="W62" s="602"/>
      <c r="X62" s="540"/>
      <c r="Y62" s="602"/>
      <c r="Z62" s="602"/>
      <c r="AA62" s="602"/>
      <c r="AB62" s="602"/>
      <c r="AC62" s="602"/>
      <c r="AD62" s="602"/>
      <c r="AE62" s="602"/>
      <c r="AF62" s="602"/>
      <c r="AG62" s="602"/>
      <c r="AH62" s="602"/>
      <c r="AI62" s="602"/>
      <c r="AJ62" s="540"/>
      <c r="AK62" s="602"/>
      <c r="AL62" s="602"/>
      <c r="AM62" s="602"/>
      <c r="AN62" s="602"/>
      <c r="AO62" s="602"/>
      <c r="AP62" s="602"/>
      <c r="AQ62" s="602"/>
      <c r="AR62" s="602"/>
      <c r="AS62" s="602"/>
      <c r="AT62" s="602"/>
      <c r="AU62" s="602"/>
      <c r="AV62" s="540"/>
      <c r="AW62" s="602"/>
      <c r="AX62" s="602"/>
      <c r="AY62" s="602"/>
      <c r="AZ62" s="602"/>
      <c r="BA62" s="602"/>
      <c r="BB62" s="602"/>
      <c r="BC62" s="602"/>
      <c r="BD62" s="602"/>
      <c r="BE62" s="602"/>
      <c r="BF62" s="602"/>
      <c r="BG62" s="602"/>
      <c r="BH62" s="540"/>
      <c r="BI62" s="602"/>
      <c r="BJ62" s="602"/>
      <c r="BK62" s="602"/>
      <c r="BL62" s="602"/>
      <c r="BM62" s="602"/>
      <c r="BN62" s="602"/>
      <c r="BO62" s="602"/>
      <c r="BP62" s="602"/>
      <c r="BQ62" s="602"/>
      <c r="BR62" s="602"/>
      <c r="BS62" s="602"/>
      <c r="BT62" s="540"/>
      <c r="BU62" s="602"/>
      <c r="BV62" s="602"/>
      <c r="BW62" s="602"/>
      <c r="BX62" s="602"/>
      <c r="BY62" s="602"/>
      <c r="BZ62" s="602"/>
      <c r="CA62" s="602"/>
      <c r="CB62" s="602"/>
      <c r="CC62" s="602"/>
      <c r="CD62" s="602"/>
      <c r="CE62" s="602"/>
      <c r="CF62" s="540"/>
      <c r="CG62" s="602"/>
      <c r="CH62" s="602"/>
      <c r="CI62" s="602"/>
      <c r="CJ62" s="602"/>
      <c r="CK62" s="602"/>
      <c r="CL62" s="602"/>
      <c r="CM62" s="602"/>
      <c r="CN62" s="602"/>
      <c r="CO62" s="602"/>
      <c r="CP62" s="602"/>
      <c r="CQ62" s="602"/>
      <c r="CR62" s="540"/>
      <c r="CS62" s="602"/>
      <c r="CT62" s="602"/>
      <c r="CU62" s="602"/>
      <c r="CV62" s="602"/>
      <c r="CW62" s="602"/>
      <c r="CX62" s="602"/>
      <c r="CY62" s="602"/>
      <c r="CZ62" s="602"/>
      <c r="DA62" s="602"/>
      <c r="DB62" s="602"/>
      <c r="DC62" s="602"/>
      <c r="DD62" s="540"/>
      <c r="DE62" s="602"/>
      <c r="DF62" s="602"/>
      <c r="DG62" s="602"/>
      <c r="DH62" s="602"/>
      <c r="DI62" s="602"/>
      <c r="DJ62" s="602"/>
      <c r="DK62" s="602"/>
      <c r="DL62" s="602"/>
      <c r="DM62" s="602"/>
      <c r="DN62" s="602"/>
      <c r="DO62" s="602"/>
      <c r="DP62" s="540"/>
      <c r="DQ62" s="602"/>
      <c r="DR62" s="602"/>
      <c r="DS62" s="602"/>
      <c r="DT62" s="602"/>
      <c r="DU62" s="602"/>
      <c r="DV62" s="602"/>
      <c r="DW62" s="602"/>
      <c r="DX62" s="602"/>
      <c r="DY62" s="602"/>
      <c r="DZ62" s="602"/>
      <c r="EA62" s="602"/>
      <c r="EB62" s="540"/>
      <c r="EC62" s="602"/>
      <c r="ED62" s="602"/>
      <c r="EE62" s="602"/>
      <c r="EF62" s="602"/>
      <c r="EG62" s="602"/>
      <c r="EH62" s="602"/>
      <c r="EI62" s="602"/>
      <c r="EJ62" s="602"/>
      <c r="EK62" s="602"/>
      <c r="EL62" s="602"/>
      <c r="EM62" s="602"/>
      <c r="EN62" s="540"/>
      <c r="EO62" s="602"/>
      <c r="EP62" s="602"/>
      <c r="EQ62" s="602"/>
      <c r="ER62" s="602"/>
      <c r="ES62" s="602"/>
      <c r="ET62" s="602"/>
      <c r="EU62" s="602"/>
      <c r="EV62" s="602"/>
      <c r="EW62" s="602"/>
      <c r="EX62" s="602"/>
      <c r="EY62" s="602"/>
      <c r="EZ62" s="540"/>
      <c r="FA62" s="602"/>
      <c r="FB62" s="602"/>
      <c r="FC62" s="602"/>
      <c r="FD62" s="602"/>
      <c r="FE62" s="602"/>
      <c r="FF62" s="602"/>
      <c r="FG62" s="602"/>
      <c r="FH62" s="602"/>
      <c r="FI62" s="602"/>
      <c r="FJ62" s="602"/>
      <c r="FK62" s="602"/>
      <c r="FL62" s="540"/>
      <c r="FM62" s="602"/>
      <c r="FN62" s="602"/>
      <c r="FO62" s="602"/>
      <c r="FP62" s="602"/>
      <c r="FQ62" s="602"/>
      <c r="FR62" s="602"/>
      <c r="FS62" s="602"/>
      <c r="FT62" s="602"/>
      <c r="FU62" s="602"/>
      <c r="FV62" s="602"/>
      <c r="FW62" s="602"/>
      <c r="FX62" s="540"/>
    </row>
    <row r="63">
      <c r="A63" s="378">
        <v>2.0</v>
      </c>
      <c r="B63" s="587">
        <v>49.0</v>
      </c>
      <c r="C63" s="590" t="str">
        <f>'Schedule | 1 Division'!K35</f>
        <v>FORZE</v>
      </c>
      <c r="D63" s="589">
        <f t="shared" ref="D63:E63" si="104">FF21</f>
        <v>0</v>
      </c>
      <c r="E63" s="589">
        <f t="shared" si="104"/>
        <v>2</v>
      </c>
      <c r="F63" s="590" t="str">
        <f>'Schedule | 1 Division'!O35</f>
        <v>Verso Time</v>
      </c>
      <c r="G63" s="591" t="str">
        <f t="shared" si="12"/>
        <v>Verso Time</v>
      </c>
      <c r="H63" s="592" t="str">
        <f t="shared" si="13"/>
        <v/>
      </c>
      <c r="I63" s="592" t="str">
        <f t="shared" si="14"/>
        <v/>
      </c>
      <c r="J63" s="593" t="str">
        <f t="shared" si="15"/>
        <v>FORZE</v>
      </c>
      <c r="K63" s="540"/>
      <c r="L63" s="540"/>
      <c r="M63" s="351" t="str">
        <f>'Schedule | 1 Division'!E8</f>
        <v>Magic</v>
      </c>
      <c r="N63" s="8"/>
      <c r="O63" s="8"/>
      <c r="P63" s="8"/>
      <c r="Q63" s="8"/>
      <c r="R63" s="351" t="str">
        <f>'Schedule | 1 Division'!J8</f>
        <v>Match 4</v>
      </c>
      <c r="S63" s="68"/>
      <c r="T63" s="421" t="str">
        <f>'Schedule | 1 Division'!I8</f>
        <v>Virtus.pro</v>
      </c>
      <c r="U63" s="8"/>
      <c r="V63" s="8"/>
      <c r="W63" s="68"/>
      <c r="X63" s="594"/>
      <c r="Y63" s="351" t="str">
        <f>'Schedule | 1 Division'!E14</f>
        <v>Team Yandex</v>
      </c>
      <c r="Z63" s="8"/>
      <c r="AA63" s="8"/>
      <c r="AB63" s="8"/>
      <c r="AC63" s="8"/>
      <c r="AD63" s="351" t="str">
        <f>'Schedule | 1 Division'!J14</f>
        <v>Match 8</v>
      </c>
      <c r="AE63" s="68"/>
      <c r="AF63" s="402" t="str">
        <f>'Schedule | 1 Division'!I14</f>
        <v>Aura Farmers</v>
      </c>
      <c r="AG63" s="8"/>
      <c r="AH63" s="8"/>
      <c r="AI63" s="68"/>
      <c r="AJ63" s="594"/>
      <c r="AK63" s="351" t="str">
        <f>'Schedule | 1 Division'!E20</f>
        <v>FORZE</v>
      </c>
      <c r="AL63" s="8"/>
      <c r="AM63" s="8"/>
      <c r="AN63" s="8"/>
      <c r="AO63" s="8"/>
      <c r="AP63" s="351" t="str">
        <f>'Schedule | 1 Division'!J20</f>
        <v>Match 12</v>
      </c>
      <c r="AQ63" s="68"/>
      <c r="AR63" s="402" t="str">
        <f>'Schedule | 1 Division'!I20</f>
        <v>Magic</v>
      </c>
      <c r="AS63" s="8"/>
      <c r="AT63" s="8"/>
      <c r="AU63" s="68"/>
      <c r="AV63" s="594"/>
      <c r="AW63" s="351" t="str">
        <f>'Schedule | 1 Division'!E26</f>
        <v>Verso Time</v>
      </c>
      <c r="AX63" s="8"/>
      <c r="AY63" s="8"/>
      <c r="AZ63" s="8"/>
      <c r="BA63" s="8"/>
      <c r="BB63" s="351" t="str">
        <f>'Schedule | 1 Division'!J26</f>
        <v>Match 16</v>
      </c>
      <c r="BC63" s="68"/>
      <c r="BD63" s="608" t="str">
        <f>'Schedule | 1 Division'!I26</f>
        <v>Virtus.pro</v>
      </c>
      <c r="BE63" s="8"/>
      <c r="BF63" s="8"/>
      <c r="BG63" s="68"/>
      <c r="BH63" s="594"/>
      <c r="BI63" s="351" t="str">
        <f>'Schedule | 1 Division'!E32</f>
        <v>Magic</v>
      </c>
      <c r="BJ63" s="8"/>
      <c r="BK63" s="8"/>
      <c r="BL63" s="8"/>
      <c r="BM63" s="8"/>
      <c r="BN63" s="351" t="str">
        <f>'Schedule | 1 Division'!J32</f>
        <v>Match 20</v>
      </c>
      <c r="BO63" s="68"/>
      <c r="BP63" s="402" t="str">
        <f>'Schedule | 1 Division'!I32</f>
        <v>Team Spirit</v>
      </c>
      <c r="BQ63" s="8"/>
      <c r="BR63" s="8"/>
      <c r="BS63" s="68"/>
      <c r="BT63" s="594"/>
      <c r="BU63" s="351" t="str">
        <f>'Schedule | 1 Division'!E38</f>
        <v>Team Spirit</v>
      </c>
      <c r="BV63" s="8"/>
      <c r="BW63" s="8"/>
      <c r="BX63" s="8"/>
      <c r="BY63" s="8"/>
      <c r="BZ63" s="351" t="str">
        <f>'Schedule | 1 Division'!J38</f>
        <v>Match 24</v>
      </c>
      <c r="CA63" s="68"/>
      <c r="CB63" s="402" t="str">
        <f>'Schedule | 1 Division'!I38</f>
        <v>FORZE</v>
      </c>
      <c r="CC63" s="8"/>
      <c r="CD63" s="8"/>
      <c r="CE63" s="68"/>
      <c r="CF63" s="594"/>
      <c r="CG63" s="351" t="str">
        <f>'Schedule | 1 Division'!E44</f>
        <v>FORZE</v>
      </c>
      <c r="CH63" s="8"/>
      <c r="CI63" s="8"/>
      <c r="CJ63" s="8"/>
      <c r="CK63" s="8"/>
      <c r="CL63" s="351" t="str">
        <f>'Schedule | 1 Division'!J44</f>
        <v>Match 28</v>
      </c>
      <c r="CM63" s="68"/>
      <c r="CN63" s="402" t="str">
        <f>'Schedule | 1 Division'!I44</f>
        <v>CYBERHERO</v>
      </c>
      <c r="CO63" s="8"/>
      <c r="CP63" s="8"/>
      <c r="CQ63" s="68"/>
      <c r="CR63" s="594"/>
      <c r="CS63" s="413" t="str">
        <f>'Schedule | 1 Division'!K8</f>
        <v>Virtus.pro</v>
      </c>
      <c r="CT63" s="8"/>
      <c r="CU63" s="8"/>
      <c r="CV63" s="8"/>
      <c r="CW63" s="8"/>
      <c r="CX63" s="351" t="str">
        <f>'Schedule | 1 Division'!P8</f>
        <v>Match 32</v>
      </c>
      <c r="CY63" s="68"/>
      <c r="CZ63" s="402" t="str">
        <f>'Schedule | 1 Division'!O8</f>
        <v>Aura Farmers</v>
      </c>
      <c r="DA63" s="8"/>
      <c r="DB63" s="8"/>
      <c r="DC63" s="68"/>
      <c r="DD63" s="594"/>
      <c r="DE63" s="351" t="str">
        <f>'Schedule | 1 Division'!K14</f>
        <v>Aura Farmers</v>
      </c>
      <c r="DF63" s="8"/>
      <c r="DG63" s="8"/>
      <c r="DH63" s="8"/>
      <c r="DI63" s="8"/>
      <c r="DJ63" s="351" t="str">
        <f>'Schedule | 1 Division'!P14</f>
        <v>Match 36</v>
      </c>
      <c r="DK63" s="68"/>
      <c r="DL63" s="402" t="str">
        <f>'Schedule | 1 Division'!O14</f>
        <v>CYBERHERO</v>
      </c>
      <c r="DM63" s="8"/>
      <c r="DN63" s="8"/>
      <c r="DO63" s="68"/>
      <c r="DP63" s="594"/>
      <c r="DQ63" s="351" t="str">
        <f>'Schedule | 1 Division'!K20</f>
        <v>Verso Time</v>
      </c>
      <c r="DR63" s="8"/>
      <c r="DS63" s="8"/>
      <c r="DT63" s="8"/>
      <c r="DU63" s="8"/>
      <c r="DV63" s="351" t="str">
        <f>'Schedule | 1 Division'!P20</f>
        <v>Match 40</v>
      </c>
      <c r="DW63" s="68"/>
      <c r="DX63" s="402" t="str">
        <f>'Schedule | 1 Division'!O20</f>
        <v>Magic</v>
      </c>
      <c r="DY63" s="8"/>
      <c r="DZ63" s="8"/>
      <c r="EA63" s="68"/>
      <c r="EB63" s="594"/>
      <c r="EC63" s="351" t="str">
        <f>'Schedule | 1 Division'!K26</f>
        <v>Team Yandex</v>
      </c>
      <c r="ED63" s="8"/>
      <c r="EE63" s="8"/>
      <c r="EF63" s="8"/>
      <c r="EG63" s="8"/>
      <c r="EH63" s="351" t="str">
        <f>'Schedule | 1 Division'!P26</f>
        <v>Match 44</v>
      </c>
      <c r="EI63" s="68"/>
      <c r="EJ63" s="402" t="str">
        <f>'Schedule | 1 Division'!O26</f>
        <v>Team Spirit</v>
      </c>
      <c r="EK63" s="8"/>
      <c r="EL63" s="8"/>
      <c r="EM63" s="68"/>
      <c r="EN63" s="594"/>
      <c r="EO63" s="351" t="str">
        <f>'Schedule | 1 Division'!K32</f>
        <v>FORZE</v>
      </c>
      <c r="EP63" s="8"/>
      <c r="EQ63" s="8"/>
      <c r="ER63" s="8"/>
      <c r="ES63" s="8"/>
      <c r="ET63" s="351" t="str">
        <f>'Schedule | 1 Division'!P32</f>
        <v>Match 48</v>
      </c>
      <c r="EU63" s="68"/>
      <c r="EV63" s="402" t="str">
        <f>'Schedule | 1 Division'!O32</f>
        <v>Team Spirit</v>
      </c>
      <c r="EW63" s="8"/>
      <c r="EX63" s="8"/>
      <c r="EY63" s="68"/>
      <c r="EZ63" s="594"/>
      <c r="FA63" s="351" t="str">
        <f>'Schedule | 1 Division'!K38</f>
        <v>Team Yandex</v>
      </c>
      <c r="FB63" s="8"/>
      <c r="FC63" s="8"/>
      <c r="FD63" s="8"/>
      <c r="FE63" s="8"/>
      <c r="FF63" s="351" t="str">
        <f>'Schedule | 1 Division'!P38</f>
        <v>Match 52</v>
      </c>
      <c r="FG63" s="68"/>
      <c r="FH63" s="402" t="str">
        <f>'Schedule | 1 Division'!O38</f>
        <v>CYBERHERO</v>
      </c>
      <c r="FI63" s="8"/>
      <c r="FJ63" s="8"/>
      <c r="FK63" s="68"/>
      <c r="FL63" s="594"/>
      <c r="FM63" s="351" t="str">
        <f>'Schedule | 1 Division'!K44</f>
        <v>Team Spirit</v>
      </c>
      <c r="FN63" s="8"/>
      <c r="FO63" s="8"/>
      <c r="FP63" s="8"/>
      <c r="FQ63" s="8"/>
      <c r="FR63" s="351" t="str">
        <f>'Schedule | 1 Division'!P44</f>
        <v>Match 56</v>
      </c>
      <c r="FS63" s="68"/>
      <c r="FT63" s="605" t="str">
        <f>'Schedule | 1 Division'!O44</f>
        <v>Virtus.pro</v>
      </c>
      <c r="FU63" s="8"/>
      <c r="FV63" s="8"/>
      <c r="FW63" s="68"/>
      <c r="FX63" s="540"/>
    </row>
    <row r="64">
      <c r="A64" s="109">
        <v>2.0</v>
      </c>
      <c r="B64" s="429">
        <v>50.0</v>
      </c>
      <c r="C64" s="553" t="str">
        <f>'Schedule | 1 Division'!K36</f>
        <v>Virtus.pro</v>
      </c>
      <c r="D64" s="561">
        <f t="shared" ref="D64:E64" si="105">FF41</f>
        <v>2</v>
      </c>
      <c r="E64" s="561">
        <f t="shared" si="105"/>
        <v>0</v>
      </c>
      <c r="F64" s="555" t="str">
        <f>'Schedule | 1 Division'!O36</f>
        <v>Magic</v>
      </c>
      <c r="G64" s="562" t="str">
        <f t="shared" si="12"/>
        <v>Virtus.pro</v>
      </c>
      <c r="H64" s="563" t="str">
        <f t="shared" si="13"/>
        <v/>
      </c>
      <c r="I64" s="563" t="str">
        <f t="shared" si="14"/>
        <v/>
      </c>
      <c r="J64" s="579" t="str">
        <f t="shared" si="15"/>
        <v>Magic</v>
      </c>
      <c r="K64" s="540"/>
      <c r="L64" s="540"/>
      <c r="M64" s="61"/>
      <c r="N64" s="22"/>
      <c r="O64" s="22"/>
      <c r="P64" s="22"/>
      <c r="Q64" s="22"/>
      <c r="R64" s="61"/>
      <c r="S64" s="93"/>
      <c r="T64" s="22"/>
      <c r="U64" s="22"/>
      <c r="V64" s="22"/>
      <c r="W64" s="93"/>
      <c r="X64" s="594"/>
      <c r="Y64" s="61"/>
      <c r="Z64" s="22"/>
      <c r="AA64" s="22"/>
      <c r="AB64" s="22"/>
      <c r="AC64" s="22"/>
      <c r="AD64" s="61"/>
      <c r="AE64" s="93"/>
      <c r="AF64" s="22"/>
      <c r="AG64" s="22"/>
      <c r="AH64" s="22"/>
      <c r="AI64" s="93"/>
      <c r="AJ64" s="594"/>
      <c r="AK64" s="61"/>
      <c r="AL64" s="22"/>
      <c r="AM64" s="22"/>
      <c r="AN64" s="22"/>
      <c r="AO64" s="22"/>
      <c r="AP64" s="61"/>
      <c r="AQ64" s="93"/>
      <c r="AR64" s="22"/>
      <c r="AS64" s="22"/>
      <c r="AT64" s="22"/>
      <c r="AU64" s="93"/>
      <c r="AV64" s="594"/>
      <c r="AW64" s="61"/>
      <c r="AX64" s="22"/>
      <c r="AY64" s="22"/>
      <c r="AZ64" s="22"/>
      <c r="BA64" s="22"/>
      <c r="BB64" s="61"/>
      <c r="BC64" s="93"/>
      <c r="BD64" s="22"/>
      <c r="BE64" s="22"/>
      <c r="BF64" s="22"/>
      <c r="BG64" s="93"/>
      <c r="BH64" s="594"/>
      <c r="BI64" s="61"/>
      <c r="BJ64" s="22"/>
      <c r="BK64" s="22"/>
      <c r="BL64" s="22"/>
      <c r="BM64" s="22"/>
      <c r="BN64" s="61"/>
      <c r="BO64" s="93"/>
      <c r="BP64" s="22"/>
      <c r="BQ64" s="22"/>
      <c r="BR64" s="22"/>
      <c r="BS64" s="93"/>
      <c r="BT64" s="594"/>
      <c r="BU64" s="61"/>
      <c r="BV64" s="22"/>
      <c r="BW64" s="22"/>
      <c r="BX64" s="22"/>
      <c r="BY64" s="22"/>
      <c r="BZ64" s="61"/>
      <c r="CA64" s="93"/>
      <c r="CB64" s="22"/>
      <c r="CC64" s="22"/>
      <c r="CD64" s="22"/>
      <c r="CE64" s="93"/>
      <c r="CF64" s="594"/>
      <c r="CG64" s="61"/>
      <c r="CH64" s="22"/>
      <c r="CI64" s="22"/>
      <c r="CJ64" s="22"/>
      <c r="CK64" s="22"/>
      <c r="CL64" s="61"/>
      <c r="CM64" s="93"/>
      <c r="CN64" s="22"/>
      <c r="CO64" s="22"/>
      <c r="CP64" s="22"/>
      <c r="CQ64" s="93"/>
      <c r="CR64" s="594"/>
      <c r="CS64" s="61"/>
      <c r="CT64" s="22"/>
      <c r="CU64" s="22"/>
      <c r="CV64" s="22"/>
      <c r="CW64" s="22"/>
      <c r="CX64" s="61"/>
      <c r="CY64" s="93"/>
      <c r="CZ64" s="22"/>
      <c r="DA64" s="22"/>
      <c r="DB64" s="22"/>
      <c r="DC64" s="93"/>
      <c r="DD64" s="594"/>
      <c r="DE64" s="61"/>
      <c r="DF64" s="22"/>
      <c r="DG64" s="22"/>
      <c r="DH64" s="22"/>
      <c r="DI64" s="22"/>
      <c r="DJ64" s="61"/>
      <c r="DK64" s="93"/>
      <c r="DL64" s="22"/>
      <c r="DM64" s="22"/>
      <c r="DN64" s="22"/>
      <c r="DO64" s="93"/>
      <c r="DP64" s="594"/>
      <c r="DQ64" s="61"/>
      <c r="DR64" s="22"/>
      <c r="DS64" s="22"/>
      <c r="DT64" s="22"/>
      <c r="DU64" s="22"/>
      <c r="DV64" s="61"/>
      <c r="DW64" s="93"/>
      <c r="DX64" s="22"/>
      <c r="DY64" s="22"/>
      <c r="DZ64" s="22"/>
      <c r="EA64" s="93"/>
      <c r="EB64" s="594"/>
      <c r="EC64" s="61"/>
      <c r="ED64" s="22"/>
      <c r="EE64" s="22"/>
      <c r="EF64" s="22"/>
      <c r="EG64" s="22"/>
      <c r="EH64" s="61"/>
      <c r="EI64" s="93"/>
      <c r="EJ64" s="22"/>
      <c r="EK64" s="22"/>
      <c r="EL64" s="22"/>
      <c r="EM64" s="93"/>
      <c r="EN64" s="594"/>
      <c r="EO64" s="61"/>
      <c r="EP64" s="22"/>
      <c r="EQ64" s="22"/>
      <c r="ER64" s="22"/>
      <c r="ES64" s="22"/>
      <c r="ET64" s="61"/>
      <c r="EU64" s="93"/>
      <c r="EV64" s="22"/>
      <c r="EW64" s="22"/>
      <c r="EX64" s="22"/>
      <c r="EY64" s="93"/>
      <c r="EZ64" s="594"/>
      <c r="FA64" s="61"/>
      <c r="FB64" s="22"/>
      <c r="FC64" s="22"/>
      <c r="FD64" s="22"/>
      <c r="FE64" s="22"/>
      <c r="FF64" s="61"/>
      <c r="FG64" s="93"/>
      <c r="FH64" s="22"/>
      <c r="FI64" s="22"/>
      <c r="FJ64" s="22"/>
      <c r="FK64" s="93"/>
      <c r="FL64" s="594"/>
      <c r="FM64" s="61"/>
      <c r="FN64" s="22"/>
      <c r="FO64" s="22"/>
      <c r="FP64" s="22"/>
      <c r="FQ64" s="22"/>
      <c r="FR64" s="61"/>
      <c r="FS64" s="93"/>
      <c r="FT64" s="22"/>
      <c r="FU64" s="22"/>
      <c r="FV64" s="22"/>
      <c r="FW64" s="93"/>
      <c r="FX64" s="540"/>
    </row>
    <row r="65">
      <c r="A65" s="109">
        <v>2.0</v>
      </c>
      <c r="B65" s="429">
        <v>51.0</v>
      </c>
      <c r="C65" s="555" t="str">
        <f>'Schedule | 1 Division'!K37</f>
        <v>Team Spirit</v>
      </c>
      <c r="D65" s="578">
        <f t="shared" ref="D65:E65" si="106">FF61</f>
        <v>2</v>
      </c>
      <c r="E65" s="578">
        <f t="shared" si="106"/>
        <v>0</v>
      </c>
      <c r="F65" s="555" t="str">
        <f>'Schedule | 1 Division'!O37</f>
        <v>Aura Farmers</v>
      </c>
      <c r="G65" s="562" t="str">
        <f t="shared" si="12"/>
        <v>Team Spirit</v>
      </c>
      <c r="H65" s="563" t="str">
        <f t="shared" si="13"/>
        <v/>
      </c>
      <c r="I65" s="563" t="str">
        <f t="shared" si="14"/>
        <v/>
      </c>
      <c r="J65" s="579" t="str">
        <f t="shared" si="15"/>
        <v>Aura Farmers</v>
      </c>
      <c r="K65" s="540"/>
      <c r="L65" s="540"/>
      <c r="M65" s="356" t="s">
        <v>307</v>
      </c>
      <c r="N65" s="357" t="s">
        <v>308</v>
      </c>
      <c r="O65" s="358" t="s">
        <v>309</v>
      </c>
      <c r="P65" s="358" t="s">
        <v>310</v>
      </c>
      <c r="Q65" s="359" t="s">
        <v>311</v>
      </c>
      <c r="R65" s="360" t="s">
        <v>259</v>
      </c>
      <c r="S65" s="100"/>
      <c r="T65" s="361" t="s">
        <v>311</v>
      </c>
      <c r="U65" s="358" t="s">
        <v>312</v>
      </c>
      <c r="V65" s="358" t="s">
        <v>313</v>
      </c>
      <c r="W65" s="362" t="s">
        <v>314</v>
      </c>
      <c r="X65" s="594"/>
      <c r="Y65" s="356" t="s">
        <v>307</v>
      </c>
      <c r="Z65" s="365" t="s">
        <v>308</v>
      </c>
      <c r="AA65" s="363" t="s">
        <v>309</v>
      </c>
      <c r="AB65" s="363" t="s">
        <v>310</v>
      </c>
      <c r="AC65" s="366" t="s">
        <v>311</v>
      </c>
      <c r="AD65" s="360" t="s">
        <v>259</v>
      </c>
      <c r="AE65" s="100"/>
      <c r="AF65" s="360" t="s">
        <v>311</v>
      </c>
      <c r="AG65" s="363" t="s">
        <v>312</v>
      </c>
      <c r="AH65" s="363" t="s">
        <v>313</v>
      </c>
      <c r="AI65" s="364" t="s">
        <v>314</v>
      </c>
      <c r="AJ65" s="594"/>
      <c r="AK65" s="356" t="s">
        <v>307</v>
      </c>
      <c r="AL65" s="365" t="s">
        <v>308</v>
      </c>
      <c r="AM65" s="363" t="s">
        <v>309</v>
      </c>
      <c r="AN65" s="363" t="s">
        <v>310</v>
      </c>
      <c r="AO65" s="366" t="s">
        <v>311</v>
      </c>
      <c r="AP65" s="360" t="s">
        <v>259</v>
      </c>
      <c r="AQ65" s="100"/>
      <c r="AR65" s="360" t="s">
        <v>311</v>
      </c>
      <c r="AS65" s="363" t="s">
        <v>312</v>
      </c>
      <c r="AT65" s="363" t="s">
        <v>313</v>
      </c>
      <c r="AU65" s="364" t="s">
        <v>314</v>
      </c>
      <c r="AV65" s="594"/>
      <c r="AW65" s="356" t="s">
        <v>307</v>
      </c>
      <c r="AX65" s="365" t="s">
        <v>308</v>
      </c>
      <c r="AY65" s="363" t="s">
        <v>309</v>
      </c>
      <c r="AZ65" s="363" t="s">
        <v>310</v>
      </c>
      <c r="BA65" s="366" t="s">
        <v>311</v>
      </c>
      <c r="BB65" s="360" t="s">
        <v>259</v>
      </c>
      <c r="BC65" s="100"/>
      <c r="BD65" s="360" t="s">
        <v>311</v>
      </c>
      <c r="BE65" s="363" t="s">
        <v>312</v>
      </c>
      <c r="BF65" s="363" t="s">
        <v>313</v>
      </c>
      <c r="BG65" s="364" t="s">
        <v>314</v>
      </c>
      <c r="BH65" s="594"/>
      <c r="BI65" s="356" t="s">
        <v>307</v>
      </c>
      <c r="BJ65" s="365" t="s">
        <v>308</v>
      </c>
      <c r="BK65" s="363" t="s">
        <v>309</v>
      </c>
      <c r="BL65" s="363" t="s">
        <v>310</v>
      </c>
      <c r="BM65" s="366" t="s">
        <v>311</v>
      </c>
      <c r="BN65" s="360" t="s">
        <v>259</v>
      </c>
      <c r="BO65" s="100"/>
      <c r="BP65" s="360" t="s">
        <v>311</v>
      </c>
      <c r="BQ65" s="363" t="s">
        <v>312</v>
      </c>
      <c r="BR65" s="363" t="s">
        <v>313</v>
      </c>
      <c r="BS65" s="364" t="s">
        <v>314</v>
      </c>
      <c r="BT65" s="594"/>
      <c r="BU65" s="356" t="s">
        <v>307</v>
      </c>
      <c r="BV65" s="365" t="s">
        <v>308</v>
      </c>
      <c r="BW65" s="363" t="s">
        <v>309</v>
      </c>
      <c r="BX65" s="363" t="s">
        <v>310</v>
      </c>
      <c r="BY65" s="366" t="s">
        <v>311</v>
      </c>
      <c r="BZ65" s="360" t="s">
        <v>259</v>
      </c>
      <c r="CA65" s="100"/>
      <c r="CB65" s="360" t="s">
        <v>311</v>
      </c>
      <c r="CC65" s="363" t="s">
        <v>312</v>
      </c>
      <c r="CD65" s="363" t="s">
        <v>313</v>
      </c>
      <c r="CE65" s="364" t="s">
        <v>314</v>
      </c>
      <c r="CF65" s="594"/>
      <c r="CG65" s="356" t="s">
        <v>307</v>
      </c>
      <c r="CH65" s="365" t="s">
        <v>308</v>
      </c>
      <c r="CI65" s="363" t="s">
        <v>309</v>
      </c>
      <c r="CJ65" s="363" t="s">
        <v>310</v>
      </c>
      <c r="CK65" s="366" t="s">
        <v>311</v>
      </c>
      <c r="CL65" s="360" t="s">
        <v>259</v>
      </c>
      <c r="CM65" s="100"/>
      <c r="CN65" s="360" t="s">
        <v>311</v>
      </c>
      <c r="CO65" s="363" t="s">
        <v>312</v>
      </c>
      <c r="CP65" s="363" t="s">
        <v>313</v>
      </c>
      <c r="CQ65" s="364" t="s">
        <v>314</v>
      </c>
      <c r="CR65" s="594"/>
      <c r="CS65" s="356" t="s">
        <v>307</v>
      </c>
      <c r="CT65" s="365" t="s">
        <v>308</v>
      </c>
      <c r="CU65" s="363" t="s">
        <v>309</v>
      </c>
      <c r="CV65" s="363" t="s">
        <v>310</v>
      </c>
      <c r="CW65" s="366" t="s">
        <v>311</v>
      </c>
      <c r="CX65" s="360" t="s">
        <v>259</v>
      </c>
      <c r="CY65" s="100"/>
      <c r="CZ65" s="360" t="s">
        <v>311</v>
      </c>
      <c r="DA65" s="363" t="s">
        <v>312</v>
      </c>
      <c r="DB65" s="363" t="s">
        <v>313</v>
      </c>
      <c r="DC65" s="364" t="s">
        <v>314</v>
      </c>
      <c r="DD65" s="594"/>
      <c r="DE65" s="356" t="s">
        <v>307</v>
      </c>
      <c r="DF65" s="365" t="s">
        <v>308</v>
      </c>
      <c r="DG65" s="363" t="s">
        <v>309</v>
      </c>
      <c r="DH65" s="363" t="s">
        <v>310</v>
      </c>
      <c r="DI65" s="366" t="s">
        <v>311</v>
      </c>
      <c r="DJ65" s="360" t="s">
        <v>259</v>
      </c>
      <c r="DK65" s="100"/>
      <c r="DL65" s="360" t="s">
        <v>311</v>
      </c>
      <c r="DM65" s="363" t="s">
        <v>312</v>
      </c>
      <c r="DN65" s="363" t="s">
        <v>313</v>
      </c>
      <c r="DO65" s="364" t="s">
        <v>314</v>
      </c>
      <c r="DP65" s="594"/>
      <c r="DQ65" s="356" t="s">
        <v>307</v>
      </c>
      <c r="DR65" s="365" t="s">
        <v>308</v>
      </c>
      <c r="DS65" s="363" t="s">
        <v>309</v>
      </c>
      <c r="DT65" s="363" t="s">
        <v>310</v>
      </c>
      <c r="DU65" s="366" t="s">
        <v>311</v>
      </c>
      <c r="DV65" s="360" t="s">
        <v>259</v>
      </c>
      <c r="DW65" s="100"/>
      <c r="DX65" s="360" t="s">
        <v>311</v>
      </c>
      <c r="DY65" s="363" t="s">
        <v>312</v>
      </c>
      <c r="DZ65" s="363" t="s">
        <v>313</v>
      </c>
      <c r="EA65" s="364" t="s">
        <v>314</v>
      </c>
      <c r="EB65" s="594"/>
      <c r="EC65" s="356" t="s">
        <v>307</v>
      </c>
      <c r="ED65" s="365" t="s">
        <v>308</v>
      </c>
      <c r="EE65" s="363" t="s">
        <v>309</v>
      </c>
      <c r="EF65" s="363" t="s">
        <v>310</v>
      </c>
      <c r="EG65" s="366" t="s">
        <v>311</v>
      </c>
      <c r="EH65" s="360" t="s">
        <v>259</v>
      </c>
      <c r="EI65" s="100"/>
      <c r="EJ65" s="360" t="s">
        <v>311</v>
      </c>
      <c r="EK65" s="363" t="s">
        <v>312</v>
      </c>
      <c r="EL65" s="363" t="s">
        <v>313</v>
      </c>
      <c r="EM65" s="364" t="s">
        <v>314</v>
      </c>
      <c r="EN65" s="594"/>
      <c r="EO65" s="356" t="s">
        <v>307</v>
      </c>
      <c r="EP65" s="365" t="s">
        <v>308</v>
      </c>
      <c r="EQ65" s="363" t="s">
        <v>309</v>
      </c>
      <c r="ER65" s="363" t="s">
        <v>310</v>
      </c>
      <c r="ES65" s="366" t="s">
        <v>311</v>
      </c>
      <c r="ET65" s="360" t="s">
        <v>259</v>
      </c>
      <c r="EU65" s="100"/>
      <c r="EV65" s="360" t="s">
        <v>311</v>
      </c>
      <c r="EW65" s="363" t="s">
        <v>312</v>
      </c>
      <c r="EX65" s="363" t="s">
        <v>313</v>
      </c>
      <c r="EY65" s="364" t="s">
        <v>314</v>
      </c>
      <c r="EZ65" s="594"/>
      <c r="FA65" s="356" t="s">
        <v>307</v>
      </c>
      <c r="FB65" s="365" t="s">
        <v>308</v>
      </c>
      <c r="FC65" s="363" t="s">
        <v>309</v>
      </c>
      <c r="FD65" s="363" t="s">
        <v>310</v>
      </c>
      <c r="FE65" s="366" t="s">
        <v>311</v>
      </c>
      <c r="FF65" s="360" t="s">
        <v>259</v>
      </c>
      <c r="FG65" s="100"/>
      <c r="FH65" s="360" t="s">
        <v>311</v>
      </c>
      <c r="FI65" s="363" t="s">
        <v>312</v>
      </c>
      <c r="FJ65" s="363" t="s">
        <v>313</v>
      </c>
      <c r="FK65" s="364" t="s">
        <v>314</v>
      </c>
      <c r="FL65" s="594"/>
      <c r="FM65" s="356" t="s">
        <v>307</v>
      </c>
      <c r="FN65" s="365" t="s">
        <v>308</v>
      </c>
      <c r="FO65" s="363" t="s">
        <v>309</v>
      </c>
      <c r="FP65" s="363" t="s">
        <v>310</v>
      </c>
      <c r="FQ65" s="366" t="s">
        <v>311</v>
      </c>
      <c r="FR65" s="360" t="s">
        <v>259</v>
      </c>
      <c r="FS65" s="100"/>
      <c r="FT65" s="360" t="s">
        <v>311</v>
      </c>
      <c r="FU65" s="363" t="s">
        <v>312</v>
      </c>
      <c r="FV65" s="363" t="s">
        <v>313</v>
      </c>
      <c r="FW65" s="364" t="s">
        <v>314</v>
      </c>
      <c r="FX65" s="540"/>
    </row>
    <row r="66">
      <c r="A66" s="389">
        <v>2.0</v>
      </c>
      <c r="B66" s="569">
        <v>52.0</v>
      </c>
      <c r="C66" s="570" t="str">
        <f>'Schedule | 1 Division'!K38</f>
        <v>Team Yandex</v>
      </c>
      <c r="D66" s="571">
        <f t="shared" ref="D66:E66" si="107">FF81</f>
        <v>2</v>
      </c>
      <c r="E66" s="571">
        <f t="shared" si="107"/>
        <v>0</v>
      </c>
      <c r="F66" s="570" t="str">
        <f>'Schedule | 1 Division'!O38</f>
        <v>CYBERHERO</v>
      </c>
      <c r="G66" s="573" t="str">
        <f t="shared" si="12"/>
        <v>Team Yandex</v>
      </c>
      <c r="H66" s="575" t="str">
        <f t="shared" si="13"/>
        <v/>
      </c>
      <c r="I66" s="575" t="str">
        <f t="shared" si="14"/>
        <v/>
      </c>
      <c r="J66" s="576" t="str">
        <f t="shared" si="15"/>
        <v>CYBERHERO</v>
      </c>
      <c r="K66" s="540"/>
      <c r="L66" s="540"/>
      <c r="M66" s="29">
        <v>1.0</v>
      </c>
      <c r="N66" s="169" t="s">
        <v>324</v>
      </c>
      <c r="O66" s="368" t="s">
        <v>576</v>
      </c>
      <c r="P66" s="14" t="s">
        <v>337</v>
      </c>
      <c r="Q66" s="171" t="s">
        <v>318</v>
      </c>
      <c r="R66" s="369" t="s">
        <v>320</v>
      </c>
      <c r="S66" s="369" t="s">
        <v>319</v>
      </c>
      <c r="T66" s="169" t="s">
        <v>321</v>
      </c>
      <c r="U66" s="14" t="s">
        <v>317</v>
      </c>
      <c r="V66" s="368" t="s">
        <v>335</v>
      </c>
      <c r="W66" s="171" t="s">
        <v>331</v>
      </c>
      <c r="X66" s="540"/>
      <c r="Y66" s="371">
        <v>1.0</v>
      </c>
      <c r="Z66" s="169" t="s">
        <v>325</v>
      </c>
      <c r="AA66" s="234" t="s">
        <v>336</v>
      </c>
      <c r="AB66" s="14" t="s">
        <v>744</v>
      </c>
      <c r="AC66" s="171" t="s">
        <v>318</v>
      </c>
      <c r="AD66" s="369" t="s">
        <v>319</v>
      </c>
      <c r="AE66" s="370" t="s">
        <v>320</v>
      </c>
      <c r="AF66" s="109" t="s">
        <v>321</v>
      </c>
      <c r="AG66" s="14" t="s">
        <v>395</v>
      </c>
      <c r="AH66" s="234" t="s">
        <v>437</v>
      </c>
      <c r="AI66" s="171" t="s">
        <v>324</v>
      </c>
      <c r="AJ66" s="540"/>
      <c r="AK66" s="371">
        <v>1.0</v>
      </c>
      <c r="AL66" s="169" t="s">
        <v>328</v>
      </c>
      <c r="AM66" s="234" t="s">
        <v>326</v>
      </c>
      <c r="AN66" s="14" t="s">
        <v>315</v>
      </c>
      <c r="AO66" s="171" t="s">
        <v>318</v>
      </c>
      <c r="AP66" s="369" t="s">
        <v>319</v>
      </c>
      <c r="AQ66" s="370" t="s">
        <v>320</v>
      </c>
      <c r="AR66" s="109" t="s">
        <v>321</v>
      </c>
      <c r="AS66" s="14" t="s">
        <v>401</v>
      </c>
      <c r="AT66" s="234" t="s">
        <v>462</v>
      </c>
      <c r="AU66" s="171" t="s">
        <v>324</v>
      </c>
      <c r="AV66" s="540"/>
      <c r="AW66" s="371">
        <v>1.0</v>
      </c>
      <c r="AX66" s="169" t="s">
        <v>328</v>
      </c>
      <c r="AY66" s="234" t="s">
        <v>448</v>
      </c>
      <c r="AZ66" s="14" t="s">
        <v>315</v>
      </c>
      <c r="BA66" s="171" t="s">
        <v>318</v>
      </c>
      <c r="BB66" s="369" t="s">
        <v>319</v>
      </c>
      <c r="BC66" s="370" t="s">
        <v>320</v>
      </c>
      <c r="BD66" s="109" t="s">
        <v>321</v>
      </c>
      <c r="BE66" s="14" t="s">
        <v>361</v>
      </c>
      <c r="BF66" s="234" t="s">
        <v>381</v>
      </c>
      <c r="BG66" s="171" t="s">
        <v>324</v>
      </c>
      <c r="BH66" s="540"/>
      <c r="BI66" s="371">
        <v>1.0</v>
      </c>
      <c r="BJ66" s="169" t="s">
        <v>328</v>
      </c>
      <c r="BK66" s="234" t="s">
        <v>462</v>
      </c>
      <c r="BL66" s="14" t="s">
        <v>384</v>
      </c>
      <c r="BM66" s="171" t="s">
        <v>318</v>
      </c>
      <c r="BN66" s="369" t="s">
        <v>320</v>
      </c>
      <c r="BO66" s="370" t="s">
        <v>319</v>
      </c>
      <c r="BP66" s="109" t="s">
        <v>321</v>
      </c>
      <c r="BQ66" s="14" t="s">
        <v>315</v>
      </c>
      <c r="BR66" s="368" t="s">
        <v>340</v>
      </c>
      <c r="BS66" s="171" t="s">
        <v>342</v>
      </c>
      <c r="BT66" s="540"/>
      <c r="BU66" s="371">
        <v>1.0</v>
      </c>
      <c r="BV66" s="169" t="s">
        <v>328</v>
      </c>
      <c r="BW66" s="368" t="s">
        <v>356</v>
      </c>
      <c r="BX66" s="14" t="s">
        <v>331</v>
      </c>
      <c r="BY66" s="171" t="s">
        <v>318</v>
      </c>
      <c r="BZ66" s="369" t="s">
        <v>319</v>
      </c>
      <c r="CA66" s="370" t="s">
        <v>320</v>
      </c>
      <c r="CB66" s="109" t="s">
        <v>321</v>
      </c>
      <c r="CC66" s="14" t="s">
        <v>745</v>
      </c>
      <c r="CD66" s="232" t="s">
        <v>338</v>
      </c>
      <c r="CE66" s="171" t="s">
        <v>324</v>
      </c>
      <c r="CF66" s="540"/>
      <c r="CG66" s="371">
        <v>1.0</v>
      </c>
      <c r="CH66" s="169" t="s">
        <v>328</v>
      </c>
      <c r="CI66" s="232" t="s">
        <v>338</v>
      </c>
      <c r="CJ66" s="14" t="s">
        <v>324</v>
      </c>
      <c r="CK66" s="171" t="s">
        <v>318</v>
      </c>
      <c r="CL66" s="369" t="s">
        <v>319</v>
      </c>
      <c r="CM66" s="370" t="s">
        <v>320</v>
      </c>
      <c r="CN66" s="109" t="s">
        <v>321</v>
      </c>
      <c r="CO66" s="14" t="s">
        <v>418</v>
      </c>
      <c r="CP66" s="242" t="s">
        <v>556</v>
      </c>
      <c r="CQ66" s="171" t="s">
        <v>331</v>
      </c>
      <c r="CR66" s="540"/>
      <c r="CS66" s="371">
        <v>1.0</v>
      </c>
      <c r="CT66" s="169" t="s">
        <v>315</v>
      </c>
      <c r="CU66" s="234" t="s">
        <v>393</v>
      </c>
      <c r="CV66" s="14" t="s">
        <v>328</v>
      </c>
      <c r="CW66" s="171" t="s">
        <v>318</v>
      </c>
      <c r="CX66" s="369" t="s">
        <v>319</v>
      </c>
      <c r="CY66" s="370" t="s">
        <v>320</v>
      </c>
      <c r="CZ66" s="109" t="s">
        <v>321</v>
      </c>
      <c r="DA66" s="14" t="s">
        <v>361</v>
      </c>
      <c r="DB66" s="242" t="s">
        <v>437</v>
      </c>
      <c r="DC66" s="171" t="s">
        <v>324</v>
      </c>
      <c r="DD66" s="540"/>
      <c r="DE66" s="371">
        <v>1.0</v>
      </c>
      <c r="DF66" s="169" t="s">
        <v>317</v>
      </c>
      <c r="DG66" s="242" t="s">
        <v>422</v>
      </c>
      <c r="DH66" s="14" t="s">
        <v>342</v>
      </c>
      <c r="DI66" s="171" t="s">
        <v>318</v>
      </c>
      <c r="DJ66" s="369" t="s">
        <v>320</v>
      </c>
      <c r="DK66" s="370" t="s">
        <v>319</v>
      </c>
      <c r="DL66" s="14" t="s">
        <v>321</v>
      </c>
      <c r="DM66" s="14" t="s">
        <v>331</v>
      </c>
      <c r="DN66" s="242" t="s">
        <v>727</v>
      </c>
      <c r="DO66" s="171" t="s">
        <v>334</v>
      </c>
      <c r="DP66" s="540"/>
      <c r="DQ66" s="371">
        <v>1.0</v>
      </c>
      <c r="DR66" s="169" t="s">
        <v>317</v>
      </c>
      <c r="DS66" s="234" t="s">
        <v>450</v>
      </c>
      <c r="DT66" s="14" t="s">
        <v>331</v>
      </c>
      <c r="DU66" s="171" t="s">
        <v>318</v>
      </c>
      <c r="DV66" s="369" t="s">
        <v>319</v>
      </c>
      <c r="DW66" s="370" t="s">
        <v>320</v>
      </c>
      <c r="DX66" s="109" t="s">
        <v>321</v>
      </c>
      <c r="DY66" s="14" t="s">
        <v>342</v>
      </c>
      <c r="DZ66" s="234" t="s">
        <v>468</v>
      </c>
      <c r="EA66" s="171" t="s">
        <v>324</v>
      </c>
      <c r="EB66" s="540"/>
      <c r="EC66" s="371">
        <v>1.0</v>
      </c>
      <c r="ED66" s="169" t="s">
        <v>315</v>
      </c>
      <c r="EE66" s="232" t="s">
        <v>336</v>
      </c>
      <c r="EF66" s="14" t="s">
        <v>377</v>
      </c>
      <c r="EG66" s="171" t="s">
        <v>318</v>
      </c>
      <c r="EH66" s="369" t="s">
        <v>319</v>
      </c>
      <c r="EI66" s="370" t="s">
        <v>320</v>
      </c>
      <c r="EJ66" s="109" t="s">
        <v>321</v>
      </c>
      <c r="EK66" s="14" t="s">
        <v>324</v>
      </c>
      <c r="EL66" s="368" t="s">
        <v>397</v>
      </c>
      <c r="EM66" s="171" t="s">
        <v>328</v>
      </c>
      <c r="EN66" s="540"/>
      <c r="EO66" s="371">
        <v>1.0</v>
      </c>
      <c r="EP66" s="169" t="s">
        <v>317</v>
      </c>
      <c r="EQ66" s="232" t="s">
        <v>378</v>
      </c>
      <c r="ER66" s="14" t="s">
        <v>342</v>
      </c>
      <c r="ES66" s="171" t="s">
        <v>318</v>
      </c>
      <c r="ET66" s="369" t="s">
        <v>320</v>
      </c>
      <c r="EU66" s="370" t="s">
        <v>319</v>
      </c>
      <c r="EV66" s="109" t="s">
        <v>321</v>
      </c>
      <c r="EW66" s="14" t="s">
        <v>325</v>
      </c>
      <c r="EX66" s="368" t="s">
        <v>356</v>
      </c>
      <c r="EY66" s="171" t="s">
        <v>328</v>
      </c>
      <c r="EZ66" s="540"/>
      <c r="FA66" s="371">
        <v>1.0</v>
      </c>
      <c r="FB66" s="169" t="s">
        <v>331</v>
      </c>
      <c r="FC66" s="232" t="s">
        <v>353</v>
      </c>
      <c r="FD66" s="14" t="s">
        <v>327</v>
      </c>
      <c r="FE66" s="171" t="s">
        <v>318</v>
      </c>
      <c r="FF66" s="369" t="s">
        <v>319</v>
      </c>
      <c r="FG66" s="370" t="s">
        <v>320</v>
      </c>
      <c r="FH66" s="109"/>
      <c r="FI66" s="14"/>
      <c r="FJ66" s="242"/>
      <c r="FK66" s="171" t="s">
        <v>324</v>
      </c>
      <c r="FL66" s="540"/>
      <c r="FM66" s="371">
        <v>1.0</v>
      </c>
      <c r="FN66" s="169" t="s">
        <v>328</v>
      </c>
      <c r="FO66" s="368" t="s">
        <v>367</v>
      </c>
      <c r="FP66" s="14" t="s">
        <v>342</v>
      </c>
      <c r="FQ66" s="171" t="s">
        <v>318</v>
      </c>
      <c r="FR66" s="369" t="s">
        <v>319</v>
      </c>
      <c r="FS66" s="370" t="s">
        <v>320</v>
      </c>
      <c r="FT66" s="109" t="s">
        <v>321</v>
      </c>
      <c r="FU66" s="14" t="s">
        <v>317</v>
      </c>
      <c r="FV66" s="234" t="s">
        <v>335</v>
      </c>
      <c r="FW66" s="171" t="s">
        <v>331</v>
      </c>
      <c r="FX66" s="540"/>
    </row>
    <row r="67">
      <c r="A67" s="109">
        <v>2.0</v>
      </c>
      <c r="B67" s="429">
        <v>53.0</v>
      </c>
      <c r="C67" s="555" t="str">
        <f>'Schedule | 1 Division'!K41</f>
        <v>CYBERHERO</v>
      </c>
      <c r="D67" s="561">
        <f t="shared" ref="D67:E67" si="108">FR21</f>
        <v>0</v>
      </c>
      <c r="E67" s="561">
        <f t="shared" si="108"/>
        <v>2</v>
      </c>
      <c r="F67" s="555" t="str">
        <f>'Schedule | 1 Division'!O41</f>
        <v>FORZE</v>
      </c>
      <c r="G67" s="562" t="str">
        <f t="shared" si="12"/>
        <v>FORZE</v>
      </c>
      <c r="H67" s="563" t="str">
        <f t="shared" si="13"/>
        <v/>
      </c>
      <c r="I67" s="563" t="str">
        <f t="shared" si="14"/>
        <v/>
      </c>
      <c r="J67" s="579" t="str">
        <f t="shared" si="15"/>
        <v>CYBERHERO</v>
      </c>
      <c r="K67" s="540"/>
      <c r="L67" s="540"/>
      <c r="M67" s="55"/>
      <c r="N67" s="29" t="s">
        <v>315</v>
      </c>
      <c r="O67" s="372" t="s">
        <v>458</v>
      </c>
      <c r="P67" s="109" t="s">
        <v>373</v>
      </c>
      <c r="Q67" s="92"/>
      <c r="T67" s="55"/>
      <c r="U67" s="109" t="s">
        <v>375</v>
      </c>
      <c r="V67" s="372" t="s">
        <v>393</v>
      </c>
      <c r="W67" s="373" t="s">
        <v>327</v>
      </c>
      <c r="X67" s="540"/>
      <c r="Y67" s="66"/>
      <c r="Z67" s="29" t="s">
        <v>19</v>
      </c>
      <c r="AA67" s="242" t="s">
        <v>383</v>
      </c>
      <c r="AB67" s="109" t="s">
        <v>369</v>
      </c>
      <c r="AC67" s="92"/>
      <c r="AE67" s="92"/>
      <c r="AG67" s="109" t="s">
        <v>400</v>
      </c>
      <c r="AH67" s="242" t="s">
        <v>442</v>
      </c>
      <c r="AI67" s="373" t="s">
        <v>342</v>
      </c>
      <c r="AJ67" s="540"/>
      <c r="AK67" s="66"/>
      <c r="AL67" s="29" t="s">
        <v>331</v>
      </c>
      <c r="AM67" s="242" t="s">
        <v>330</v>
      </c>
      <c r="AN67" s="109" t="s">
        <v>334</v>
      </c>
      <c r="AO67" s="92"/>
      <c r="AQ67" s="92"/>
      <c r="AS67" s="109" t="s">
        <v>337</v>
      </c>
      <c r="AT67" s="242" t="s">
        <v>468</v>
      </c>
      <c r="AU67" s="373" t="s">
        <v>342</v>
      </c>
      <c r="AV67" s="540"/>
      <c r="AW67" s="66"/>
      <c r="AX67" s="29" t="s">
        <v>337</v>
      </c>
      <c r="AY67" s="242" t="s">
        <v>450</v>
      </c>
      <c r="AZ67" s="109" t="s">
        <v>325</v>
      </c>
      <c r="BA67" s="92"/>
      <c r="BC67" s="92"/>
      <c r="BE67" s="109" t="s">
        <v>412</v>
      </c>
      <c r="BF67" s="242" t="s">
        <v>335</v>
      </c>
      <c r="BG67" s="373" t="s">
        <v>342</v>
      </c>
      <c r="BH67" s="540"/>
      <c r="BI67" s="66"/>
      <c r="BJ67" s="29" t="s">
        <v>327</v>
      </c>
      <c r="BK67" s="242" t="s">
        <v>468</v>
      </c>
      <c r="BL67" s="109" t="s">
        <v>405</v>
      </c>
      <c r="BM67" s="92"/>
      <c r="BO67" s="92"/>
      <c r="BQ67" s="109" t="s">
        <v>317</v>
      </c>
      <c r="BR67" s="372" t="s">
        <v>356</v>
      </c>
      <c r="BS67" s="373" t="s">
        <v>337</v>
      </c>
      <c r="BT67" s="540"/>
      <c r="BU67" s="66"/>
      <c r="BV67" s="29" t="s">
        <v>315</v>
      </c>
      <c r="BW67" s="372" t="s">
        <v>340</v>
      </c>
      <c r="BX67" s="109" t="s">
        <v>373</v>
      </c>
      <c r="BY67" s="92"/>
      <c r="CA67" s="92"/>
      <c r="CC67" s="109" t="s">
        <v>348</v>
      </c>
      <c r="CD67" s="240" t="s">
        <v>326</v>
      </c>
      <c r="CE67" s="373" t="s">
        <v>327</v>
      </c>
      <c r="CF67" s="540"/>
      <c r="CG67" s="66"/>
      <c r="CH67" s="29" t="s">
        <v>317</v>
      </c>
      <c r="CI67" s="240" t="s">
        <v>378</v>
      </c>
      <c r="CJ67" s="109" t="s">
        <v>379</v>
      </c>
      <c r="CK67" s="92"/>
      <c r="CM67" s="92"/>
      <c r="CO67" s="109" t="s">
        <v>400</v>
      </c>
      <c r="CP67" s="242" t="s">
        <v>727</v>
      </c>
      <c r="CQ67" s="373" t="s">
        <v>327</v>
      </c>
      <c r="CR67" s="540"/>
      <c r="CS67" s="66"/>
      <c r="CT67" s="29" t="s">
        <v>317</v>
      </c>
      <c r="CU67" s="242" t="s">
        <v>335</v>
      </c>
      <c r="CV67" s="109" t="s">
        <v>331</v>
      </c>
      <c r="CW67" s="92"/>
      <c r="CY67" s="92"/>
      <c r="DA67" s="109" t="s">
        <v>401</v>
      </c>
      <c r="DB67" s="242" t="s">
        <v>725</v>
      </c>
      <c r="DC67" s="373" t="s">
        <v>327</v>
      </c>
      <c r="DD67" s="540"/>
      <c r="DE67" s="66"/>
      <c r="DF67" s="29" t="s">
        <v>315</v>
      </c>
      <c r="DG67" s="242" t="s">
        <v>442</v>
      </c>
      <c r="DH67" s="109" t="s">
        <v>343</v>
      </c>
      <c r="DI67" s="92"/>
      <c r="DK67" s="92"/>
      <c r="DM67" s="109" t="s">
        <v>324</v>
      </c>
      <c r="DN67" s="242" t="s">
        <v>556</v>
      </c>
      <c r="DO67" s="373" t="s">
        <v>327</v>
      </c>
      <c r="DP67" s="540"/>
      <c r="DQ67" s="66"/>
      <c r="DR67" s="29" t="s">
        <v>327</v>
      </c>
      <c r="DS67" s="242" t="s">
        <v>452</v>
      </c>
      <c r="DT67" s="109" t="s">
        <v>377</v>
      </c>
      <c r="DU67" s="92"/>
      <c r="DW67" s="92"/>
      <c r="DY67" s="109" t="s">
        <v>348</v>
      </c>
      <c r="DZ67" s="242" t="s">
        <v>458</v>
      </c>
      <c r="EA67" s="373" t="s">
        <v>328</v>
      </c>
      <c r="EB67" s="540"/>
      <c r="EC67" s="66"/>
      <c r="ED67" s="29" t="s">
        <v>331</v>
      </c>
      <c r="EE67" s="240" t="s">
        <v>366</v>
      </c>
      <c r="EF67" s="109" t="s">
        <v>325</v>
      </c>
      <c r="EG67" s="92"/>
      <c r="EI67" s="92"/>
      <c r="EK67" s="109" t="s">
        <v>400</v>
      </c>
      <c r="EL67" s="372" t="s">
        <v>356</v>
      </c>
      <c r="EM67" s="373" t="s">
        <v>317</v>
      </c>
      <c r="EN67" s="540"/>
      <c r="EO67" s="66"/>
      <c r="EP67" s="29" t="s">
        <v>331</v>
      </c>
      <c r="EQ67" s="240" t="s">
        <v>330</v>
      </c>
      <c r="ER67" s="109" t="s">
        <v>343</v>
      </c>
      <c r="ES67" s="92"/>
      <c r="EU67" s="92"/>
      <c r="EW67" s="109" t="s">
        <v>327</v>
      </c>
      <c r="EX67" s="372" t="s">
        <v>340</v>
      </c>
      <c r="EY67" s="373" t="s">
        <v>337</v>
      </c>
      <c r="EZ67" s="540"/>
      <c r="FA67" s="66"/>
      <c r="FB67" s="29" t="s">
        <v>315</v>
      </c>
      <c r="FC67" s="240" t="s">
        <v>383</v>
      </c>
      <c r="FD67" s="109" t="s">
        <v>322</v>
      </c>
      <c r="FE67" s="92"/>
      <c r="FG67" s="92"/>
      <c r="FI67" s="109"/>
      <c r="FJ67" s="242"/>
      <c r="FK67" s="373" t="s">
        <v>341</v>
      </c>
      <c r="FL67" s="540"/>
      <c r="FM67" s="66"/>
      <c r="FN67" s="29" t="s">
        <v>315</v>
      </c>
      <c r="FO67" s="372" t="s">
        <v>397</v>
      </c>
      <c r="FP67" s="109" t="s">
        <v>322</v>
      </c>
      <c r="FQ67" s="92"/>
      <c r="FS67" s="92"/>
      <c r="FU67" s="109" t="s">
        <v>324</v>
      </c>
      <c r="FV67" s="242" t="s">
        <v>393</v>
      </c>
      <c r="FW67" s="373" t="s">
        <v>327</v>
      </c>
      <c r="FX67" s="540"/>
    </row>
    <row r="68">
      <c r="A68" s="109">
        <v>2.0</v>
      </c>
      <c r="B68" s="429">
        <v>54.0</v>
      </c>
      <c r="C68" s="555" t="str">
        <f>'Schedule | 1 Division'!K42</f>
        <v>Verso Time</v>
      </c>
      <c r="D68" s="561">
        <f t="shared" ref="D68:E68" si="109">FR41</f>
        <v>0</v>
      </c>
      <c r="E68" s="561">
        <f t="shared" si="109"/>
        <v>2</v>
      </c>
      <c r="F68" s="555" t="str">
        <f>'Schedule | 1 Division'!O42</f>
        <v>Team Yandex</v>
      </c>
      <c r="G68" s="562" t="str">
        <f t="shared" si="12"/>
        <v>Team Yandex</v>
      </c>
      <c r="H68" s="563" t="str">
        <f t="shared" si="13"/>
        <v/>
      </c>
      <c r="I68" s="563" t="str">
        <f t="shared" si="14"/>
        <v/>
      </c>
      <c r="J68" s="579" t="str">
        <f t="shared" si="15"/>
        <v>Verso Time</v>
      </c>
      <c r="K68" s="540"/>
      <c r="L68" s="540"/>
      <c r="M68" s="55"/>
      <c r="N68" s="29" t="s">
        <v>352</v>
      </c>
      <c r="O68" s="372" t="s">
        <v>464</v>
      </c>
      <c r="P68" s="109" t="s">
        <v>418</v>
      </c>
      <c r="Q68" s="92"/>
      <c r="T68" s="55"/>
      <c r="U68" s="109" t="s">
        <v>385</v>
      </c>
      <c r="V68" s="372" t="s">
        <v>351</v>
      </c>
      <c r="W68" s="373" t="s">
        <v>342</v>
      </c>
      <c r="X68" s="540"/>
      <c r="Y68" s="66"/>
      <c r="Z68" s="29" t="s">
        <v>315</v>
      </c>
      <c r="AA68" s="242" t="s">
        <v>366</v>
      </c>
      <c r="AB68" s="109" t="s">
        <v>331</v>
      </c>
      <c r="AC68" s="92"/>
      <c r="AE68" s="92"/>
      <c r="AG68" s="109" t="s">
        <v>352</v>
      </c>
      <c r="AH68" s="242" t="s">
        <v>422</v>
      </c>
      <c r="AI68" s="373" t="s">
        <v>327</v>
      </c>
      <c r="AJ68" s="540"/>
      <c r="AK68" s="66"/>
      <c r="AL68" s="29" t="s">
        <v>317</v>
      </c>
      <c r="AM68" s="242" t="s">
        <v>338</v>
      </c>
      <c r="AN68" s="109" t="s">
        <v>332</v>
      </c>
      <c r="AO68" s="92"/>
      <c r="AQ68" s="92"/>
      <c r="AS68" s="109" t="s">
        <v>408</v>
      </c>
      <c r="AT68" s="242" t="s">
        <v>458</v>
      </c>
      <c r="AU68" s="373" t="s">
        <v>369</v>
      </c>
      <c r="AV68" s="540"/>
      <c r="AW68" s="66"/>
      <c r="AX68" s="29" t="s">
        <v>328</v>
      </c>
      <c r="AY68" s="242" t="s">
        <v>449</v>
      </c>
      <c r="AZ68" s="109" t="s">
        <v>369</v>
      </c>
      <c r="BA68" s="92"/>
      <c r="BC68" s="92"/>
      <c r="BE68" s="109" t="s">
        <v>387</v>
      </c>
      <c r="BF68" s="242" t="s">
        <v>351</v>
      </c>
      <c r="BG68" s="373" t="s">
        <v>331</v>
      </c>
      <c r="BH68" s="540"/>
      <c r="BI68" s="66"/>
      <c r="BJ68" s="29" t="s">
        <v>331</v>
      </c>
      <c r="BK68" s="242" t="s">
        <v>458</v>
      </c>
      <c r="BL68" s="109" t="s">
        <v>408</v>
      </c>
      <c r="BM68" s="92"/>
      <c r="BO68" s="92"/>
      <c r="BQ68" s="109" t="s">
        <v>387</v>
      </c>
      <c r="BR68" s="372" t="s">
        <v>367</v>
      </c>
      <c r="BS68" s="373" t="s">
        <v>324</v>
      </c>
      <c r="BT68" s="540"/>
      <c r="BU68" s="66"/>
      <c r="BV68" s="29" t="s">
        <v>337</v>
      </c>
      <c r="BW68" s="372" t="s">
        <v>367</v>
      </c>
      <c r="BX68" s="109" t="s">
        <v>352</v>
      </c>
      <c r="BY68" s="92"/>
      <c r="CA68" s="92"/>
      <c r="CC68" s="109" t="s">
        <v>334</v>
      </c>
      <c r="CD68" s="240" t="s">
        <v>330</v>
      </c>
      <c r="CE68" s="373" t="s">
        <v>342</v>
      </c>
      <c r="CF68" s="540"/>
      <c r="CG68" s="66"/>
      <c r="CH68" s="29" t="s">
        <v>337</v>
      </c>
      <c r="CI68" s="240" t="s">
        <v>326</v>
      </c>
      <c r="CJ68" s="109" t="s">
        <v>315</v>
      </c>
      <c r="CK68" s="92"/>
      <c r="CM68" s="92"/>
      <c r="CO68" s="109" t="s">
        <v>377</v>
      </c>
      <c r="CP68" s="242" t="s">
        <v>729</v>
      </c>
      <c r="CQ68" s="373" t="s">
        <v>342</v>
      </c>
      <c r="CR68" s="540"/>
      <c r="CS68" s="66"/>
      <c r="CT68" s="29" t="s">
        <v>337</v>
      </c>
      <c r="CU68" s="242" t="s">
        <v>351</v>
      </c>
      <c r="CV68" s="109" t="s">
        <v>387</v>
      </c>
      <c r="CW68" s="92"/>
      <c r="CY68" s="92"/>
      <c r="DA68" s="109" t="s">
        <v>404</v>
      </c>
      <c r="DB68" s="242" t="s">
        <v>422</v>
      </c>
      <c r="DC68" s="373" t="s">
        <v>342</v>
      </c>
      <c r="DD68" s="540"/>
      <c r="DE68" s="66"/>
      <c r="DF68" s="29" t="s">
        <v>19</v>
      </c>
      <c r="DG68" s="242" t="s">
        <v>426</v>
      </c>
      <c r="DH68" s="109" t="s">
        <v>368</v>
      </c>
      <c r="DI68" s="92"/>
      <c r="DK68" s="92"/>
      <c r="DM68" s="109" t="s">
        <v>337</v>
      </c>
      <c r="DN68" s="242" t="s">
        <v>350</v>
      </c>
      <c r="DO68" s="373" t="s">
        <v>328</v>
      </c>
      <c r="DP68" s="540"/>
      <c r="DQ68" s="66"/>
      <c r="DR68" s="29" t="s">
        <v>325</v>
      </c>
      <c r="DS68" s="242" t="s">
        <v>448</v>
      </c>
      <c r="DT68" s="109" t="s">
        <v>373</v>
      </c>
      <c r="DU68" s="92"/>
      <c r="DW68" s="92"/>
      <c r="DY68" s="109" t="s">
        <v>334</v>
      </c>
      <c r="DZ68" s="242" t="s">
        <v>460</v>
      </c>
      <c r="EA68" s="373" t="s">
        <v>337</v>
      </c>
      <c r="EB68" s="540"/>
      <c r="EC68" s="66"/>
      <c r="ED68" s="29" t="s">
        <v>327</v>
      </c>
      <c r="EE68" s="240" t="s">
        <v>353</v>
      </c>
      <c r="EF68" s="109" t="s">
        <v>341</v>
      </c>
      <c r="EG68" s="92"/>
      <c r="EI68" s="92"/>
      <c r="EK68" s="109" t="s">
        <v>346</v>
      </c>
      <c r="EL68" s="372" t="s">
        <v>367</v>
      </c>
      <c r="EM68" s="373" t="s">
        <v>337</v>
      </c>
      <c r="EN68" s="540"/>
      <c r="EO68" s="66"/>
      <c r="EP68" s="29" t="s">
        <v>324</v>
      </c>
      <c r="EQ68" s="240" t="s">
        <v>338</v>
      </c>
      <c r="ER68" s="109" t="s">
        <v>369</v>
      </c>
      <c r="ES68" s="92"/>
      <c r="EU68" s="92"/>
      <c r="EW68" s="109" t="s">
        <v>382</v>
      </c>
      <c r="EX68" s="372" t="s">
        <v>397</v>
      </c>
      <c r="EY68" s="373" t="s">
        <v>315</v>
      </c>
      <c r="EZ68" s="540"/>
      <c r="FA68" s="66"/>
      <c r="FB68" s="29" t="s">
        <v>325</v>
      </c>
      <c r="FC68" s="240" t="s">
        <v>366</v>
      </c>
      <c r="FD68" s="109" t="s">
        <v>317</v>
      </c>
      <c r="FE68" s="92"/>
      <c r="FG68" s="92"/>
      <c r="FI68" s="109"/>
      <c r="FJ68" s="242"/>
      <c r="FK68" s="373"/>
      <c r="FL68" s="540"/>
      <c r="FM68" s="66"/>
      <c r="FN68" s="29" t="s">
        <v>337</v>
      </c>
      <c r="FO68" s="372" t="s">
        <v>340</v>
      </c>
      <c r="FP68" s="109" t="s">
        <v>19</v>
      </c>
      <c r="FQ68" s="92"/>
      <c r="FS68" s="92"/>
      <c r="FU68" s="109" t="s">
        <v>352</v>
      </c>
      <c r="FV68" s="242" t="s">
        <v>351</v>
      </c>
      <c r="FW68" s="373" t="s">
        <v>341</v>
      </c>
      <c r="FX68" s="540"/>
    </row>
    <row r="69">
      <c r="A69" s="109">
        <v>2.0</v>
      </c>
      <c r="B69" s="429">
        <v>55.0</v>
      </c>
      <c r="C69" s="555" t="str">
        <f>'Schedule | 1 Division'!K43</f>
        <v>Magic</v>
      </c>
      <c r="D69" s="561">
        <f t="shared" ref="D69:E69" si="110">FR61</f>
        <v>1</v>
      </c>
      <c r="E69" s="561">
        <f t="shared" si="110"/>
        <v>2</v>
      </c>
      <c r="F69" s="555" t="str">
        <f>'Schedule | 1 Division'!O43</f>
        <v>Aura Farmers</v>
      </c>
      <c r="G69" s="562" t="str">
        <f t="shared" si="12"/>
        <v/>
      </c>
      <c r="H69" s="563" t="str">
        <f t="shared" si="13"/>
        <v>Aura Farmers</v>
      </c>
      <c r="I69" s="563" t="str">
        <f t="shared" si="14"/>
        <v>Magic</v>
      </c>
      <c r="J69" s="579" t="str">
        <f t="shared" si="15"/>
        <v/>
      </c>
      <c r="K69" s="540"/>
      <c r="L69" s="540"/>
      <c r="M69" s="55"/>
      <c r="N69" s="29" t="s">
        <v>387</v>
      </c>
      <c r="O69" s="372" t="s">
        <v>468</v>
      </c>
      <c r="P69" s="109" t="s">
        <v>400</v>
      </c>
      <c r="Q69" s="92"/>
      <c r="T69" s="55"/>
      <c r="U69" s="109" t="s">
        <v>368</v>
      </c>
      <c r="V69" s="372" t="s">
        <v>365</v>
      </c>
      <c r="W69" s="373" t="s">
        <v>325</v>
      </c>
      <c r="X69" s="540"/>
      <c r="Y69" s="66"/>
      <c r="Z69" s="29" t="s">
        <v>348</v>
      </c>
      <c r="AA69" s="242" t="s">
        <v>339</v>
      </c>
      <c r="AB69" s="109" t="s">
        <v>405</v>
      </c>
      <c r="AC69" s="92"/>
      <c r="AE69" s="92"/>
      <c r="AG69" s="109" t="s">
        <v>384</v>
      </c>
      <c r="AH69" s="242" t="s">
        <v>725</v>
      </c>
      <c r="AI69" s="373" t="s">
        <v>401</v>
      </c>
      <c r="AJ69" s="540"/>
      <c r="AK69" s="66"/>
      <c r="AL69" s="29" t="s">
        <v>348</v>
      </c>
      <c r="AM69" s="242" t="s">
        <v>349</v>
      </c>
      <c r="AN69" s="109" t="s">
        <v>377</v>
      </c>
      <c r="AO69" s="92"/>
      <c r="AQ69" s="92"/>
      <c r="AS69" s="109" t="s">
        <v>432</v>
      </c>
      <c r="AT69" s="242" t="s">
        <v>576</v>
      </c>
      <c r="AU69" s="373" t="s">
        <v>414</v>
      </c>
      <c r="AV69" s="540"/>
      <c r="AW69" s="66"/>
      <c r="AX69" s="29" t="s">
        <v>373</v>
      </c>
      <c r="AY69" s="242" t="s">
        <v>452</v>
      </c>
      <c r="AZ69" s="109" t="s">
        <v>401</v>
      </c>
      <c r="BA69" s="92"/>
      <c r="BC69" s="92"/>
      <c r="BE69" s="109" t="s">
        <v>348</v>
      </c>
      <c r="BF69" s="242" t="s">
        <v>365</v>
      </c>
      <c r="BG69" s="373" t="s">
        <v>352</v>
      </c>
      <c r="BH69" s="540"/>
      <c r="BI69" s="66"/>
      <c r="BJ69" s="29" t="s">
        <v>418</v>
      </c>
      <c r="BK69" s="242" t="s">
        <v>576</v>
      </c>
      <c r="BL69" s="109" t="s">
        <v>325</v>
      </c>
      <c r="BM69" s="92"/>
      <c r="BO69" s="92"/>
      <c r="BQ69" s="109" t="s">
        <v>382</v>
      </c>
      <c r="BR69" s="372" t="s">
        <v>397</v>
      </c>
      <c r="BS69" s="373" t="s">
        <v>352</v>
      </c>
      <c r="BT69" s="540"/>
      <c r="BU69" s="66"/>
      <c r="BV69" s="29" t="s">
        <v>385</v>
      </c>
      <c r="BW69" s="372" t="s">
        <v>386</v>
      </c>
      <c r="BX69" s="109" t="s">
        <v>483</v>
      </c>
      <c r="BY69" s="92"/>
      <c r="CA69" s="92"/>
      <c r="CC69" s="109" t="s">
        <v>346</v>
      </c>
      <c r="CD69" s="240" t="s">
        <v>378</v>
      </c>
      <c r="CE69" s="373" t="s">
        <v>401</v>
      </c>
      <c r="CF69" s="540"/>
      <c r="CG69" s="66"/>
      <c r="CH69" s="29" t="s">
        <v>19</v>
      </c>
      <c r="CI69" s="240" t="s">
        <v>330</v>
      </c>
      <c r="CJ69" s="109" t="s">
        <v>325</v>
      </c>
      <c r="CK69" s="92"/>
      <c r="CM69" s="92"/>
      <c r="CO69" s="109" t="s">
        <v>439</v>
      </c>
      <c r="CP69" s="242" t="s">
        <v>350</v>
      </c>
      <c r="CQ69" s="373" t="s">
        <v>375</v>
      </c>
      <c r="CR69" s="540"/>
      <c r="CS69" s="66"/>
      <c r="CT69" s="29" t="s">
        <v>343</v>
      </c>
      <c r="CU69" s="242" t="s">
        <v>381</v>
      </c>
      <c r="CV69" s="109" t="s">
        <v>395</v>
      </c>
      <c r="CW69" s="92"/>
      <c r="CY69" s="92"/>
      <c r="DA69" s="109" t="s">
        <v>400</v>
      </c>
      <c r="DB69" s="242" t="s">
        <v>442</v>
      </c>
      <c r="DC69" s="373" t="s">
        <v>374</v>
      </c>
      <c r="DD69" s="540"/>
      <c r="DE69" s="66"/>
      <c r="DF69" s="29" t="s">
        <v>374</v>
      </c>
      <c r="DG69" s="242" t="s">
        <v>437</v>
      </c>
      <c r="DH69" s="109" t="s">
        <v>361</v>
      </c>
      <c r="DI69" s="92"/>
      <c r="DK69" s="92"/>
      <c r="DM69" s="109" t="s">
        <v>373</v>
      </c>
      <c r="DN69" s="242" t="s">
        <v>355</v>
      </c>
      <c r="DO69" s="373" t="s">
        <v>369</v>
      </c>
      <c r="DP69" s="540"/>
      <c r="DQ69" s="66"/>
      <c r="DR69" s="29" t="s">
        <v>19</v>
      </c>
      <c r="DS69" s="242" t="s">
        <v>454</v>
      </c>
      <c r="DT69" s="109" t="s">
        <v>387</v>
      </c>
      <c r="DU69" s="92"/>
      <c r="DW69" s="92"/>
      <c r="DY69" s="109" t="s">
        <v>384</v>
      </c>
      <c r="DZ69" s="242" t="s">
        <v>462</v>
      </c>
      <c r="EA69" s="373" t="s">
        <v>369</v>
      </c>
      <c r="EB69" s="540"/>
      <c r="EC69" s="66"/>
      <c r="ED69" s="29" t="s">
        <v>362</v>
      </c>
      <c r="EE69" s="240" t="s">
        <v>383</v>
      </c>
      <c r="EF69" s="109" t="s">
        <v>332</v>
      </c>
      <c r="EG69" s="92"/>
      <c r="EI69" s="92"/>
      <c r="EK69" s="109" t="s">
        <v>380</v>
      </c>
      <c r="EL69" s="372" t="s">
        <v>386</v>
      </c>
      <c r="EM69" s="373" t="s">
        <v>322</v>
      </c>
      <c r="EN69" s="540"/>
      <c r="EO69" s="66"/>
      <c r="EP69" s="29" t="s">
        <v>387</v>
      </c>
      <c r="EQ69" s="240" t="s">
        <v>349</v>
      </c>
      <c r="ER69" s="109" t="s">
        <v>401</v>
      </c>
      <c r="ES69" s="92"/>
      <c r="EU69" s="92"/>
      <c r="EW69" s="109" t="s">
        <v>377</v>
      </c>
      <c r="EX69" s="372" t="s">
        <v>386</v>
      </c>
      <c r="EY69" s="373" t="s">
        <v>384</v>
      </c>
      <c r="EZ69" s="540"/>
      <c r="FA69" s="66"/>
      <c r="FB69" s="29" t="s">
        <v>19</v>
      </c>
      <c r="FC69" s="240" t="s">
        <v>394</v>
      </c>
      <c r="FD69" s="109" t="s">
        <v>406</v>
      </c>
      <c r="FE69" s="92"/>
      <c r="FG69" s="92"/>
      <c r="FI69" s="109"/>
      <c r="FJ69" s="242"/>
      <c r="FK69" s="373"/>
      <c r="FL69" s="540"/>
      <c r="FM69" s="66"/>
      <c r="FN69" s="29" t="s">
        <v>348</v>
      </c>
      <c r="FO69" s="372" t="s">
        <v>356</v>
      </c>
      <c r="FP69" s="109" t="s">
        <v>400</v>
      </c>
      <c r="FQ69" s="92"/>
      <c r="FS69" s="92"/>
      <c r="FU69" s="109" t="s">
        <v>374</v>
      </c>
      <c r="FV69" s="242" t="s">
        <v>365</v>
      </c>
      <c r="FW69" s="373" t="s">
        <v>325</v>
      </c>
      <c r="FX69" s="540"/>
    </row>
    <row r="70">
      <c r="A70" s="132">
        <v>2.0</v>
      </c>
      <c r="B70" s="430">
        <v>56.0</v>
      </c>
      <c r="C70" s="609" t="str">
        <f>'Schedule | 1 Division'!K44</f>
        <v>Team Spirit</v>
      </c>
      <c r="D70" s="610">
        <f t="shared" ref="D70:E70" si="111">FR81</f>
        <v>2</v>
      </c>
      <c r="E70" s="610">
        <f t="shared" si="111"/>
        <v>1</v>
      </c>
      <c r="F70" s="611" t="str">
        <f>'Schedule | 1 Division'!O44</f>
        <v>Virtus.pro</v>
      </c>
      <c r="G70" s="612" t="str">
        <f t="shared" si="12"/>
        <v/>
      </c>
      <c r="H70" s="613" t="str">
        <f t="shared" si="13"/>
        <v>Team Spirit</v>
      </c>
      <c r="I70" s="613" t="str">
        <f t="shared" si="14"/>
        <v>Virtus.pro</v>
      </c>
      <c r="J70" s="614" t="str">
        <f t="shared" si="15"/>
        <v/>
      </c>
      <c r="K70" s="540"/>
      <c r="L70" s="540"/>
      <c r="M70" s="55"/>
      <c r="N70" s="29" t="s">
        <v>405</v>
      </c>
      <c r="O70" s="372" t="s">
        <v>462</v>
      </c>
      <c r="P70" s="109" t="s">
        <v>401</v>
      </c>
      <c r="Q70" s="92"/>
      <c r="R70" s="374"/>
      <c r="S70" s="374"/>
      <c r="T70" s="55"/>
      <c r="U70" s="109" t="s">
        <v>322</v>
      </c>
      <c r="V70" s="372" t="s">
        <v>381</v>
      </c>
      <c r="W70" s="373" t="s">
        <v>343</v>
      </c>
      <c r="X70" s="540"/>
      <c r="Y70" s="66"/>
      <c r="Z70" s="29" t="s">
        <v>408</v>
      </c>
      <c r="AA70" s="242" t="s">
        <v>353</v>
      </c>
      <c r="AB70" s="109" t="s">
        <v>374</v>
      </c>
      <c r="AC70" s="92"/>
      <c r="AD70" s="374"/>
      <c r="AE70" s="375"/>
      <c r="AF70" s="374"/>
      <c r="AG70" s="109" t="s">
        <v>362</v>
      </c>
      <c r="AH70" s="242" t="s">
        <v>459</v>
      </c>
      <c r="AI70" s="373" t="s">
        <v>328</v>
      </c>
      <c r="AJ70" s="540"/>
      <c r="AK70" s="66"/>
      <c r="AL70" s="29" t="s">
        <v>400</v>
      </c>
      <c r="AM70" s="242" t="s">
        <v>378</v>
      </c>
      <c r="AN70" s="109" t="s">
        <v>352</v>
      </c>
      <c r="AO70" s="92"/>
      <c r="AP70" s="374"/>
      <c r="AQ70" s="375"/>
      <c r="AR70" s="374"/>
      <c r="AS70" s="109" t="s">
        <v>361</v>
      </c>
      <c r="AT70" s="242" t="s">
        <v>464</v>
      </c>
      <c r="AU70" s="373" t="s">
        <v>389</v>
      </c>
      <c r="AV70" s="540"/>
      <c r="AW70" s="66"/>
      <c r="AX70" s="29" t="s">
        <v>374</v>
      </c>
      <c r="AY70" s="242" t="s">
        <v>454</v>
      </c>
      <c r="AZ70" s="109" t="s">
        <v>405</v>
      </c>
      <c r="BA70" s="92"/>
      <c r="BB70" s="374"/>
      <c r="BC70" s="375"/>
      <c r="BD70" s="374"/>
      <c r="BE70" s="109" t="s">
        <v>380</v>
      </c>
      <c r="BF70" s="242" t="s">
        <v>393</v>
      </c>
      <c r="BG70" s="373" t="s">
        <v>346</v>
      </c>
      <c r="BH70" s="540"/>
      <c r="BI70" s="66"/>
      <c r="BJ70" s="29" t="s">
        <v>332</v>
      </c>
      <c r="BK70" s="242" t="s">
        <v>464</v>
      </c>
      <c r="BL70" s="109" t="s">
        <v>369</v>
      </c>
      <c r="BM70" s="92"/>
      <c r="BN70" s="374"/>
      <c r="BO70" s="375"/>
      <c r="BP70" s="374"/>
      <c r="BQ70" s="109" t="s">
        <v>377</v>
      </c>
      <c r="BR70" s="372" t="s">
        <v>386</v>
      </c>
      <c r="BS70" s="373" t="s">
        <v>439</v>
      </c>
      <c r="BT70" s="540"/>
      <c r="BU70" s="66"/>
      <c r="BV70" s="29" t="s">
        <v>399</v>
      </c>
      <c r="BW70" s="372" t="s">
        <v>397</v>
      </c>
      <c r="BX70" s="109" t="s">
        <v>376</v>
      </c>
      <c r="BY70" s="92"/>
      <c r="BZ70" s="374"/>
      <c r="CA70" s="375"/>
      <c r="CB70" s="374"/>
      <c r="CC70" s="109" t="s">
        <v>377</v>
      </c>
      <c r="CD70" s="240" t="s">
        <v>349</v>
      </c>
      <c r="CE70" s="373" t="s">
        <v>380</v>
      </c>
      <c r="CF70" s="540"/>
      <c r="CG70" s="66"/>
      <c r="CH70" s="29" t="s">
        <v>352</v>
      </c>
      <c r="CI70" s="240" t="s">
        <v>349</v>
      </c>
      <c r="CJ70" s="109" t="s">
        <v>432</v>
      </c>
      <c r="CK70" s="92"/>
      <c r="CL70" s="374"/>
      <c r="CM70" s="375"/>
      <c r="CN70" s="374"/>
      <c r="CO70" s="109" t="s">
        <v>408</v>
      </c>
      <c r="CP70" s="391" t="s">
        <v>355</v>
      </c>
      <c r="CQ70" s="373" t="s">
        <v>483</v>
      </c>
      <c r="CR70" s="540"/>
      <c r="CS70" s="66"/>
      <c r="CT70" s="29" t="s">
        <v>334</v>
      </c>
      <c r="CU70" s="242" t="s">
        <v>365</v>
      </c>
      <c r="CV70" s="109" t="s">
        <v>373</v>
      </c>
      <c r="CW70" s="92"/>
      <c r="CX70" s="374"/>
      <c r="CY70" s="375"/>
      <c r="CZ70" s="374"/>
      <c r="DA70" s="109" t="s">
        <v>348</v>
      </c>
      <c r="DB70" s="391" t="s">
        <v>426</v>
      </c>
      <c r="DC70" s="373" t="s">
        <v>368</v>
      </c>
      <c r="DD70" s="540"/>
      <c r="DE70" s="66"/>
      <c r="DF70" s="29" t="s">
        <v>341</v>
      </c>
      <c r="DG70" s="391" t="s">
        <v>725</v>
      </c>
      <c r="DH70" s="109" t="s">
        <v>377</v>
      </c>
      <c r="DI70" s="92"/>
      <c r="DJ70" s="374"/>
      <c r="DK70" s="375"/>
      <c r="DL70" s="374"/>
      <c r="DM70" s="109" t="s">
        <v>741</v>
      </c>
      <c r="DN70" s="391" t="s">
        <v>729</v>
      </c>
      <c r="DO70" s="373" t="s">
        <v>376</v>
      </c>
      <c r="DP70" s="540"/>
      <c r="DQ70" s="66"/>
      <c r="DR70" s="29" t="s">
        <v>332</v>
      </c>
      <c r="DS70" s="242" t="s">
        <v>449</v>
      </c>
      <c r="DT70" s="109" t="s">
        <v>376</v>
      </c>
      <c r="DU70" s="92"/>
      <c r="DV70" s="374"/>
      <c r="DW70" s="375"/>
      <c r="DX70" s="374"/>
      <c r="DY70" s="109" t="s">
        <v>399</v>
      </c>
      <c r="DZ70" s="242" t="s">
        <v>464</v>
      </c>
      <c r="EA70" s="373" t="s">
        <v>434</v>
      </c>
      <c r="EB70" s="540"/>
      <c r="EC70" s="66"/>
      <c r="ED70" s="29" t="s">
        <v>408</v>
      </c>
      <c r="EE70" s="240" t="s">
        <v>394</v>
      </c>
      <c r="EF70" s="109" t="s">
        <v>342</v>
      </c>
      <c r="EG70" s="92"/>
      <c r="EH70" s="374"/>
      <c r="EI70" s="375"/>
      <c r="EJ70" s="374"/>
      <c r="EK70" s="109" t="s">
        <v>373</v>
      </c>
      <c r="EL70" s="372" t="s">
        <v>340</v>
      </c>
      <c r="EM70" s="373" t="s">
        <v>374</v>
      </c>
      <c r="EN70" s="540"/>
      <c r="EO70" s="66"/>
      <c r="EP70" s="29" t="s">
        <v>346</v>
      </c>
      <c r="EQ70" s="240" t="s">
        <v>326</v>
      </c>
      <c r="ER70" s="109" t="s">
        <v>341</v>
      </c>
      <c r="ES70" s="92"/>
      <c r="ET70" s="374"/>
      <c r="EU70" s="375"/>
      <c r="EV70" s="374"/>
      <c r="EW70" s="109" t="s">
        <v>352</v>
      </c>
      <c r="EX70" s="372" t="s">
        <v>367</v>
      </c>
      <c r="EY70" s="373" t="s">
        <v>380</v>
      </c>
      <c r="EZ70" s="540"/>
      <c r="FA70" s="66"/>
      <c r="FB70" s="29" t="s">
        <v>382</v>
      </c>
      <c r="FC70" s="240" t="s">
        <v>336</v>
      </c>
      <c r="FD70" s="109" t="s">
        <v>328</v>
      </c>
      <c r="FE70" s="92"/>
      <c r="FF70" s="374"/>
      <c r="FG70" s="375"/>
      <c r="FH70" s="374"/>
      <c r="FI70" s="109"/>
      <c r="FJ70" s="391"/>
      <c r="FK70" s="373"/>
      <c r="FL70" s="540"/>
      <c r="FM70" s="66"/>
      <c r="FN70" s="29" t="s">
        <v>368</v>
      </c>
      <c r="FO70" s="372" t="s">
        <v>386</v>
      </c>
      <c r="FP70" s="109" t="s">
        <v>414</v>
      </c>
      <c r="FQ70" s="92"/>
      <c r="FR70" s="374"/>
      <c r="FS70" s="375"/>
      <c r="FT70" s="374"/>
      <c r="FU70" s="109" t="s">
        <v>324</v>
      </c>
      <c r="FV70" s="242" t="s">
        <v>381</v>
      </c>
      <c r="FW70" s="373" t="s">
        <v>343</v>
      </c>
      <c r="FX70" s="540"/>
    </row>
    <row r="71">
      <c r="A71" s="615"/>
      <c r="B71" s="616"/>
      <c r="C71" s="616"/>
      <c r="D71" s="616"/>
      <c r="E71" s="616"/>
      <c r="F71" s="616"/>
      <c r="G71" s="550"/>
      <c r="H71" s="530"/>
      <c r="I71" s="530"/>
      <c r="J71" s="530" t="str">
        <f t="shared" ref="J71:J73" si="112">IFERROR(IFS(E64-1&gt;F64, G52, E64&lt;F64-1, D64),)</f>
        <v/>
      </c>
      <c r="K71" s="540"/>
      <c r="L71" s="540"/>
      <c r="M71" s="376">
        <v>2.0</v>
      </c>
      <c r="N71" s="376" t="s">
        <v>324</v>
      </c>
      <c r="O71" s="377" t="s">
        <v>576</v>
      </c>
      <c r="P71" s="378" t="s">
        <v>317</v>
      </c>
      <c r="Q71" s="379" t="s">
        <v>318</v>
      </c>
      <c r="R71" s="380" t="s">
        <v>319</v>
      </c>
      <c r="S71" s="380" t="s">
        <v>320</v>
      </c>
      <c r="T71" s="376" t="s">
        <v>321</v>
      </c>
      <c r="U71" s="378" t="s">
        <v>325</v>
      </c>
      <c r="V71" s="377" t="s">
        <v>335</v>
      </c>
      <c r="W71" s="379" t="s">
        <v>331</v>
      </c>
      <c r="X71" s="540"/>
      <c r="Y71" s="383">
        <v>2.0</v>
      </c>
      <c r="Z71" s="376" t="s">
        <v>327</v>
      </c>
      <c r="AA71" s="384" t="s">
        <v>336</v>
      </c>
      <c r="AB71" s="378" t="s">
        <v>401</v>
      </c>
      <c r="AC71" s="379" t="s">
        <v>321</v>
      </c>
      <c r="AD71" s="381" t="s">
        <v>319</v>
      </c>
      <c r="AE71" s="382" t="s">
        <v>320</v>
      </c>
      <c r="AF71" s="378" t="s">
        <v>318</v>
      </c>
      <c r="AG71" s="378" t="s">
        <v>369</v>
      </c>
      <c r="AH71" s="384" t="s">
        <v>437</v>
      </c>
      <c r="AI71" s="379" t="s">
        <v>331</v>
      </c>
      <c r="AJ71" s="540"/>
      <c r="AK71" s="383">
        <v>2.0</v>
      </c>
      <c r="AL71" s="376" t="s">
        <v>317</v>
      </c>
      <c r="AM71" s="384" t="s">
        <v>326</v>
      </c>
      <c r="AN71" s="378" t="s">
        <v>348</v>
      </c>
      <c r="AO71" s="379" t="s">
        <v>321</v>
      </c>
      <c r="AP71" s="381" t="s">
        <v>320</v>
      </c>
      <c r="AQ71" s="382" t="s">
        <v>319</v>
      </c>
      <c r="AR71" s="378" t="s">
        <v>318</v>
      </c>
      <c r="AS71" s="378" t="s">
        <v>331</v>
      </c>
      <c r="AT71" s="384" t="s">
        <v>576</v>
      </c>
      <c r="AU71" s="379" t="s">
        <v>328</v>
      </c>
      <c r="AV71" s="540"/>
      <c r="AW71" s="383">
        <v>2.0</v>
      </c>
      <c r="AX71" s="376" t="s">
        <v>328</v>
      </c>
      <c r="AY71" s="384" t="s">
        <v>448</v>
      </c>
      <c r="AZ71" s="378" t="s">
        <v>315</v>
      </c>
      <c r="BA71" s="379" t="s">
        <v>318</v>
      </c>
      <c r="BB71" s="381" t="s">
        <v>319</v>
      </c>
      <c r="BC71" s="382" t="s">
        <v>320</v>
      </c>
      <c r="BD71" s="378" t="s">
        <v>321</v>
      </c>
      <c r="BE71" s="378" t="s">
        <v>369</v>
      </c>
      <c r="BF71" s="384" t="s">
        <v>381</v>
      </c>
      <c r="BG71" s="379" t="s">
        <v>342</v>
      </c>
      <c r="BH71" s="540"/>
      <c r="BI71" s="383">
        <v>2.0</v>
      </c>
      <c r="BJ71" s="376" t="s">
        <v>328</v>
      </c>
      <c r="BK71" s="384" t="s">
        <v>576</v>
      </c>
      <c r="BL71" s="378" t="s">
        <v>325</v>
      </c>
      <c r="BM71" s="379" t="s">
        <v>318</v>
      </c>
      <c r="BN71" s="381" t="s">
        <v>320</v>
      </c>
      <c r="BO71" s="382" t="s">
        <v>319</v>
      </c>
      <c r="BP71" s="378" t="s">
        <v>321</v>
      </c>
      <c r="BQ71" s="378" t="s">
        <v>315</v>
      </c>
      <c r="BR71" s="377" t="s">
        <v>340</v>
      </c>
      <c r="BS71" s="379" t="s">
        <v>342</v>
      </c>
      <c r="BT71" s="540"/>
      <c r="BU71" s="383">
        <v>2.0</v>
      </c>
      <c r="BV71" s="376" t="s">
        <v>324</v>
      </c>
      <c r="BW71" s="377" t="s">
        <v>356</v>
      </c>
      <c r="BX71" s="378" t="s">
        <v>400</v>
      </c>
      <c r="BY71" s="379" t="s">
        <v>321</v>
      </c>
      <c r="BZ71" s="381" t="s">
        <v>319</v>
      </c>
      <c r="CA71" s="382" t="s">
        <v>320</v>
      </c>
      <c r="CB71" s="378" t="s">
        <v>318</v>
      </c>
      <c r="CC71" s="378" t="s">
        <v>369</v>
      </c>
      <c r="CD71" s="385" t="s">
        <v>338</v>
      </c>
      <c r="CE71" s="379" t="s">
        <v>328</v>
      </c>
      <c r="CF71" s="540"/>
      <c r="CG71" s="383">
        <v>2.0</v>
      </c>
      <c r="CH71" s="376" t="s">
        <v>331</v>
      </c>
      <c r="CI71" s="385" t="s">
        <v>330</v>
      </c>
      <c r="CJ71" s="378" t="s">
        <v>317</v>
      </c>
      <c r="CK71" s="379" t="s">
        <v>321</v>
      </c>
      <c r="CL71" s="381" t="s">
        <v>319</v>
      </c>
      <c r="CM71" s="382" t="s">
        <v>320</v>
      </c>
      <c r="CN71" s="378" t="s">
        <v>318</v>
      </c>
      <c r="CO71" s="378" t="s">
        <v>325</v>
      </c>
      <c r="CP71" s="242" t="s">
        <v>727</v>
      </c>
      <c r="CQ71" s="379" t="s">
        <v>334</v>
      </c>
      <c r="CR71" s="540"/>
      <c r="CS71" s="383">
        <v>2.0</v>
      </c>
      <c r="CT71" s="376" t="s">
        <v>327</v>
      </c>
      <c r="CU71" s="384" t="s">
        <v>335</v>
      </c>
      <c r="CV71" s="378" t="s">
        <v>325</v>
      </c>
      <c r="CW71" s="379" t="s">
        <v>321</v>
      </c>
      <c r="CX71" s="381" t="s">
        <v>319</v>
      </c>
      <c r="CY71" s="382" t="s">
        <v>320</v>
      </c>
      <c r="CZ71" s="378" t="s">
        <v>318</v>
      </c>
      <c r="DA71" s="378" t="s">
        <v>382</v>
      </c>
      <c r="DB71" s="242" t="s">
        <v>437</v>
      </c>
      <c r="DC71" s="379" t="s">
        <v>315</v>
      </c>
      <c r="DD71" s="540"/>
      <c r="DE71" s="383">
        <v>2.0</v>
      </c>
      <c r="DF71" s="376" t="s">
        <v>317</v>
      </c>
      <c r="DG71" s="242" t="s">
        <v>437</v>
      </c>
      <c r="DH71" s="378" t="s">
        <v>19</v>
      </c>
      <c r="DI71" s="379" t="s">
        <v>318</v>
      </c>
      <c r="DJ71" s="380" t="s">
        <v>320</v>
      </c>
      <c r="DK71" s="393" t="s">
        <v>319</v>
      </c>
      <c r="DL71" s="378" t="s">
        <v>321</v>
      </c>
      <c r="DM71" s="378" t="s">
        <v>328</v>
      </c>
      <c r="DN71" s="242" t="s">
        <v>729</v>
      </c>
      <c r="DO71" s="379" t="s">
        <v>334</v>
      </c>
      <c r="DP71" s="540"/>
      <c r="DQ71" s="383">
        <v>2.0</v>
      </c>
      <c r="DR71" s="376" t="s">
        <v>324</v>
      </c>
      <c r="DS71" s="384" t="s">
        <v>454</v>
      </c>
      <c r="DT71" s="378" t="s">
        <v>337</v>
      </c>
      <c r="DU71" s="379" t="s">
        <v>321</v>
      </c>
      <c r="DV71" s="381" t="s">
        <v>319</v>
      </c>
      <c r="DW71" s="382" t="s">
        <v>320</v>
      </c>
      <c r="DX71" s="378" t="s">
        <v>318</v>
      </c>
      <c r="DY71" s="378" t="s">
        <v>327</v>
      </c>
      <c r="DZ71" s="384" t="s">
        <v>462</v>
      </c>
      <c r="EA71" s="379" t="s">
        <v>315</v>
      </c>
      <c r="EB71" s="540"/>
      <c r="EC71" s="383">
        <v>2.0</v>
      </c>
      <c r="ED71" s="376" t="s">
        <v>331</v>
      </c>
      <c r="EE71" s="385" t="s">
        <v>366</v>
      </c>
      <c r="EF71" s="378" t="s">
        <v>325</v>
      </c>
      <c r="EG71" s="379" t="s">
        <v>321</v>
      </c>
      <c r="EH71" s="381" t="s">
        <v>320</v>
      </c>
      <c r="EI71" s="382" t="s">
        <v>319</v>
      </c>
      <c r="EJ71" s="378" t="s">
        <v>318</v>
      </c>
      <c r="EK71" s="378" t="s">
        <v>327</v>
      </c>
      <c r="EL71" s="377" t="s">
        <v>340</v>
      </c>
      <c r="EM71" s="379" t="s">
        <v>328</v>
      </c>
      <c r="EN71" s="540"/>
      <c r="EO71" s="383">
        <v>2.0</v>
      </c>
      <c r="EP71" s="376" t="s">
        <v>331</v>
      </c>
      <c r="EQ71" s="385" t="s">
        <v>330</v>
      </c>
      <c r="ER71" s="378" t="s">
        <v>325</v>
      </c>
      <c r="ES71" s="379" t="s">
        <v>318</v>
      </c>
      <c r="ET71" s="381" t="s">
        <v>320</v>
      </c>
      <c r="EU71" s="382" t="s">
        <v>319</v>
      </c>
      <c r="EV71" s="378" t="s">
        <v>321</v>
      </c>
      <c r="EW71" s="378" t="s">
        <v>346</v>
      </c>
      <c r="EX71" s="377" t="s">
        <v>367</v>
      </c>
      <c r="EY71" s="379" t="s">
        <v>337</v>
      </c>
      <c r="EZ71" s="540"/>
      <c r="FA71" s="383">
        <v>2.0</v>
      </c>
      <c r="FB71" s="376" t="s">
        <v>331</v>
      </c>
      <c r="FC71" s="385" t="s">
        <v>394</v>
      </c>
      <c r="FD71" s="378" t="s">
        <v>342</v>
      </c>
      <c r="FE71" s="379" t="s">
        <v>321</v>
      </c>
      <c r="FF71" s="381" t="s">
        <v>319</v>
      </c>
      <c r="FG71" s="382" t="s">
        <v>320</v>
      </c>
      <c r="FH71" s="378"/>
      <c r="FI71" s="378" t="s">
        <v>341</v>
      </c>
      <c r="FJ71" s="242" t="s">
        <v>355</v>
      </c>
      <c r="FK71" s="379" t="s">
        <v>334</v>
      </c>
      <c r="FL71" s="540"/>
      <c r="FM71" s="383">
        <v>2.0</v>
      </c>
      <c r="FN71" s="376" t="s">
        <v>328</v>
      </c>
      <c r="FO71" s="377" t="s">
        <v>340</v>
      </c>
      <c r="FP71" s="378" t="s">
        <v>327</v>
      </c>
      <c r="FQ71" s="379" t="s">
        <v>321</v>
      </c>
      <c r="FR71" s="381" t="s">
        <v>320</v>
      </c>
      <c r="FS71" s="382" t="s">
        <v>319</v>
      </c>
      <c r="FT71" s="378" t="s">
        <v>318</v>
      </c>
      <c r="FU71" s="378" t="s">
        <v>342</v>
      </c>
      <c r="FV71" s="384" t="s">
        <v>351</v>
      </c>
      <c r="FW71" s="379" t="s">
        <v>317</v>
      </c>
      <c r="FX71" s="540"/>
    </row>
    <row r="72">
      <c r="A72" s="549"/>
      <c r="B72" s="550"/>
      <c r="C72" s="550"/>
      <c r="D72" s="550"/>
      <c r="E72" s="550"/>
      <c r="F72" s="550"/>
      <c r="G72" s="550"/>
      <c r="H72" s="530"/>
      <c r="I72" s="530"/>
      <c r="J72" s="530" t="str">
        <f t="shared" si="112"/>
        <v/>
      </c>
      <c r="K72" s="540"/>
      <c r="L72" s="540"/>
      <c r="M72" s="55"/>
      <c r="N72" s="29" t="s">
        <v>315</v>
      </c>
      <c r="O72" s="372" t="s">
        <v>458</v>
      </c>
      <c r="P72" s="109" t="s">
        <v>373</v>
      </c>
      <c r="Q72" s="92"/>
      <c r="T72" s="55"/>
      <c r="U72" s="109" t="s">
        <v>401</v>
      </c>
      <c r="V72" s="372" t="s">
        <v>393</v>
      </c>
      <c r="W72" s="373" t="s">
        <v>327</v>
      </c>
      <c r="X72" s="540"/>
      <c r="Y72" s="66"/>
      <c r="Z72" s="29" t="s">
        <v>342</v>
      </c>
      <c r="AA72" s="242" t="s">
        <v>383</v>
      </c>
      <c r="AB72" s="109" t="s">
        <v>19</v>
      </c>
      <c r="AC72" s="92"/>
      <c r="AE72" s="92"/>
      <c r="AG72" s="109" t="s">
        <v>334</v>
      </c>
      <c r="AH72" s="242" t="s">
        <v>442</v>
      </c>
      <c r="AI72" s="373" t="s">
        <v>325</v>
      </c>
      <c r="AJ72" s="540"/>
      <c r="AK72" s="66"/>
      <c r="AL72" s="29" t="s">
        <v>315</v>
      </c>
      <c r="AM72" s="242" t="s">
        <v>330</v>
      </c>
      <c r="AN72" s="109" t="s">
        <v>334</v>
      </c>
      <c r="AO72" s="92"/>
      <c r="AQ72" s="92"/>
      <c r="AS72" s="109" t="s">
        <v>342</v>
      </c>
      <c r="AT72" s="242" t="s">
        <v>468</v>
      </c>
      <c r="AU72" s="373" t="s">
        <v>337</v>
      </c>
      <c r="AV72" s="540"/>
      <c r="AW72" s="66"/>
      <c r="AX72" s="29" t="s">
        <v>337</v>
      </c>
      <c r="AY72" s="242" t="s">
        <v>450</v>
      </c>
      <c r="AZ72" s="109" t="s">
        <v>400</v>
      </c>
      <c r="BA72" s="92"/>
      <c r="BC72" s="92"/>
      <c r="BE72" s="109" t="s">
        <v>325</v>
      </c>
      <c r="BF72" s="242" t="s">
        <v>335</v>
      </c>
      <c r="BG72" s="373" t="s">
        <v>324</v>
      </c>
      <c r="BH72" s="540"/>
      <c r="BI72" s="66"/>
      <c r="BJ72" s="29" t="s">
        <v>327</v>
      </c>
      <c r="BK72" s="242" t="s">
        <v>468</v>
      </c>
      <c r="BL72" s="109" t="s">
        <v>385</v>
      </c>
      <c r="BM72" s="92"/>
      <c r="BO72" s="92"/>
      <c r="BQ72" s="109" t="s">
        <v>317</v>
      </c>
      <c r="BR72" s="372" t="s">
        <v>356</v>
      </c>
      <c r="BS72" s="373" t="s">
        <v>337</v>
      </c>
      <c r="BT72" s="540"/>
      <c r="BU72" s="66"/>
      <c r="BV72" s="29" t="s">
        <v>342</v>
      </c>
      <c r="BW72" s="372" t="s">
        <v>386</v>
      </c>
      <c r="BX72" s="109" t="s">
        <v>327</v>
      </c>
      <c r="BY72" s="92"/>
      <c r="CA72" s="92"/>
      <c r="CC72" s="109" t="s">
        <v>315</v>
      </c>
      <c r="CD72" s="240" t="s">
        <v>326</v>
      </c>
      <c r="CE72" s="373" t="s">
        <v>317</v>
      </c>
      <c r="CF72" s="540"/>
      <c r="CG72" s="66"/>
      <c r="CH72" s="29" t="s">
        <v>324</v>
      </c>
      <c r="CI72" s="240" t="s">
        <v>326</v>
      </c>
      <c r="CJ72" s="109" t="s">
        <v>327</v>
      </c>
      <c r="CK72" s="92"/>
      <c r="CM72" s="92"/>
      <c r="CO72" s="109" t="s">
        <v>19</v>
      </c>
      <c r="CP72" s="242" t="s">
        <v>556</v>
      </c>
      <c r="CQ72" s="373" t="s">
        <v>369</v>
      </c>
      <c r="CR72" s="540"/>
      <c r="CS72" s="66"/>
      <c r="CT72" s="29" t="s">
        <v>324</v>
      </c>
      <c r="CU72" s="242" t="s">
        <v>393</v>
      </c>
      <c r="CV72" s="109" t="s">
        <v>328</v>
      </c>
      <c r="CW72" s="92"/>
      <c r="CY72" s="92"/>
      <c r="DA72" s="109" t="s">
        <v>377</v>
      </c>
      <c r="DB72" s="242" t="s">
        <v>725</v>
      </c>
      <c r="DC72" s="373" t="s">
        <v>317</v>
      </c>
      <c r="DD72" s="540"/>
      <c r="DE72" s="66"/>
      <c r="DF72" s="29" t="s">
        <v>315</v>
      </c>
      <c r="DG72" s="242" t="s">
        <v>442</v>
      </c>
      <c r="DH72" s="109" t="s">
        <v>343</v>
      </c>
      <c r="DI72" s="92"/>
      <c r="DK72" s="92"/>
      <c r="DM72" s="109" t="s">
        <v>352</v>
      </c>
      <c r="DN72" s="242" t="s">
        <v>350</v>
      </c>
      <c r="DO72" s="373" t="s">
        <v>327</v>
      </c>
      <c r="DP72" s="540"/>
      <c r="DQ72" s="66"/>
      <c r="DR72" s="29" t="s">
        <v>342</v>
      </c>
      <c r="DS72" s="242" t="s">
        <v>450</v>
      </c>
      <c r="DT72" s="109" t="s">
        <v>325</v>
      </c>
      <c r="DU72" s="92"/>
      <c r="DW72" s="92"/>
      <c r="DY72" s="109" t="s">
        <v>361</v>
      </c>
      <c r="DZ72" s="242" t="s">
        <v>464</v>
      </c>
      <c r="EA72" s="373" t="s">
        <v>317</v>
      </c>
      <c r="EB72" s="540"/>
      <c r="EC72" s="66"/>
      <c r="ED72" s="29" t="s">
        <v>324</v>
      </c>
      <c r="EE72" s="240" t="s">
        <v>353</v>
      </c>
      <c r="EF72" s="109" t="s">
        <v>374</v>
      </c>
      <c r="EG72" s="92"/>
      <c r="EI72" s="92"/>
      <c r="EK72" s="109" t="s">
        <v>400</v>
      </c>
      <c r="EL72" s="372" t="s">
        <v>356</v>
      </c>
      <c r="EM72" s="373" t="s">
        <v>315</v>
      </c>
      <c r="EN72" s="540"/>
      <c r="EO72" s="66"/>
      <c r="EP72" s="29" t="s">
        <v>317</v>
      </c>
      <c r="EQ72" s="240" t="s">
        <v>338</v>
      </c>
      <c r="ER72" s="109" t="s">
        <v>369</v>
      </c>
      <c r="ES72" s="92"/>
      <c r="EU72" s="92"/>
      <c r="EW72" s="109" t="s">
        <v>315</v>
      </c>
      <c r="EX72" s="372" t="s">
        <v>340</v>
      </c>
      <c r="EY72" s="373" t="s">
        <v>328</v>
      </c>
      <c r="EZ72" s="540"/>
      <c r="FA72" s="66"/>
      <c r="FB72" s="29" t="s">
        <v>324</v>
      </c>
      <c r="FC72" s="240" t="s">
        <v>366</v>
      </c>
      <c r="FD72" s="109" t="s">
        <v>325</v>
      </c>
      <c r="FE72" s="92"/>
      <c r="FG72" s="92"/>
      <c r="FI72" s="109" t="s">
        <v>337</v>
      </c>
      <c r="FJ72" s="242" t="s">
        <v>350</v>
      </c>
      <c r="FK72" s="373" t="s">
        <v>369</v>
      </c>
      <c r="FL72" s="540"/>
      <c r="FM72" s="66"/>
      <c r="FN72" s="29" t="s">
        <v>315</v>
      </c>
      <c r="FO72" s="372" t="s">
        <v>356</v>
      </c>
      <c r="FP72" s="109" t="s">
        <v>331</v>
      </c>
      <c r="FQ72" s="92"/>
      <c r="FS72" s="92"/>
      <c r="FU72" s="109" t="s">
        <v>374</v>
      </c>
      <c r="FV72" s="242" t="s">
        <v>365</v>
      </c>
      <c r="FW72" s="373" t="s">
        <v>337</v>
      </c>
      <c r="FX72" s="540"/>
    </row>
    <row r="73">
      <c r="A73" s="549"/>
      <c r="B73" s="550"/>
      <c r="C73" s="550"/>
      <c r="D73" s="550"/>
      <c r="E73" s="550"/>
      <c r="F73" s="617"/>
      <c r="G73" s="618"/>
      <c r="H73" s="530"/>
      <c r="I73" s="530"/>
      <c r="J73" s="530" t="str">
        <f t="shared" si="112"/>
        <v/>
      </c>
      <c r="K73" s="540"/>
      <c r="L73" s="540"/>
      <c r="M73" s="55"/>
      <c r="N73" s="29" t="s">
        <v>389</v>
      </c>
      <c r="O73" s="372" t="s">
        <v>464</v>
      </c>
      <c r="P73" s="109" t="s">
        <v>361</v>
      </c>
      <c r="Q73" s="92"/>
      <c r="T73" s="55"/>
      <c r="U73" s="109" t="s">
        <v>387</v>
      </c>
      <c r="V73" s="372" t="s">
        <v>351</v>
      </c>
      <c r="W73" s="373" t="s">
        <v>342</v>
      </c>
      <c r="X73" s="540"/>
      <c r="Y73" s="66"/>
      <c r="Z73" s="29" t="s">
        <v>324</v>
      </c>
      <c r="AA73" s="242" t="s">
        <v>366</v>
      </c>
      <c r="AB73" s="109" t="s">
        <v>412</v>
      </c>
      <c r="AC73" s="92"/>
      <c r="AE73" s="92"/>
      <c r="AG73" s="109" t="s">
        <v>337</v>
      </c>
      <c r="AH73" s="242" t="s">
        <v>422</v>
      </c>
      <c r="AI73" s="373" t="s">
        <v>317</v>
      </c>
      <c r="AJ73" s="540"/>
      <c r="AK73" s="66"/>
      <c r="AL73" s="29" t="s">
        <v>327</v>
      </c>
      <c r="AM73" s="242" t="s">
        <v>338</v>
      </c>
      <c r="AN73" s="109" t="s">
        <v>369</v>
      </c>
      <c r="AO73" s="92"/>
      <c r="AQ73" s="92"/>
      <c r="AS73" s="109" t="s">
        <v>401</v>
      </c>
      <c r="AT73" s="242" t="s">
        <v>462</v>
      </c>
      <c r="AU73" s="373" t="s">
        <v>324</v>
      </c>
      <c r="AV73" s="540"/>
      <c r="AW73" s="66"/>
      <c r="AX73" s="29" t="s">
        <v>317</v>
      </c>
      <c r="AY73" s="242" t="s">
        <v>454</v>
      </c>
      <c r="AZ73" s="109" t="s">
        <v>387</v>
      </c>
      <c r="BA73" s="92"/>
      <c r="BC73" s="92"/>
      <c r="BE73" s="109" t="s">
        <v>374</v>
      </c>
      <c r="BF73" s="242" t="s">
        <v>365</v>
      </c>
      <c r="BG73" s="373" t="s">
        <v>331</v>
      </c>
      <c r="BH73" s="540"/>
      <c r="BI73" s="66"/>
      <c r="BJ73" s="29" t="s">
        <v>331</v>
      </c>
      <c r="BK73" s="242" t="s">
        <v>462</v>
      </c>
      <c r="BL73" s="109" t="s">
        <v>384</v>
      </c>
      <c r="BM73" s="92"/>
      <c r="BO73" s="92"/>
      <c r="BQ73" s="109" t="s">
        <v>387</v>
      </c>
      <c r="BR73" s="372" t="s">
        <v>367</v>
      </c>
      <c r="BS73" s="373" t="s">
        <v>324</v>
      </c>
      <c r="BT73" s="540"/>
      <c r="BU73" s="66"/>
      <c r="BV73" s="29" t="s">
        <v>331</v>
      </c>
      <c r="BW73" s="372" t="s">
        <v>340</v>
      </c>
      <c r="BX73" s="109" t="s">
        <v>348</v>
      </c>
      <c r="BY73" s="92"/>
      <c r="CA73" s="92"/>
      <c r="CC73" s="109" t="s">
        <v>343</v>
      </c>
      <c r="CD73" s="240" t="s">
        <v>330</v>
      </c>
      <c r="CE73" s="373" t="s">
        <v>337</v>
      </c>
      <c r="CF73" s="540"/>
      <c r="CG73" s="66"/>
      <c r="CH73" s="29" t="s">
        <v>337</v>
      </c>
      <c r="CI73" s="240" t="s">
        <v>378</v>
      </c>
      <c r="CJ73" s="109" t="s">
        <v>387</v>
      </c>
      <c r="CK73" s="92"/>
      <c r="CM73" s="92"/>
      <c r="CO73" s="109" t="s">
        <v>384</v>
      </c>
      <c r="CP73" s="242" t="s">
        <v>729</v>
      </c>
      <c r="CQ73" s="373" t="s">
        <v>315</v>
      </c>
      <c r="CR73" s="540"/>
      <c r="CS73" s="66"/>
      <c r="CT73" s="29" t="s">
        <v>331</v>
      </c>
      <c r="CU73" s="242" t="s">
        <v>365</v>
      </c>
      <c r="CV73" s="109" t="s">
        <v>374</v>
      </c>
      <c r="CW73" s="92"/>
      <c r="CY73" s="92"/>
      <c r="DA73" s="109" t="s">
        <v>342</v>
      </c>
      <c r="DB73" s="242" t="s">
        <v>422</v>
      </c>
      <c r="DC73" s="373" t="s">
        <v>19</v>
      </c>
      <c r="DD73" s="540"/>
      <c r="DE73" s="66"/>
      <c r="DF73" s="29" t="s">
        <v>324</v>
      </c>
      <c r="DG73" s="242" t="s">
        <v>725</v>
      </c>
      <c r="DH73" s="109" t="s">
        <v>377</v>
      </c>
      <c r="DI73" s="92"/>
      <c r="DK73" s="92"/>
      <c r="DM73" s="109" t="s">
        <v>400</v>
      </c>
      <c r="DN73" s="242" t="s">
        <v>727</v>
      </c>
      <c r="DO73" s="373" t="s">
        <v>342</v>
      </c>
      <c r="DP73" s="540"/>
      <c r="DQ73" s="66"/>
      <c r="DR73" s="29" t="s">
        <v>328</v>
      </c>
      <c r="DS73" s="242" t="s">
        <v>448</v>
      </c>
      <c r="DT73" s="109" t="s">
        <v>341</v>
      </c>
      <c r="DU73" s="92"/>
      <c r="DW73" s="92"/>
      <c r="DY73" s="109" t="s">
        <v>387</v>
      </c>
      <c r="DZ73" s="242" t="s">
        <v>468</v>
      </c>
      <c r="EA73" s="373" t="s">
        <v>331</v>
      </c>
      <c r="EB73" s="540"/>
      <c r="EC73" s="66"/>
      <c r="ED73" s="29" t="s">
        <v>382</v>
      </c>
      <c r="EE73" s="240" t="s">
        <v>394</v>
      </c>
      <c r="EF73" s="109" t="s">
        <v>342</v>
      </c>
      <c r="EG73" s="92"/>
      <c r="EI73" s="92"/>
      <c r="EK73" s="109" t="s">
        <v>337</v>
      </c>
      <c r="EL73" s="372" t="s">
        <v>367</v>
      </c>
      <c r="EM73" s="373" t="s">
        <v>317</v>
      </c>
      <c r="EN73" s="540"/>
      <c r="EO73" s="66"/>
      <c r="EP73" s="29" t="s">
        <v>342</v>
      </c>
      <c r="EQ73" s="240" t="s">
        <v>326</v>
      </c>
      <c r="ER73" s="109" t="s">
        <v>362</v>
      </c>
      <c r="ES73" s="92"/>
      <c r="EU73" s="92"/>
      <c r="EW73" s="109" t="s">
        <v>382</v>
      </c>
      <c r="EX73" s="372" t="s">
        <v>397</v>
      </c>
      <c r="EY73" s="373" t="s">
        <v>324</v>
      </c>
      <c r="EZ73" s="540"/>
      <c r="FA73" s="66"/>
      <c r="FB73" s="29" t="s">
        <v>315</v>
      </c>
      <c r="FC73" s="240" t="s">
        <v>366</v>
      </c>
      <c r="FD73" s="109" t="s">
        <v>374</v>
      </c>
      <c r="FE73" s="92"/>
      <c r="FG73" s="92"/>
      <c r="FI73" s="109" t="s">
        <v>343</v>
      </c>
      <c r="FJ73" s="242" t="s">
        <v>726</v>
      </c>
      <c r="FK73" s="373" t="s">
        <v>327</v>
      </c>
      <c r="FL73" s="540"/>
      <c r="FM73" s="66"/>
      <c r="FN73" s="29" t="s">
        <v>341</v>
      </c>
      <c r="FO73" s="372" t="s">
        <v>386</v>
      </c>
      <c r="FP73" s="109" t="s">
        <v>414</v>
      </c>
      <c r="FQ73" s="92"/>
      <c r="FS73" s="92"/>
      <c r="FU73" s="109" t="s">
        <v>325</v>
      </c>
      <c r="FV73" s="242" t="s">
        <v>335</v>
      </c>
      <c r="FW73" s="373" t="s">
        <v>324</v>
      </c>
      <c r="FX73" s="540"/>
    </row>
    <row r="74">
      <c r="A74" s="549"/>
      <c r="B74" s="550"/>
      <c r="C74" s="550"/>
      <c r="D74" s="550"/>
      <c r="E74" s="550"/>
      <c r="F74" s="617"/>
      <c r="G74" s="618"/>
      <c r="H74" s="530"/>
      <c r="I74" s="530"/>
      <c r="J74" s="530" t="str">
        <f t="shared" ref="J74:J75" si="113">IFERROR(IFS(E67-1&gt;F67, G63, E67&lt;F67-1, D67),)</f>
        <v/>
      </c>
      <c r="K74" s="540"/>
      <c r="L74" s="540"/>
      <c r="M74" s="55"/>
      <c r="N74" s="29" t="s">
        <v>352</v>
      </c>
      <c r="O74" s="372" t="s">
        <v>468</v>
      </c>
      <c r="P74" s="109" t="s">
        <v>337</v>
      </c>
      <c r="Q74" s="92"/>
      <c r="T74" s="55"/>
      <c r="U74" s="109" t="s">
        <v>368</v>
      </c>
      <c r="V74" s="372" t="s">
        <v>365</v>
      </c>
      <c r="W74" s="373" t="s">
        <v>369</v>
      </c>
      <c r="X74" s="540"/>
      <c r="Y74" s="66"/>
      <c r="Z74" s="29" t="s">
        <v>483</v>
      </c>
      <c r="AA74" s="242" t="s">
        <v>339</v>
      </c>
      <c r="AB74" s="109" t="s">
        <v>387</v>
      </c>
      <c r="AC74" s="92"/>
      <c r="AE74" s="92"/>
      <c r="AG74" s="109" t="s">
        <v>328</v>
      </c>
      <c r="AH74" s="242" t="s">
        <v>725</v>
      </c>
      <c r="AI74" s="373" t="s">
        <v>418</v>
      </c>
      <c r="AJ74" s="540"/>
      <c r="AK74" s="66"/>
      <c r="AL74" s="29" t="s">
        <v>368</v>
      </c>
      <c r="AM74" s="242" t="s">
        <v>349</v>
      </c>
      <c r="AN74" s="109" t="s">
        <v>377</v>
      </c>
      <c r="AO74" s="92"/>
      <c r="AQ74" s="92"/>
      <c r="AS74" s="109" t="s">
        <v>373</v>
      </c>
      <c r="AT74" s="242" t="s">
        <v>458</v>
      </c>
      <c r="AU74" s="373" t="s">
        <v>384</v>
      </c>
      <c r="AV74" s="540"/>
      <c r="AW74" s="66"/>
      <c r="AX74" s="29" t="s">
        <v>483</v>
      </c>
      <c r="AY74" s="242" t="s">
        <v>452</v>
      </c>
      <c r="AZ74" s="109" t="s">
        <v>401</v>
      </c>
      <c r="BA74" s="92"/>
      <c r="BC74" s="92"/>
      <c r="BE74" s="109" t="s">
        <v>352</v>
      </c>
      <c r="BF74" s="242" t="s">
        <v>351</v>
      </c>
      <c r="BG74" s="373" t="s">
        <v>410</v>
      </c>
      <c r="BH74" s="540"/>
      <c r="BI74" s="66"/>
      <c r="BJ74" s="29" t="s">
        <v>332</v>
      </c>
      <c r="BK74" s="242" t="s">
        <v>458</v>
      </c>
      <c r="BL74" s="109" t="s">
        <v>408</v>
      </c>
      <c r="BM74" s="92"/>
      <c r="BO74" s="92"/>
      <c r="BQ74" s="109" t="s">
        <v>382</v>
      </c>
      <c r="BR74" s="372" t="s">
        <v>397</v>
      </c>
      <c r="BS74" s="373" t="s">
        <v>439</v>
      </c>
      <c r="BT74" s="540"/>
      <c r="BU74" s="66"/>
      <c r="BV74" s="29" t="s">
        <v>399</v>
      </c>
      <c r="BW74" s="372" t="s">
        <v>367</v>
      </c>
      <c r="BX74" s="109" t="s">
        <v>346</v>
      </c>
      <c r="BY74" s="92"/>
      <c r="CA74" s="92"/>
      <c r="CC74" s="109" t="s">
        <v>352</v>
      </c>
      <c r="CD74" s="240" t="s">
        <v>378</v>
      </c>
      <c r="CE74" s="373" t="s">
        <v>410</v>
      </c>
      <c r="CF74" s="540"/>
      <c r="CG74" s="66"/>
      <c r="CH74" s="29" t="s">
        <v>368</v>
      </c>
      <c r="CI74" s="240" t="s">
        <v>338</v>
      </c>
      <c r="CJ74" s="109" t="s">
        <v>361</v>
      </c>
      <c r="CK74" s="92"/>
      <c r="CM74" s="92"/>
      <c r="CO74" s="109" t="s">
        <v>342</v>
      </c>
      <c r="CP74" s="242" t="s">
        <v>350</v>
      </c>
      <c r="CQ74" s="373" t="s">
        <v>408</v>
      </c>
      <c r="CR74" s="540"/>
      <c r="CS74" s="66"/>
      <c r="CT74" s="29" t="s">
        <v>369</v>
      </c>
      <c r="CU74" s="242" t="s">
        <v>381</v>
      </c>
      <c r="CV74" s="109" t="s">
        <v>376</v>
      </c>
      <c r="CW74" s="92"/>
      <c r="CY74" s="92"/>
      <c r="DA74" s="109" t="s">
        <v>343</v>
      </c>
      <c r="DB74" s="242" t="s">
        <v>442</v>
      </c>
      <c r="DC74" s="373" t="s">
        <v>332</v>
      </c>
      <c r="DD74" s="540"/>
      <c r="DE74" s="66"/>
      <c r="DF74" s="29" t="s">
        <v>361</v>
      </c>
      <c r="DG74" s="242" t="s">
        <v>426</v>
      </c>
      <c r="DH74" s="109" t="s">
        <v>408</v>
      </c>
      <c r="DI74" s="92"/>
      <c r="DK74" s="92"/>
      <c r="DM74" s="109" t="s">
        <v>374</v>
      </c>
      <c r="DN74" s="242" t="s">
        <v>355</v>
      </c>
      <c r="DO74" s="373" t="s">
        <v>368</v>
      </c>
      <c r="DP74" s="540"/>
      <c r="DQ74" s="66"/>
      <c r="DR74" s="29" t="s">
        <v>334</v>
      </c>
      <c r="DS74" s="242" t="s">
        <v>452</v>
      </c>
      <c r="DT74" s="109" t="s">
        <v>380</v>
      </c>
      <c r="DU74" s="92"/>
      <c r="DW74" s="92"/>
      <c r="DY74" s="109" t="s">
        <v>401</v>
      </c>
      <c r="DZ74" s="242" t="s">
        <v>458</v>
      </c>
      <c r="EA74" s="373" t="s">
        <v>369</v>
      </c>
      <c r="EB74" s="540"/>
      <c r="EC74" s="66"/>
      <c r="ED74" s="29" t="s">
        <v>408</v>
      </c>
      <c r="EE74" s="240" t="s">
        <v>336</v>
      </c>
      <c r="EF74" s="109" t="s">
        <v>485</v>
      </c>
      <c r="EG74" s="92"/>
      <c r="EI74" s="92"/>
      <c r="EK74" s="109" t="s">
        <v>418</v>
      </c>
      <c r="EL74" s="372" t="s">
        <v>397</v>
      </c>
      <c r="EM74" s="373" t="s">
        <v>377</v>
      </c>
      <c r="EN74" s="540"/>
      <c r="EO74" s="66"/>
      <c r="EP74" s="29" t="s">
        <v>343</v>
      </c>
      <c r="EQ74" s="240" t="s">
        <v>349</v>
      </c>
      <c r="ER74" s="109" t="s">
        <v>375</v>
      </c>
      <c r="ES74" s="92"/>
      <c r="EU74" s="92"/>
      <c r="EW74" s="109" t="s">
        <v>401</v>
      </c>
      <c r="EX74" s="372" t="s">
        <v>386</v>
      </c>
      <c r="EY74" s="373" t="s">
        <v>385</v>
      </c>
      <c r="EZ74" s="540"/>
      <c r="FA74" s="66"/>
      <c r="FB74" s="29" t="s">
        <v>382</v>
      </c>
      <c r="FC74" s="240" t="s">
        <v>383</v>
      </c>
      <c r="FD74" s="109" t="s">
        <v>332</v>
      </c>
      <c r="FE74" s="92"/>
      <c r="FG74" s="92"/>
      <c r="FI74" s="109" t="s">
        <v>375</v>
      </c>
      <c r="FJ74" s="242" t="s">
        <v>339</v>
      </c>
      <c r="FK74" s="373" t="s">
        <v>377</v>
      </c>
      <c r="FL74" s="540"/>
      <c r="FM74" s="66"/>
      <c r="FN74" s="29" t="s">
        <v>369</v>
      </c>
      <c r="FO74" s="372" t="s">
        <v>397</v>
      </c>
      <c r="FP74" s="109" t="s">
        <v>332</v>
      </c>
      <c r="FQ74" s="92"/>
      <c r="FS74" s="92"/>
      <c r="FU74" s="109" t="s">
        <v>384</v>
      </c>
      <c r="FV74" s="242" t="s">
        <v>393</v>
      </c>
      <c r="FW74" s="373" t="s">
        <v>352</v>
      </c>
      <c r="FX74" s="540"/>
    </row>
    <row r="75">
      <c r="A75" s="549"/>
      <c r="B75" s="550"/>
      <c r="C75" s="550"/>
      <c r="D75" s="550"/>
      <c r="E75" s="550"/>
      <c r="F75" s="617"/>
      <c r="G75" s="618"/>
      <c r="H75" s="530"/>
      <c r="I75" s="530"/>
      <c r="J75" s="530" t="str">
        <f t="shared" si="113"/>
        <v/>
      </c>
      <c r="K75" s="540"/>
      <c r="L75" s="540"/>
      <c r="M75" s="386"/>
      <c r="N75" s="387" t="s">
        <v>322</v>
      </c>
      <c r="O75" s="388" t="s">
        <v>462</v>
      </c>
      <c r="P75" s="389" t="s">
        <v>377</v>
      </c>
      <c r="Q75" s="375"/>
      <c r="R75" s="374"/>
      <c r="S75" s="374"/>
      <c r="T75" s="386"/>
      <c r="U75" s="389" t="s">
        <v>395</v>
      </c>
      <c r="V75" s="388" t="s">
        <v>381</v>
      </c>
      <c r="W75" s="390" t="s">
        <v>396</v>
      </c>
      <c r="X75" s="540"/>
      <c r="Y75" s="134"/>
      <c r="Z75" s="387" t="s">
        <v>377</v>
      </c>
      <c r="AA75" s="391" t="s">
        <v>353</v>
      </c>
      <c r="AB75" s="389" t="s">
        <v>391</v>
      </c>
      <c r="AC75" s="375"/>
      <c r="AD75" s="374"/>
      <c r="AE75" s="375"/>
      <c r="AF75" s="374"/>
      <c r="AG75" s="389" t="s">
        <v>315</v>
      </c>
      <c r="AH75" s="391" t="s">
        <v>459</v>
      </c>
      <c r="AI75" s="390" t="s">
        <v>374</v>
      </c>
      <c r="AJ75" s="540"/>
      <c r="AK75" s="134"/>
      <c r="AL75" s="387" t="s">
        <v>354</v>
      </c>
      <c r="AM75" s="391" t="s">
        <v>378</v>
      </c>
      <c r="AN75" s="389" t="s">
        <v>352</v>
      </c>
      <c r="AO75" s="375"/>
      <c r="AP75" s="374"/>
      <c r="AQ75" s="375"/>
      <c r="AR75" s="374"/>
      <c r="AS75" s="389" t="s">
        <v>399</v>
      </c>
      <c r="AT75" s="391" t="s">
        <v>464</v>
      </c>
      <c r="AU75" s="390" t="s">
        <v>385</v>
      </c>
      <c r="AV75" s="540"/>
      <c r="AW75" s="134"/>
      <c r="AX75" s="387" t="s">
        <v>384</v>
      </c>
      <c r="AY75" s="391" t="s">
        <v>449</v>
      </c>
      <c r="AZ75" s="389" t="s">
        <v>418</v>
      </c>
      <c r="BA75" s="375"/>
      <c r="BB75" s="374"/>
      <c r="BC75" s="375"/>
      <c r="BD75" s="374"/>
      <c r="BE75" s="389" t="s">
        <v>375</v>
      </c>
      <c r="BF75" s="391" t="s">
        <v>393</v>
      </c>
      <c r="BG75" s="390" t="s">
        <v>361</v>
      </c>
      <c r="BH75" s="540"/>
      <c r="BI75" s="134"/>
      <c r="BJ75" s="387" t="s">
        <v>418</v>
      </c>
      <c r="BK75" s="391" t="s">
        <v>464</v>
      </c>
      <c r="BL75" s="389" t="s">
        <v>369</v>
      </c>
      <c r="BM75" s="375"/>
      <c r="BN75" s="374"/>
      <c r="BO75" s="375"/>
      <c r="BP75" s="374"/>
      <c r="BQ75" s="389" t="s">
        <v>377</v>
      </c>
      <c r="BR75" s="388" t="s">
        <v>386</v>
      </c>
      <c r="BS75" s="390" t="s">
        <v>352</v>
      </c>
      <c r="BT75" s="540"/>
      <c r="BU75" s="134"/>
      <c r="BV75" s="387" t="s">
        <v>384</v>
      </c>
      <c r="BW75" s="388" t="s">
        <v>397</v>
      </c>
      <c r="BX75" s="389" t="s">
        <v>418</v>
      </c>
      <c r="BY75" s="375"/>
      <c r="BZ75" s="374"/>
      <c r="CA75" s="375"/>
      <c r="CB75" s="374"/>
      <c r="CC75" s="389" t="s">
        <v>401</v>
      </c>
      <c r="CD75" s="392" t="s">
        <v>349</v>
      </c>
      <c r="CE75" s="390" t="s">
        <v>385</v>
      </c>
      <c r="CF75" s="540"/>
      <c r="CG75" s="134"/>
      <c r="CH75" s="387" t="s">
        <v>374</v>
      </c>
      <c r="CI75" s="392" t="s">
        <v>349</v>
      </c>
      <c r="CJ75" s="389" t="s">
        <v>377</v>
      </c>
      <c r="CK75" s="375"/>
      <c r="CL75" s="374"/>
      <c r="CM75" s="375"/>
      <c r="CN75" s="374"/>
      <c r="CO75" s="389" t="s">
        <v>359</v>
      </c>
      <c r="CP75" s="391" t="s">
        <v>355</v>
      </c>
      <c r="CQ75" s="390" t="s">
        <v>362</v>
      </c>
      <c r="CR75" s="540"/>
      <c r="CS75" s="134"/>
      <c r="CT75" s="387" t="s">
        <v>401</v>
      </c>
      <c r="CU75" s="391" t="s">
        <v>351</v>
      </c>
      <c r="CV75" s="389" t="s">
        <v>352</v>
      </c>
      <c r="CW75" s="375"/>
      <c r="CX75" s="374"/>
      <c r="CY75" s="375"/>
      <c r="CZ75" s="374"/>
      <c r="DA75" s="389" t="s">
        <v>368</v>
      </c>
      <c r="DB75" s="391" t="s">
        <v>426</v>
      </c>
      <c r="DC75" s="390" t="s">
        <v>337</v>
      </c>
      <c r="DD75" s="540"/>
      <c r="DE75" s="134"/>
      <c r="DF75" s="387" t="s">
        <v>373</v>
      </c>
      <c r="DG75" s="391" t="s">
        <v>422</v>
      </c>
      <c r="DH75" s="389" t="s">
        <v>405</v>
      </c>
      <c r="DI75" s="375"/>
      <c r="DJ75" s="374"/>
      <c r="DK75" s="375"/>
      <c r="DL75" s="374"/>
      <c r="DM75" s="389" t="s">
        <v>382</v>
      </c>
      <c r="DN75" s="391" t="s">
        <v>556</v>
      </c>
      <c r="DO75" s="390" t="s">
        <v>348</v>
      </c>
      <c r="DP75" s="540"/>
      <c r="DQ75" s="134"/>
      <c r="DR75" s="387" t="s">
        <v>400</v>
      </c>
      <c r="DS75" s="391" t="s">
        <v>449</v>
      </c>
      <c r="DT75" s="389" t="s">
        <v>382</v>
      </c>
      <c r="DU75" s="375"/>
      <c r="DV75" s="374"/>
      <c r="DW75" s="375"/>
      <c r="DX75" s="374"/>
      <c r="DY75" s="389" t="s">
        <v>403</v>
      </c>
      <c r="DZ75" s="391" t="s">
        <v>460</v>
      </c>
      <c r="EA75" s="390" t="s">
        <v>332</v>
      </c>
      <c r="EB75" s="540"/>
      <c r="EC75" s="134"/>
      <c r="ED75" s="387" t="s">
        <v>361</v>
      </c>
      <c r="EE75" s="392" t="s">
        <v>383</v>
      </c>
      <c r="EF75" s="389" t="s">
        <v>369</v>
      </c>
      <c r="EG75" s="375"/>
      <c r="EH75" s="374"/>
      <c r="EI75" s="375"/>
      <c r="EJ75" s="374"/>
      <c r="EK75" s="389" t="s">
        <v>401</v>
      </c>
      <c r="EL75" s="388" t="s">
        <v>386</v>
      </c>
      <c r="EM75" s="390" t="s">
        <v>332</v>
      </c>
      <c r="EN75" s="540"/>
      <c r="EO75" s="134"/>
      <c r="EP75" s="387" t="s">
        <v>377</v>
      </c>
      <c r="EQ75" s="392" t="s">
        <v>378</v>
      </c>
      <c r="ER75" s="389" t="s">
        <v>746</v>
      </c>
      <c r="ES75" s="375"/>
      <c r="ET75" s="374"/>
      <c r="EU75" s="375"/>
      <c r="EV75" s="374"/>
      <c r="EW75" s="389" t="s">
        <v>446</v>
      </c>
      <c r="EX75" s="388" t="s">
        <v>356</v>
      </c>
      <c r="EY75" s="390" t="s">
        <v>384</v>
      </c>
      <c r="EZ75" s="540"/>
      <c r="FA75" s="134"/>
      <c r="FB75" s="387" t="s">
        <v>396</v>
      </c>
      <c r="FC75" s="392" t="s">
        <v>336</v>
      </c>
      <c r="FD75" s="389" t="s">
        <v>414</v>
      </c>
      <c r="FE75" s="375"/>
      <c r="FF75" s="374"/>
      <c r="FG75" s="375"/>
      <c r="FH75" s="374"/>
      <c r="FI75" s="389" t="s">
        <v>361</v>
      </c>
      <c r="FJ75" s="391" t="s">
        <v>556</v>
      </c>
      <c r="FK75" s="390" t="s">
        <v>328</v>
      </c>
      <c r="FL75" s="540"/>
      <c r="FM75" s="134"/>
      <c r="FN75" s="387" t="s">
        <v>395</v>
      </c>
      <c r="FO75" s="388" t="s">
        <v>367</v>
      </c>
      <c r="FP75" s="389" t="s">
        <v>346</v>
      </c>
      <c r="FQ75" s="375"/>
      <c r="FR75" s="374"/>
      <c r="FS75" s="375"/>
      <c r="FT75" s="374"/>
      <c r="FU75" s="389" t="s">
        <v>361</v>
      </c>
      <c r="FV75" s="391" t="s">
        <v>381</v>
      </c>
      <c r="FW75" s="390" t="s">
        <v>387</v>
      </c>
      <c r="FX75" s="540"/>
    </row>
    <row r="76">
      <c r="A76" s="549"/>
      <c r="B76" s="550"/>
      <c r="C76" s="550"/>
      <c r="D76" s="550"/>
      <c r="E76" s="550"/>
      <c r="F76" s="617"/>
      <c r="G76" s="618"/>
      <c r="H76" s="530"/>
      <c r="I76" s="530"/>
      <c r="J76" s="530" t="str">
        <f>IFERROR(IFS(E69-1&gt;F69, G61, E69&lt;F69-1, D69),)</f>
        <v/>
      </c>
      <c r="K76" s="540"/>
      <c r="L76" s="540"/>
      <c r="M76" s="29">
        <v>3.0</v>
      </c>
      <c r="N76" s="29" t="s">
        <v>342</v>
      </c>
      <c r="O76" s="372" t="s">
        <v>576</v>
      </c>
      <c r="P76" s="109" t="s">
        <v>325</v>
      </c>
      <c r="Q76" s="373" t="s">
        <v>321</v>
      </c>
      <c r="R76" s="380" t="s">
        <v>320</v>
      </c>
      <c r="S76" s="380" t="s">
        <v>319</v>
      </c>
      <c r="T76" s="29" t="s">
        <v>318</v>
      </c>
      <c r="U76" s="109" t="s">
        <v>400</v>
      </c>
      <c r="V76" s="372" t="s">
        <v>335</v>
      </c>
      <c r="W76" s="373" t="s">
        <v>317</v>
      </c>
      <c r="X76" s="540"/>
      <c r="Y76" s="371">
        <v>3.0</v>
      </c>
      <c r="Z76" s="29"/>
      <c r="AA76" s="565"/>
      <c r="AB76" s="109"/>
      <c r="AC76" s="373"/>
      <c r="AD76" s="380"/>
      <c r="AE76" s="393"/>
      <c r="AF76" s="109"/>
      <c r="AG76" s="109"/>
      <c r="AH76" s="565"/>
      <c r="AI76" s="373"/>
      <c r="AJ76" s="540"/>
      <c r="AK76" s="371">
        <v>3.0</v>
      </c>
      <c r="AL76" s="29" t="s">
        <v>328</v>
      </c>
      <c r="AM76" s="242" t="s">
        <v>326</v>
      </c>
      <c r="AN76" s="109" t="s">
        <v>315</v>
      </c>
      <c r="AO76" s="373" t="s">
        <v>318</v>
      </c>
      <c r="AP76" s="380" t="s">
        <v>319</v>
      </c>
      <c r="AQ76" s="393" t="s">
        <v>320</v>
      </c>
      <c r="AR76" s="109" t="s">
        <v>321</v>
      </c>
      <c r="AS76" s="109" t="s">
        <v>342</v>
      </c>
      <c r="AT76" s="242" t="s">
        <v>468</v>
      </c>
      <c r="AU76" s="373" t="s">
        <v>324</v>
      </c>
      <c r="AV76" s="540"/>
      <c r="AW76" s="371">
        <v>3.0</v>
      </c>
      <c r="AX76" s="29"/>
      <c r="AY76" s="566"/>
      <c r="AZ76" s="109"/>
      <c r="BA76" s="373"/>
      <c r="BB76" s="380"/>
      <c r="BC76" s="393"/>
      <c r="BD76" s="109"/>
      <c r="BE76" s="109"/>
      <c r="BF76" s="242"/>
      <c r="BG76" s="373"/>
      <c r="BH76" s="540"/>
      <c r="BI76" s="371">
        <v>3.0</v>
      </c>
      <c r="BJ76" s="29"/>
      <c r="BK76" s="242"/>
      <c r="BL76" s="109"/>
      <c r="BM76" s="373"/>
      <c r="BN76" s="380"/>
      <c r="BO76" s="393"/>
      <c r="BP76" s="109"/>
      <c r="BQ76" s="109"/>
      <c r="BR76" s="372"/>
      <c r="BS76" s="373"/>
      <c r="BT76" s="540"/>
      <c r="BU76" s="371">
        <v>3.0</v>
      </c>
      <c r="BV76" s="29"/>
      <c r="BW76" s="372"/>
      <c r="BX76" s="109"/>
      <c r="BY76" s="373"/>
      <c r="BZ76" s="380"/>
      <c r="CA76" s="393"/>
      <c r="CB76" s="109"/>
      <c r="CC76" s="109"/>
      <c r="CD76" s="372"/>
      <c r="CE76" s="373"/>
      <c r="CF76" s="540"/>
      <c r="CG76" s="371">
        <v>3.0</v>
      </c>
      <c r="CH76" s="29"/>
      <c r="CI76" s="372"/>
      <c r="CJ76" s="109"/>
      <c r="CK76" s="373"/>
      <c r="CL76" s="380"/>
      <c r="CM76" s="393"/>
      <c r="CN76" s="109"/>
      <c r="CO76" s="109"/>
      <c r="CP76" s="372"/>
      <c r="CQ76" s="373"/>
      <c r="CR76" s="540"/>
      <c r="CS76" s="371">
        <v>3.0</v>
      </c>
      <c r="CT76" s="29"/>
      <c r="CU76" s="242"/>
      <c r="CV76" s="109"/>
      <c r="CW76" s="373"/>
      <c r="CX76" s="380"/>
      <c r="CY76" s="393"/>
      <c r="CZ76" s="109"/>
      <c r="DA76" s="109"/>
      <c r="DB76" s="372"/>
      <c r="DC76" s="373"/>
      <c r="DD76" s="540"/>
      <c r="DE76" s="371">
        <v>3.0</v>
      </c>
      <c r="DF76" s="29"/>
      <c r="DG76" s="372"/>
      <c r="DH76" s="109"/>
      <c r="DI76" s="373"/>
      <c r="DJ76" s="380"/>
      <c r="DK76" s="393"/>
      <c r="DL76" s="109"/>
      <c r="DM76" s="109"/>
      <c r="DN76" s="372"/>
      <c r="DO76" s="373"/>
      <c r="DP76" s="540"/>
      <c r="DQ76" s="371">
        <v>3.0</v>
      </c>
      <c r="DR76" s="29"/>
      <c r="DS76" s="566"/>
      <c r="DT76" s="109"/>
      <c r="DU76" s="373"/>
      <c r="DV76" s="380"/>
      <c r="DW76" s="393"/>
      <c r="DX76" s="109"/>
      <c r="DY76" s="109"/>
      <c r="DZ76" s="372"/>
      <c r="EA76" s="373"/>
      <c r="EB76" s="540"/>
      <c r="EC76" s="371">
        <v>3.0</v>
      </c>
      <c r="ED76" s="29" t="s">
        <v>315</v>
      </c>
      <c r="EE76" s="385" t="s">
        <v>366</v>
      </c>
      <c r="EF76" s="109" t="s">
        <v>400</v>
      </c>
      <c r="EG76" s="373" t="s">
        <v>318</v>
      </c>
      <c r="EH76" s="380" t="s">
        <v>319</v>
      </c>
      <c r="EI76" s="393" t="s">
        <v>320</v>
      </c>
      <c r="EJ76" s="109" t="s">
        <v>321</v>
      </c>
      <c r="EK76" s="109" t="s">
        <v>377</v>
      </c>
      <c r="EL76" s="372" t="s">
        <v>386</v>
      </c>
      <c r="EM76" s="373" t="s">
        <v>328</v>
      </c>
      <c r="EN76" s="540"/>
      <c r="EO76" s="371">
        <v>3.0</v>
      </c>
      <c r="EP76" s="29"/>
      <c r="EQ76" s="385"/>
      <c r="ER76" s="109"/>
      <c r="ES76" s="373"/>
      <c r="ET76" s="380"/>
      <c r="EU76" s="393"/>
      <c r="EV76" s="109"/>
      <c r="EW76" s="109"/>
      <c r="EX76" s="372"/>
      <c r="EY76" s="373"/>
      <c r="EZ76" s="540"/>
      <c r="FA76" s="371">
        <v>3.0</v>
      </c>
      <c r="FB76" s="29"/>
      <c r="FC76" s="385"/>
      <c r="FD76" s="109"/>
      <c r="FE76" s="373"/>
      <c r="FF76" s="380"/>
      <c r="FG76" s="393"/>
      <c r="FH76" s="109"/>
      <c r="FI76" s="109"/>
      <c r="FJ76" s="372"/>
      <c r="FK76" s="373"/>
      <c r="FL76" s="540"/>
      <c r="FM76" s="371">
        <v>3.0</v>
      </c>
      <c r="FN76" s="29" t="s">
        <v>317</v>
      </c>
      <c r="FO76" s="372" t="s">
        <v>367</v>
      </c>
      <c r="FP76" s="109" t="s">
        <v>342</v>
      </c>
      <c r="FQ76" s="373" t="s">
        <v>318</v>
      </c>
      <c r="FR76" s="380" t="s">
        <v>319</v>
      </c>
      <c r="FS76" s="393" t="s">
        <v>320</v>
      </c>
      <c r="FT76" s="109" t="s">
        <v>321</v>
      </c>
      <c r="FU76" s="109" t="s">
        <v>327</v>
      </c>
      <c r="FV76" s="242" t="s">
        <v>365</v>
      </c>
      <c r="FW76" s="373" t="s">
        <v>331</v>
      </c>
      <c r="FX76" s="540"/>
    </row>
    <row r="77">
      <c r="A77" s="549"/>
      <c r="B77" s="550"/>
      <c r="C77" s="550"/>
      <c r="D77" s="550"/>
      <c r="E77" s="550"/>
      <c r="F77" s="617" t="str">
        <f>IFERROR(IFS(D70-1&gt;E70, C70, D70&lt;E70-1, F70),)</f>
        <v/>
      </c>
      <c r="G77" s="618" t="str">
        <f>IFERROR(IFS(D70-1&gt;E70, F70, D70&lt;E70-1, C70),)</f>
        <v/>
      </c>
      <c r="H77" s="530" t="str">
        <f>IFERROR(IFS(D70=3, C70, E70=3, F62),)</f>
        <v/>
      </c>
      <c r="I77" s="530" t="str">
        <f t="shared" ref="I77:J77" si="114">IFERROR(IFS(D70-1&gt;E70, F62, D70&lt;E70-1, C70),)</f>
        <v/>
      </c>
      <c r="J77" s="530" t="str">
        <f t="shared" si="114"/>
        <v/>
      </c>
      <c r="K77" s="540"/>
      <c r="L77" s="540"/>
      <c r="M77" s="55"/>
      <c r="N77" s="29" t="s">
        <v>324</v>
      </c>
      <c r="O77" s="372" t="s">
        <v>458</v>
      </c>
      <c r="P77" s="109" t="s">
        <v>373</v>
      </c>
      <c r="Q77" s="92"/>
      <c r="T77" s="55"/>
      <c r="U77" s="109" t="s">
        <v>377</v>
      </c>
      <c r="V77" s="372" t="s">
        <v>393</v>
      </c>
      <c r="W77" s="373" t="s">
        <v>315</v>
      </c>
      <c r="X77" s="540"/>
      <c r="Y77" s="66"/>
      <c r="Z77" s="29"/>
      <c r="AA77" s="565"/>
      <c r="AB77" s="109"/>
      <c r="AC77" s="92"/>
      <c r="AE77" s="92"/>
      <c r="AG77" s="109"/>
      <c r="AH77" s="565"/>
      <c r="AI77" s="373"/>
      <c r="AJ77" s="540"/>
      <c r="AK77" s="66"/>
      <c r="AL77" s="29" t="s">
        <v>331</v>
      </c>
      <c r="AM77" s="242" t="s">
        <v>330</v>
      </c>
      <c r="AN77" s="109" t="s">
        <v>317</v>
      </c>
      <c r="AO77" s="92"/>
      <c r="AQ77" s="92"/>
      <c r="AS77" s="109" t="s">
        <v>322</v>
      </c>
      <c r="AT77" s="242" t="s">
        <v>464</v>
      </c>
      <c r="AU77" s="373" t="s">
        <v>327</v>
      </c>
      <c r="AV77" s="540"/>
      <c r="AW77" s="66"/>
      <c r="AX77" s="29"/>
      <c r="AY77" s="566"/>
      <c r="AZ77" s="109"/>
      <c r="BA77" s="92"/>
      <c r="BC77" s="92"/>
      <c r="BE77" s="109"/>
      <c r="BF77" s="242"/>
      <c r="BG77" s="373"/>
      <c r="BH77" s="540"/>
      <c r="BI77" s="66"/>
      <c r="BJ77" s="29"/>
      <c r="BK77" s="242"/>
      <c r="BL77" s="109"/>
      <c r="BM77" s="92"/>
      <c r="BO77" s="92"/>
      <c r="BQ77" s="109"/>
      <c r="BR77" s="372"/>
      <c r="BS77" s="373"/>
      <c r="BT77" s="540"/>
      <c r="BU77" s="66"/>
      <c r="BV77" s="29"/>
      <c r="BW77" s="372"/>
      <c r="BX77" s="109"/>
      <c r="BY77" s="92"/>
      <c r="CA77" s="92"/>
      <c r="CC77" s="109"/>
      <c r="CD77" s="372"/>
      <c r="CE77" s="373"/>
      <c r="CF77" s="540"/>
      <c r="CG77" s="66"/>
      <c r="CH77" s="29"/>
      <c r="CI77" s="372"/>
      <c r="CJ77" s="109"/>
      <c r="CK77" s="92"/>
      <c r="CM77" s="92"/>
      <c r="CO77" s="109"/>
      <c r="CP77" s="372"/>
      <c r="CQ77" s="373"/>
      <c r="CR77" s="540"/>
      <c r="CS77" s="66"/>
      <c r="CT77" s="29"/>
      <c r="CU77" s="242"/>
      <c r="CV77" s="109"/>
      <c r="CW77" s="92"/>
      <c r="CY77" s="92"/>
      <c r="DA77" s="109"/>
      <c r="DB77" s="372"/>
      <c r="DC77" s="373"/>
      <c r="DD77" s="540"/>
      <c r="DE77" s="66"/>
      <c r="DF77" s="29"/>
      <c r="DG77" s="372"/>
      <c r="DH77" s="109"/>
      <c r="DI77" s="92"/>
      <c r="DK77" s="92"/>
      <c r="DM77" s="109"/>
      <c r="DN77" s="372"/>
      <c r="DO77" s="373"/>
      <c r="DP77" s="540"/>
      <c r="DQ77" s="66"/>
      <c r="DR77" s="29"/>
      <c r="DS77" s="566"/>
      <c r="DT77" s="109"/>
      <c r="DU77" s="92"/>
      <c r="DW77" s="92"/>
      <c r="DY77" s="109"/>
      <c r="DZ77" s="372"/>
      <c r="EA77" s="373"/>
      <c r="EB77" s="540"/>
      <c r="EC77" s="66"/>
      <c r="ED77" s="29" t="s">
        <v>331</v>
      </c>
      <c r="EE77" s="240" t="s">
        <v>353</v>
      </c>
      <c r="EF77" s="109" t="s">
        <v>408</v>
      </c>
      <c r="EG77" s="92"/>
      <c r="EI77" s="92"/>
      <c r="EK77" s="109" t="s">
        <v>317</v>
      </c>
      <c r="EL77" s="372" t="s">
        <v>356</v>
      </c>
      <c r="EM77" s="373" t="s">
        <v>337</v>
      </c>
      <c r="EN77" s="540"/>
      <c r="EO77" s="66"/>
      <c r="EP77" s="29"/>
      <c r="EQ77" s="240"/>
      <c r="ER77" s="109"/>
      <c r="ES77" s="92"/>
      <c r="EU77" s="92"/>
      <c r="EW77" s="109"/>
      <c r="EX77" s="372"/>
      <c r="EY77" s="373"/>
      <c r="EZ77" s="540"/>
      <c r="FA77" s="66"/>
      <c r="FB77" s="29"/>
      <c r="FC77" s="240"/>
      <c r="FD77" s="109"/>
      <c r="FE77" s="92"/>
      <c r="FG77" s="92"/>
      <c r="FI77" s="109"/>
      <c r="FJ77" s="372"/>
      <c r="FK77" s="373"/>
      <c r="FL77" s="540"/>
      <c r="FM77" s="66"/>
      <c r="FN77" s="29" t="s">
        <v>315</v>
      </c>
      <c r="FO77" s="372" t="s">
        <v>397</v>
      </c>
      <c r="FP77" s="109" t="s">
        <v>382</v>
      </c>
      <c r="FQ77" s="92"/>
      <c r="FS77" s="92"/>
      <c r="FU77" s="109" t="s">
        <v>406</v>
      </c>
      <c r="FV77" s="242" t="s">
        <v>393</v>
      </c>
      <c r="FW77" s="373" t="s">
        <v>341</v>
      </c>
      <c r="FX77" s="540"/>
    </row>
    <row r="78">
      <c r="A78" s="540"/>
      <c r="B78" s="619"/>
      <c r="C78" s="619"/>
      <c r="D78" s="619"/>
      <c r="E78" s="619"/>
      <c r="F78" s="617"/>
      <c r="G78" s="618"/>
      <c r="H78" s="530"/>
      <c r="I78" s="530"/>
      <c r="J78" s="530"/>
      <c r="K78" s="540"/>
      <c r="L78" s="540"/>
      <c r="M78" s="55"/>
      <c r="N78" s="29" t="s">
        <v>331</v>
      </c>
      <c r="O78" s="372" t="s">
        <v>464</v>
      </c>
      <c r="P78" s="109" t="s">
        <v>19</v>
      </c>
      <c r="Q78" s="92"/>
      <c r="T78" s="55"/>
      <c r="U78" s="109" t="s">
        <v>352</v>
      </c>
      <c r="V78" s="372" t="s">
        <v>351</v>
      </c>
      <c r="W78" s="373" t="s">
        <v>327</v>
      </c>
      <c r="X78" s="540"/>
      <c r="Y78" s="66"/>
      <c r="Z78" s="29"/>
      <c r="AA78" s="565"/>
      <c r="AB78" s="109"/>
      <c r="AC78" s="92"/>
      <c r="AE78" s="92"/>
      <c r="AG78" s="109"/>
      <c r="AH78" s="565"/>
      <c r="AI78" s="373"/>
      <c r="AJ78" s="540"/>
      <c r="AK78" s="66"/>
      <c r="AL78" s="29" t="s">
        <v>408</v>
      </c>
      <c r="AM78" s="242" t="s">
        <v>338</v>
      </c>
      <c r="AN78" s="109" t="s">
        <v>376</v>
      </c>
      <c r="AO78" s="92"/>
      <c r="AQ78" s="92"/>
      <c r="AS78" s="109" t="s">
        <v>348</v>
      </c>
      <c r="AT78" s="242" t="s">
        <v>458</v>
      </c>
      <c r="AU78" s="373" t="s">
        <v>334</v>
      </c>
      <c r="AV78" s="540"/>
      <c r="AW78" s="66"/>
      <c r="AX78" s="29"/>
      <c r="AY78" s="566"/>
      <c r="AZ78" s="109"/>
      <c r="BA78" s="92"/>
      <c r="BC78" s="92"/>
      <c r="BE78" s="109"/>
      <c r="BF78" s="242"/>
      <c r="BG78" s="373"/>
      <c r="BH78" s="540"/>
      <c r="BI78" s="66"/>
      <c r="BJ78" s="29"/>
      <c r="BK78" s="242"/>
      <c r="BL78" s="109"/>
      <c r="BM78" s="92"/>
      <c r="BO78" s="92"/>
      <c r="BQ78" s="109"/>
      <c r="BR78" s="372"/>
      <c r="BS78" s="373"/>
      <c r="BT78" s="540"/>
      <c r="BU78" s="66"/>
      <c r="BV78" s="29"/>
      <c r="BW78" s="372"/>
      <c r="BX78" s="109"/>
      <c r="BY78" s="92"/>
      <c r="CA78" s="92"/>
      <c r="CC78" s="109"/>
      <c r="CD78" s="372"/>
      <c r="CE78" s="373"/>
      <c r="CF78" s="540"/>
      <c r="CG78" s="66"/>
      <c r="CH78" s="29"/>
      <c r="CI78" s="372"/>
      <c r="CJ78" s="109"/>
      <c r="CK78" s="92"/>
      <c r="CM78" s="92"/>
      <c r="CO78" s="109"/>
      <c r="CP78" s="372"/>
      <c r="CQ78" s="373"/>
      <c r="CR78" s="540"/>
      <c r="CS78" s="66"/>
      <c r="CT78" s="29"/>
      <c r="CU78" s="242"/>
      <c r="CV78" s="109"/>
      <c r="CW78" s="92"/>
      <c r="CY78" s="92"/>
      <c r="DA78" s="109"/>
      <c r="DB78" s="372"/>
      <c r="DC78" s="373"/>
      <c r="DD78" s="540"/>
      <c r="DE78" s="66"/>
      <c r="DF78" s="29"/>
      <c r="DG78" s="372"/>
      <c r="DH78" s="109"/>
      <c r="DI78" s="92"/>
      <c r="DK78" s="92"/>
      <c r="DM78" s="109"/>
      <c r="DN78" s="372"/>
      <c r="DO78" s="373"/>
      <c r="DP78" s="540"/>
      <c r="DQ78" s="66"/>
      <c r="DR78" s="29"/>
      <c r="DS78" s="566"/>
      <c r="DT78" s="109"/>
      <c r="DU78" s="92"/>
      <c r="DW78" s="92"/>
      <c r="DY78" s="109"/>
      <c r="DZ78" s="372"/>
      <c r="EA78" s="373"/>
      <c r="EB78" s="540"/>
      <c r="EC78" s="66"/>
      <c r="ED78" s="29" t="s">
        <v>327</v>
      </c>
      <c r="EE78" s="240" t="s">
        <v>394</v>
      </c>
      <c r="EF78" s="109" t="s">
        <v>342</v>
      </c>
      <c r="EG78" s="92"/>
      <c r="EI78" s="92"/>
      <c r="EK78" s="109" t="s">
        <v>352</v>
      </c>
      <c r="EL78" s="372" t="s">
        <v>367</v>
      </c>
      <c r="EM78" s="373" t="s">
        <v>325</v>
      </c>
      <c r="EN78" s="540"/>
      <c r="EO78" s="66"/>
      <c r="EP78" s="29"/>
      <c r="EQ78" s="240"/>
      <c r="ER78" s="109"/>
      <c r="ES78" s="92"/>
      <c r="EU78" s="92"/>
      <c r="EW78" s="109"/>
      <c r="EX78" s="372"/>
      <c r="EY78" s="373"/>
      <c r="EZ78" s="540"/>
      <c r="FA78" s="66"/>
      <c r="FB78" s="29"/>
      <c r="FC78" s="240"/>
      <c r="FD78" s="109"/>
      <c r="FE78" s="92"/>
      <c r="FG78" s="92"/>
      <c r="FI78" s="109"/>
      <c r="FJ78" s="372"/>
      <c r="FK78" s="373"/>
      <c r="FL78" s="540"/>
      <c r="FM78" s="66"/>
      <c r="FN78" s="29" t="s">
        <v>324</v>
      </c>
      <c r="FO78" s="372" t="s">
        <v>340</v>
      </c>
      <c r="FP78" s="109" t="s">
        <v>354</v>
      </c>
      <c r="FQ78" s="92"/>
      <c r="FS78" s="92"/>
      <c r="FU78" s="109" t="s">
        <v>343</v>
      </c>
      <c r="FV78" s="242" t="s">
        <v>335</v>
      </c>
      <c r="FW78" s="373" t="s">
        <v>337</v>
      </c>
      <c r="FX78" s="540"/>
    </row>
    <row r="79">
      <c r="A79" s="540"/>
      <c r="B79" s="619"/>
      <c r="C79" s="619"/>
      <c r="D79" s="619"/>
      <c r="E79" s="619"/>
      <c r="F79" s="617"/>
      <c r="G79" s="618"/>
      <c r="H79" s="530"/>
      <c r="I79" s="530"/>
      <c r="J79" s="530"/>
      <c r="K79" s="540"/>
      <c r="L79" s="540"/>
      <c r="M79" s="55"/>
      <c r="N79" s="29" t="s">
        <v>328</v>
      </c>
      <c r="O79" s="372" t="s">
        <v>468</v>
      </c>
      <c r="P79" s="109" t="s">
        <v>385</v>
      </c>
      <c r="Q79" s="92"/>
      <c r="T79" s="55"/>
      <c r="U79" s="109" t="s">
        <v>374</v>
      </c>
      <c r="V79" s="372" t="s">
        <v>365</v>
      </c>
      <c r="W79" s="373" t="s">
        <v>337</v>
      </c>
      <c r="X79" s="540"/>
      <c r="Y79" s="66"/>
      <c r="Z79" s="29"/>
      <c r="AA79" s="565"/>
      <c r="AB79" s="109"/>
      <c r="AC79" s="92"/>
      <c r="AE79" s="92"/>
      <c r="AG79" s="109"/>
      <c r="AH79" s="565"/>
      <c r="AI79" s="373"/>
      <c r="AJ79" s="540"/>
      <c r="AK79" s="66"/>
      <c r="AL79" s="29" t="s">
        <v>343</v>
      </c>
      <c r="AM79" s="242" t="s">
        <v>349</v>
      </c>
      <c r="AN79" s="109" t="s">
        <v>414</v>
      </c>
      <c r="AO79" s="92"/>
      <c r="AQ79" s="92"/>
      <c r="AS79" s="109" t="s">
        <v>377</v>
      </c>
      <c r="AT79" s="242" t="s">
        <v>462</v>
      </c>
      <c r="AU79" s="373" t="s">
        <v>369</v>
      </c>
      <c r="AV79" s="540"/>
      <c r="AW79" s="66"/>
      <c r="AX79" s="29"/>
      <c r="AY79" s="566"/>
      <c r="AZ79" s="109"/>
      <c r="BA79" s="92"/>
      <c r="BC79" s="92"/>
      <c r="BE79" s="109"/>
      <c r="BF79" s="242"/>
      <c r="BG79" s="373"/>
      <c r="BH79" s="540"/>
      <c r="BI79" s="66"/>
      <c r="BJ79" s="29"/>
      <c r="BK79" s="242"/>
      <c r="BL79" s="109"/>
      <c r="BM79" s="92"/>
      <c r="BO79" s="92"/>
      <c r="BQ79" s="109"/>
      <c r="BR79" s="372"/>
      <c r="BS79" s="373"/>
      <c r="BT79" s="540"/>
      <c r="BU79" s="66"/>
      <c r="BV79" s="29"/>
      <c r="BW79" s="372"/>
      <c r="BX79" s="109"/>
      <c r="BY79" s="92"/>
      <c r="CA79" s="92"/>
      <c r="CC79" s="109"/>
      <c r="CD79" s="372"/>
      <c r="CE79" s="373"/>
      <c r="CF79" s="540"/>
      <c r="CG79" s="66"/>
      <c r="CH79" s="29"/>
      <c r="CI79" s="372"/>
      <c r="CJ79" s="109"/>
      <c r="CK79" s="92"/>
      <c r="CM79" s="92"/>
      <c r="CO79" s="109"/>
      <c r="CP79" s="372"/>
      <c r="CQ79" s="373"/>
      <c r="CR79" s="540"/>
      <c r="CS79" s="66"/>
      <c r="CT79" s="29"/>
      <c r="CU79" s="242"/>
      <c r="CV79" s="109"/>
      <c r="CW79" s="92"/>
      <c r="CY79" s="92"/>
      <c r="DA79" s="109"/>
      <c r="DB79" s="372"/>
      <c r="DC79" s="373"/>
      <c r="DD79" s="540"/>
      <c r="DE79" s="66"/>
      <c r="DF79" s="29"/>
      <c r="DG79" s="372"/>
      <c r="DH79" s="109"/>
      <c r="DI79" s="92"/>
      <c r="DK79" s="92"/>
      <c r="DM79" s="109"/>
      <c r="DN79" s="372"/>
      <c r="DO79" s="373"/>
      <c r="DP79" s="540"/>
      <c r="DQ79" s="66"/>
      <c r="DR79" s="29"/>
      <c r="DS79" s="566"/>
      <c r="DT79" s="109"/>
      <c r="DU79" s="92"/>
      <c r="DW79" s="92"/>
      <c r="DY79" s="109"/>
      <c r="DZ79" s="372"/>
      <c r="EA79" s="373"/>
      <c r="EB79" s="540"/>
      <c r="EC79" s="66"/>
      <c r="ED79" s="29" t="s">
        <v>19</v>
      </c>
      <c r="EE79" s="240" t="s">
        <v>336</v>
      </c>
      <c r="EF79" s="109" t="s">
        <v>380</v>
      </c>
      <c r="EG79" s="92"/>
      <c r="EI79" s="92"/>
      <c r="EK79" s="109" t="s">
        <v>362</v>
      </c>
      <c r="EL79" s="372" t="s">
        <v>340</v>
      </c>
      <c r="EM79" s="373" t="s">
        <v>341</v>
      </c>
      <c r="EN79" s="540"/>
      <c r="EO79" s="66"/>
      <c r="EP79" s="29"/>
      <c r="EQ79" s="240"/>
      <c r="ER79" s="109"/>
      <c r="ES79" s="92"/>
      <c r="EU79" s="92"/>
      <c r="EW79" s="109"/>
      <c r="EX79" s="372"/>
      <c r="EY79" s="373"/>
      <c r="EZ79" s="540"/>
      <c r="FA79" s="66"/>
      <c r="FB79" s="29"/>
      <c r="FC79" s="240"/>
      <c r="FD79" s="109"/>
      <c r="FE79" s="92"/>
      <c r="FG79" s="92"/>
      <c r="FI79" s="109"/>
      <c r="FJ79" s="372"/>
      <c r="FK79" s="373"/>
      <c r="FL79" s="540"/>
      <c r="FM79" s="66"/>
      <c r="FN79" s="29" t="s">
        <v>414</v>
      </c>
      <c r="FO79" s="372" t="s">
        <v>356</v>
      </c>
      <c r="FP79" s="109" t="s">
        <v>325</v>
      </c>
      <c r="FQ79" s="92"/>
      <c r="FS79" s="92"/>
      <c r="FU79" s="109" t="s">
        <v>380</v>
      </c>
      <c r="FV79" s="242" t="s">
        <v>381</v>
      </c>
      <c r="FW79" s="373" t="s">
        <v>332</v>
      </c>
      <c r="FX79" s="540"/>
    </row>
    <row r="80">
      <c r="A80" s="540"/>
      <c r="B80" s="619"/>
      <c r="C80" s="619"/>
      <c r="D80" s="619"/>
      <c r="E80" s="619"/>
      <c r="F80" s="617"/>
      <c r="G80" s="618"/>
      <c r="H80" s="530"/>
      <c r="I80" s="530"/>
      <c r="J80" s="530"/>
      <c r="K80" s="540"/>
      <c r="L80" s="540"/>
      <c r="M80" s="61"/>
      <c r="N80" s="394" t="s">
        <v>384</v>
      </c>
      <c r="O80" s="395" t="s">
        <v>462</v>
      </c>
      <c r="P80" s="132" t="s">
        <v>401</v>
      </c>
      <c r="Q80" s="93"/>
      <c r="T80" s="61"/>
      <c r="U80" s="132" t="s">
        <v>322</v>
      </c>
      <c r="V80" s="395" t="s">
        <v>381</v>
      </c>
      <c r="W80" s="396" t="s">
        <v>387</v>
      </c>
      <c r="X80" s="540"/>
      <c r="Y80" s="94"/>
      <c r="Z80" s="394"/>
      <c r="AA80" s="581"/>
      <c r="AB80" s="132"/>
      <c r="AC80" s="93"/>
      <c r="AE80" s="92"/>
      <c r="AF80" s="22"/>
      <c r="AG80" s="132"/>
      <c r="AH80" s="581"/>
      <c r="AI80" s="396"/>
      <c r="AJ80" s="540"/>
      <c r="AK80" s="94"/>
      <c r="AL80" s="394" t="s">
        <v>400</v>
      </c>
      <c r="AM80" s="254" t="s">
        <v>378</v>
      </c>
      <c r="AN80" s="132" t="s">
        <v>337</v>
      </c>
      <c r="AO80" s="93"/>
      <c r="AQ80" s="92"/>
      <c r="AR80" s="22"/>
      <c r="AS80" s="132" t="s">
        <v>747</v>
      </c>
      <c r="AT80" s="254" t="s">
        <v>576</v>
      </c>
      <c r="AU80" s="396" t="s">
        <v>396</v>
      </c>
      <c r="AV80" s="540"/>
      <c r="AW80" s="94"/>
      <c r="AX80" s="394"/>
      <c r="AY80" s="583"/>
      <c r="AZ80" s="132"/>
      <c r="BA80" s="93"/>
      <c r="BC80" s="92"/>
      <c r="BD80" s="22"/>
      <c r="BE80" s="132"/>
      <c r="BF80" s="254"/>
      <c r="BG80" s="396"/>
      <c r="BH80" s="540"/>
      <c r="BI80" s="94"/>
      <c r="BJ80" s="394"/>
      <c r="BK80" s="254"/>
      <c r="BL80" s="132"/>
      <c r="BM80" s="93"/>
      <c r="BO80" s="92"/>
      <c r="BP80" s="22"/>
      <c r="BQ80" s="132"/>
      <c r="BR80" s="395"/>
      <c r="BS80" s="396"/>
      <c r="BT80" s="540"/>
      <c r="BU80" s="94"/>
      <c r="BV80" s="394"/>
      <c r="BW80" s="395"/>
      <c r="BX80" s="132"/>
      <c r="BY80" s="93"/>
      <c r="CA80" s="92"/>
      <c r="CB80" s="22"/>
      <c r="CC80" s="132"/>
      <c r="CD80" s="395"/>
      <c r="CE80" s="396"/>
      <c r="CF80" s="540"/>
      <c r="CG80" s="94"/>
      <c r="CH80" s="394"/>
      <c r="CI80" s="395"/>
      <c r="CJ80" s="132"/>
      <c r="CK80" s="93"/>
      <c r="CM80" s="92"/>
      <c r="CN80" s="22"/>
      <c r="CO80" s="132"/>
      <c r="CP80" s="395"/>
      <c r="CQ80" s="396"/>
      <c r="CR80" s="540"/>
      <c r="CS80" s="94"/>
      <c r="CT80" s="394"/>
      <c r="CU80" s="254"/>
      <c r="CV80" s="132"/>
      <c r="CW80" s="93"/>
      <c r="CY80" s="92"/>
      <c r="CZ80" s="22"/>
      <c r="DA80" s="132"/>
      <c r="DB80" s="395"/>
      <c r="DC80" s="396"/>
      <c r="DD80" s="540"/>
      <c r="DE80" s="94"/>
      <c r="DF80" s="394"/>
      <c r="DG80" s="395"/>
      <c r="DH80" s="132"/>
      <c r="DI80" s="93"/>
      <c r="DJ80" s="22"/>
      <c r="DK80" s="93"/>
      <c r="DL80" s="22"/>
      <c r="DM80" s="132"/>
      <c r="DN80" s="395"/>
      <c r="DO80" s="396"/>
      <c r="DP80" s="540"/>
      <c r="DQ80" s="94"/>
      <c r="DR80" s="394"/>
      <c r="DS80" s="583"/>
      <c r="DT80" s="132"/>
      <c r="DU80" s="93"/>
      <c r="DW80" s="92"/>
      <c r="DX80" s="22"/>
      <c r="DY80" s="132"/>
      <c r="DZ80" s="395"/>
      <c r="EA80" s="396"/>
      <c r="EB80" s="540"/>
      <c r="EC80" s="94"/>
      <c r="ED80" s="394" t="s">
        <v>348</v>
      </c>
      <c r="EE80" s="252" t="s">
        <v>383</v>
      </c>
      <c r="EF80" s="132" t="s">
        <v>322</v>
      </c>
      <c r="EG80" s="93"/>
      <c r="EI80" s="92"/>
      <c r="EJ80" s="22"/>
      <c r="EK80" s="132" t="s">
        <v>324</v>
      </c>
      <c r="EL80" s="395" t="s">
        <v>397</v>
      </c>
      <c r="EM80" s="396" t="s">
        <v>368</v>
      </c>
      <c r="EN80" s="540"/>
      <c r="EO80" s="94"/>
      <c r="EP80" s="394"/>
      <c r="EQ80" s="392"/>
      <c r="ER80" s="132"/>
      <c r="ES80" s="93"/>
      <c r="EU80" s="92"/>
      <c r="EV80" s="22"/>
      <c r="EW80" s="132"/>
      <c r="EX80" s="395"/>
      <c r="EY80" s="396"/>
      <c r="EZ80" s="540"/>
      <c r="FA80" s="94"/>
      <c r="FB80" s="394"/>
      <c r="FC80" s="252"/>
      <c r="FD80" s="132"/>
      <c r="FE80" s="93"/>
      <c r="FG80" s="92"/>
      <c r="FH80" s="22"/>
      <c r="FI80" s="132"/>
      <c r="FJ80" s="395"/>
      <c r="FK80" s="396"/>
      <c r="FL80" s="540"/>
      <c r="FM80" s="94"/>
      <c r="FN80" s="394" t="s">
        <v>377</v>
      </c>
      <c r="FO80" s="395" t="s">
        <v>386</v>
      </c>
      <c r="FP80" s="132" t="s">
        <v>328</v>
      </c>
      <c r="FQ80" s="93"/>
      <c r="FS80" s="92"/>
      <c r="FT80" s="22"/>
      <c r="FU80" s="132" t="s">
        <v>395</v>
      </c>
      <c r="FV80" s="254" t="s">
        <v>393</v>
      </c>
      <c r="FW80" s="396" t="s">
        <v>361</v>
      </c>
      <c r="FX80" s="540"/>
    </row>
    <row r="81">
      <c r="A81" s="540"/>
      <c r="B81" s="619"/>
      <c r="C81" s="619"/>
      <c r="D81" s="619"/>
      <c r="E81" s="619"/>
      <c r="F81" s="617"/>
      <c r="G81" s="618"/>
      <c r="H81" s="530"/>
      <c r="I81" s="530"/>
      <c r="J81" s="530"/>
      <c r="K81" s="540"/>
      <c r="L81" s="540"/>
      <c r="M81" s="586"/>
      <c r="N81" s="586"/>
      <c r="O81" s="586"/>
      <c r="P81" s="586"/>
      <c r="Q81" s="550"/>
      <c r="R81" s="399">
        <f t="shared" ref="R81:S81" si="115">COUNTIF(R66:R80, "W")</f>
        <v>1</v>
      </c>
      <c r="S81" s="400">
        <f t="shared" si="115"/>
        <v>2</v>
      </c>
      <c r="T81" s="550"/>
      <c r="U81" s="586"/>
      <c r="V81" s="586"/>
      <c r="W81" s="586"/>
      <c r="X81" s="540"/>
      <c r="Y81" s="586"/>
      <c r="Z81" s="586"/>
      <c r="AA81" s="586"/>
      <c r="AB81" s="586"/>
      <c r="AC81" s="550"/>
      <c r="AD81" s="399">
        <f t="shared" ref="AD81:AE81" si="116">COUNTIF(AD66:AD80, "W")</f>
        <v>2</v>
      </c>
      <c r="AE81" s="400">
        <f t="shared" si="116"/>
        <v>0</v>
      </c>
      <c r="AF81" s="550"/>
      <c r="AG81" s="586"/>
      <c r="AH81" s="586"/>
      <c r="AI81" s="586"/>
      <c r="AJ81" s="540"/>
      <c r="AK81" s="586"/>
      <c r="AL81" s="586"/>
      <c r="AM81" s="586"/>
      <c r="AN81" s="586"/>
      <c r="AO81" s="550"/>
      <c r="AP81" s="399">
        <f t="shared" ref="AP81:AQ81" si="117">COUNTIF(AP66:AP80, "W")</f>
        <v>2</v>
      </c>
      <c r="AQ81" s="400">
        <f t="shared" si="117"/>
        <v>1</v>
      </c>
      <c r="AR81" s="550"/>
      <c r="AS81" s="586"/>
      <c r="AT81" s="586"/>
      <c r="AU81" s="586"/>
      <c r="AV81" s="540"/>
      <c r="AW81" s="586"/>
      <c r="AX81" s="586"/>
      <c r="AY81" s="586"/>
      <c r="AZ81" s="586"/>
      <c r="BA81" s="550"/>
      <c r="BB81" s="399">
        <f t="shared" ref="BB81:BC81" si="118">COUNTIF(BB66:BB80, "W")</f>
        <v>2</v>
      </c>
      <c r="BC81" s="400">
        <f t="shared" si="118"/>
        <v>0</v>
      </c>
      <c r="BD81" s="550"/>
      <c r="BE81" s="586"/>
      <c r="BF81" s="586"/>
      <c r="BG81" s="586"/>
      <c r="BH81" s="540"/>
      <c r="BI81" s="586"/>
      <c r="BJ81" s="586"/>
      <c r="BK81" s="586"/>
      <c r="BL81" s="586"/>
      <c r="BM81" s="550"/>
      <c r="BN81" s="399">
        <f t="shared" ref="BN81:BO81" si="119">COUNTIF(BN66:BN80, "W")</f>
        <v>0</v>
      </c>
      <c r="BO81" s="400">
        <f t="shared" si="119"/>
        <v>2</v>
      </c>
      <c r="BP81" s="550"/>
      <c r="BQ81" s="586"/>
      <c r="BR81" s="586"/>
      <c r="BS81" s="586"/>
      <c r="BT81" s="540"/>
      <c r="BU81" s="586"/>
      <c r="BV81" s="586"/>
      <c r="BW81" s="586"/>
      <c r="BX81" s="586"/>
      <c r="BY81" s="550"/>
      <c r="BZ81" s="399">
        <f t="shared" ref="BZ81:CA81" si="120">COUNTIF(BZ66:BZ80, "W")</f>
        <v>2</v>
      </c>
      <c r="CA81" s="400">
        <f t="shared" si="120"/>
        <v>0</v>
      </c>
      <c r="CB81" s="550"/>
      <c r="CC81" s="586"/>
      <c r="CD81" s="586"/>
      <c r="CE81" s="586"/>
      <c r="CF81" s="540"/>
      <c r="CG81" s="586"/>
      <c r="CH81" s="586"/>
      <c r="CI81" s="586"/>
      <c r="CJ81" s="586"/>
      <c r="CK81" s="550"/>
      <c r="CL81" s="399">
        <f t="shared" ref="CL81:CM81" si="121">COUNTIF(CL66:CL80, "W")</f>
        <v>2</v>
      </c>
      <c r="CM81" s="400">
        <f t="shared" si="121"/>
        <v>0</v>
      </c>
      <c r="CN81" s="550"/>
      <c r="CO81" s="586"/>
      <c r="CP81" s="586"/>
      <c r="CQ81" s="586"/>
      <c r="CR81" s="540"/>
      <c r="CS81" s="586"/>
      <c r="CT81" s="586"/>
      <c r="CU81" s="586"/>
      <c r="CV81" s="586"/>
      <c r="CW81" s="550"/>
      <c r="CX81" s="399">
        <f t="shared" ref="CX81:CY81" si="122">COUNTIF(CX66:CX80, "W")</f>
        <v>2</v>
      </c>
      <c r="CY81" s="400">
        <f t="shared" si="122"/>
        <v>0</v>
      </c>
      <c r="CZ81" s="550"/>
      <c r="DA81" s="586"/>
      <c r="DB81" s="586"/>
      <c r="DC81" s="586"/>
      <c r="DD81" s="540"/>
      <c r="DE81" s="586"/>
      <c r="DF81" s="586"/>
      <c r="DG81" s="586"/>
      <c r="DH81" s="586"/>
      <c r="DI81" s="550"/>
      <c r="DJ81" s="399">
        <f t="shared" ref="DJ81:DK81" si="123">COUNTIF(DJ66:DJ80, "W")</f>
        <v>0</v>
      </c>
      <c r="DK81" s="400">
        <f t="shared" si="123"/>
        <v>2</v>
      </c>
      <c r="DL81" s="550"/>
      <c r="DM81" s="586"/>
      <c r="DN81" s="586"/>
      <c r="DO81" s="586"/>
      <c r="DP81" s="540"/>
      <c r="DQ81" s="586"/>
      <c r="DR81" s="586"/>
      <c r="DS81" s="586"/>
      <c r="DT81" s="586"/>
      <c r="DU81" s="550"/>
      <c r="DV81" s="399">
        <f t="shared" ref="DV81:DW81" si="124">COUNTIF(DV66:DV80, "W")</f>
        <v>2</v>
      </c>
      <c r="DW81" s="400">
        <f t="shared" si="124"/>
        <v>0</v>
      </c>
      <c r="DX81" s="550"/>
      <c r="DY81" s="586"/>
      <c r="DZ81" s="586"/>
      <c r="EA81" s="586"/>
      <c r="EB81" s="540"/>
      <c r="EC81" s="586"/>
      <c r="ED81" s="586"/>
      <c r="EE81" s="586"/>
      <c r="EF81" s="586"/>
      <c r="EG81" s="550"/>
      <c r="EH81" s="399">
        <f t="shared" ref="EH81:EI81" si="125">COUNTIF(EH66:EH80, "W")</f>
        <v>2</v>
      </c>
      <c r="EI81" s="400">
        <f t="shared" si="125"/>
        <v>1</v>
      </c>
      <c r="EJ81" s="550"/>
      <c r="EK81" s="586"/>
      <c r="EL81" s="586"/>
      <c r="EM81" s="586"/>
      <c r="EN81" s="540"/>
      <c r="EO81" s="586"/>
      <c r="EP81" s="586"/>
      <c r="EQ81" s="586"/>
      <c r="ER81" s="586"/>
      <c r="ES81" s="550"/>
      <c r="ET81" s="399">
        <f t="shared" ref="ET81:EU81" si="126">COUNTIF(ET66:ET80, "W")</f>
        <v>0</v>
      </c>
      <c r="EU81" s="400">
        <f t="shared" si="126"/>
        <v>2</v>
      </c>
      <c r="EV81" s="550"/>
      <c r="EW81" s="586"/>
      <c r="EX81" s="586"/>
      <c r="EY81" s="586"/>
      <c r="EZ81" s="540"/>
      <c r="FA81" s="586"/>
      <c r="FB81" s="586"/>
      <c r="FC81" s="586"/>
      <c r="FD81" s="586"/>
      <c r="FE81" s="550"/>
      <c r="FF81" s="399">
        <f t="shared" ref="FF81:FG81" si="127">COUNTIF(FF66:FF80, "W")</f>
        <v>2</v>
      </c>
      <c r="FG81" s="400">
        <f t="shared" si="127"/>
        <v>0</v>
      </c>
      <c r="FH81" s="550"/>
      <c r="FI81" s="586"/>
      <c r="FJ81" s="586"/>
      <c r="FK81" s="586"/>
      <c r="FL81" s="540"/>
      <c r="FM81" s="586"/>
      <c r="FN81" s="586"/>
      <c r="FO81" s="586"/>
      <c r="FP81" s="586"/>
      <c r="FQ81" s="550"/>
      <c r="FR81" s="399">
        <f t="shared" ref="FR81:FS81" si="128">COUNTIF(FR66:FR80, "W")</f>
        <v>2</v>
      </c>
      <c r="FS81" s="400">
        <f t="shared" si="128"/>
        <v>1</v>
      </c>
      <c r="FT81" s="550"/>
      <c r="FU81" s="586"/>
      <c r="FV81" s="586"/>
      <c r="FW81" s="586"/>
      <c r="FX81" s="540"/>
    </row>
  </sheetData>
  <autoFilter ref="$B$3:$K$11">
    <sortState ref="B3:K11">
      <sortCondition descending="1" ref="C3:C11"/>
    </sortState>
  </autoFilter>
  <mergeCells count="1142">
    <mergeCell ref="A1:K2"/>
    <mergeCell ref="R1:S1"/>
    <mergeCell ref="AD1:AE1"/>
    <mergeCell ref="AK1:AO1"/>
    <mergeCell ref="AP1:AQ1"/>
    <mergeCell ref="AR1:AU1"/>
    <mergeCell ref="AR2:AU2"/>
    <mergeCell ref="AF3:AI4"/>
    <mergeCell ref="AK3:AO4"/>
    <mergeCell ref="AP3:AQ4"/>
    <mergeCell ref="AR3:AU4"/>
    <mergeCell ref="AW1:BA1"/>
    <mergeCell ref="AW2:BA2"/>
    <mergeCell ref="AW3:BA4"/>
    <mergeCell ref="BB3:BC4"/>
    <mergeCell ref="BD3:BG4"/>
    <mergeCell ref="BI3:BM4"/>
    <mergeCell ref="BN3:BO4"/>
    <mergeCell ref="BP3:BS4"/>
    <mergeCell ref="BU3:BY4"/>
    <mergeCell ref="BZ3:CA4"/>
    <mergeCell ref="CB3:CE4"/>
    <mergeCell ref="CG3:CK4"/>
    <mergeCell ref="CL3:CM4"/>
    <mergeCell ref="CN3:CQ4"/>
    <mergeCell ref="CS3:CW4"/>
    <mergeCell ref="CX3:CY4"/>
    <mergeCell ref="CZ3:DC4"/>
    <mergeCell ref="DE3:DI4"/>
    <mergeCell ref="DJ3:DK4"/>
    <mergeCell ref="DL3:DO4"/>
    <mergeCell ref="DQ3:DU4"/>
    <mergeCell ref="EV3:EY4"/>
    <mergeCell ref="FA3:FE4"/>
    <mergeCell ref="FF3:FG4"/>
    <mergeCell ref="FH3:FK4"/>
    <mergeCell ref="FM3:FQ4"/>
    <mergeCell ref="FR3:FS4"/>
    <mergeCell ref="FT3:FW4"/>
    <mergeCell ref="DV3:DW4"/>
    <mergeCell ref="DX3:EA4"/>
    <mergeCell ref="EC3:EG4"/>
    <mergeCell ref="EH3:EI4"/>
    <mergeCell ref="EJ3:EM4"/>
    <mergeCell ref="EO3:ES4"/>
    <mergeCell ref="ET3:EU4"/>
    <mergeCell ref="EJ6:EJ10"/>
    <mergeCell ref="EO6:EO10"/>
    <mergeCell ref="DV6:DV10"/>
    <mergeCell ref="DW6:DW10"/>
    <mergeCell ref="DX6:DX10"/>
    <mergeCell ref="EC6:EC10"/>
    <mergeCell ref="EG6:EG10"/>
    <mergeCell ref="EH6:EH10"/>
    <mergeCell ref="EI6:EI10"/>
    <mergeCell ref="FG6:FG10"/>
    <mergeCell ref="FH6:FH10"/>
    <mergeCell ref="ES6:ES10"/>
    <mergeCell ref="ET6:ET10"/>
    <mergeCell ref="EU6:EU10"/>
    <mergeCell ref="EV6:EV10"/>
    <mergeCell ref="FA6:FA10"/>
    <mergeCell ref="FE6:FE10"/>
    <mergeCell ref="FF6:FF10"/>
    <mergeCell ref="AD3:AE4"/>
    <mergeCell ref="AD5:AE5"/>
    <mergeCell ref="AP5:AQ5"/>
    <mergeCell ref="BB5:BC5"/>
    <mergeCell ref="BN5:BO5"/>
    <mergeCell ref="BZ5:CA5"/>
    <mergeCell ref="CL5:CM5"/>
    <mergeCell ref="R5:S5"/>
    <mergeCell ref="Q6:Q10"/>
    <mergeCell ref="R6:R10"/>
    <mergeCell ref="S6:S10"/>
    <mergeCell ref="T6:T10"/>
    <mergeCell ref="Y6:Y10"/>
    <mergeCell ref="T2:W2"/>
    <mergeCell ref="Y2:AC2"/>
    <mergeCell ref="M3:Q4"/>
    <mergeCell ref="R3:S4"/>
    <mergeCell ref="T3:W4"/>
    <mergeCell ref="Y3:AC4"/>
    <mergeCell ref="M6:M10"/>
    <mergeCell ref="AC6:AC10"/>
    <mergeCell ref="AD6:AD10"/>
    <mergeCell ref="AE6:AE10"/>
    <mergeCell ref="AF6:AF10"/>
    <mergeCell ref="AK6:AK10"/>
    <mergeCell ref="AO6:AO10"/>
    <mergeCell ref="AP6:AP10"/>
    <mergeCell ref="AQ6:AQ10"/>
    <mergeCell ref="AR6:AR10"/>
    <mergeCell ref="AW6:AW10"/>
    <mergeCell ref="BA6:BA10"/>
    <mergeCell ref="BB6:BB10"/>
    <mergeCell ref="BC6:BC10"/>
    <mergeCell ref="BD6:BD10"/>
    <mergeCell ref="FR5:FS5"/>
    <mergeCell ref="FQ6:FQ10"/>
    <mergeCell ref="FR6:FR10"/>
    <mergeCell ref="FS6:FS10"/>
    <mergeCell ref="FT6:FT10"/>
    <mergeCell ref="CX5:CY5"/>
    <mergeCell ref="DJ5:DK5"/>
    <mergeCell ref="DV5:DW5"/>
    <mergeCell ref="EH5:EI5"/>
    <mergeCell ref="ET5:EU5"/>
    <mergeCell ref="FF5:FG5"/>
    <mergeCell ref="FM6:FM10"/>
    <mergeCell ref="CX2:CY2"/>
    <mergeCell ref="CZ2:DC2"/>
    <mergeCell ref="BU2:BY2"/>
    <mergeCell ref="BZ2:CA2"/>
    <mergeCell ref="CB2:CE2"/>
    <mergeCell ref="CG2:CK2"/>
    <mergeCell ref="CL2:CM2"/>
    <mergeCell ref="CN2:CQ2"/>
    <mergeCell ref="CS2:CW2"/>
    <mergeCell ref="EH2:EI2"/>
    <mergeCell ref="EJ2:EM2"/>
    <mergeCell ref="DE2:DI2"/>
    <mergeCell ref="DJ2:DK2"/>
    <mergeCell ref="DL2:DO2"/>
    <mergeCell ref="DQ2:DU2"/>
    <mergeCell ref="DV2:DW2"/>
    <mergeCell ref="DX2:EA2"/>
    <mergeCell ref="EC2:EG2"/>
    <mergeCell ref="FR2:FS2"/>
    <mergeCell ref="FT2:FW2"/>
    <mergeCell ref="EO2:ES2"/>
    <mergeCell ref="ET2:EU2"/>
    <mergeCell ref="EV2:EY2"/>
    <mergeCell ref="FA2:FE2"/>
    <mergeCell ref="FF2:FG2"/>
    <mergeCell ref="FH2:FK2"/>
    <mergeCell ref="FM2:FQ2"/>
    <mergeCell ref="BB1:BC1"/>
    <mergeCell ref="BD1:BG1"/>
    <mergeCell ref="BI1:BM1"/>
    <mergeCell ref="BN1:BO1"/>
    <mergeCell ref="BP1:BS1"/>
    <mergeCell ref="BU1:BY1"/>
    <mergeCell ref="BZ1:CA1"/>
    <mergeCell ref="CB1:CE1"/>
    <mergeCell ref="CG1:CK1"/>
    <mergeCell ref="CL1:CM1"/>
    <mergeCell ref="CN1:CQ1"/>
    <mergeCell ref="CX1:CY1"/>
    <mergeCell ref="DJ1:DK1"/>
    <mergeCell ref="DQ1:DU1"/>
    <mergeCell ref="EV1:EY1"/>
    <mergeCell ref="FA1:FE1"/>
    <mergeCell ref="FF1:FG1"/>
    <mergeCell ref="FH1:FK1"/>
    <mergeCell ref="FM1:FQ1"/>
    <mergeCell ref="FR1:FS1"/>
    <mergeCell ref="FT1:FW1"/>
    <mergeCell ref="M2:Q2"/>
    <mergeCell ref="R2:S2"/>
    <mergeCell ref="AD2:AE2"/>
    <mergeCell ref="AF2:AI2"/>
    <mergeCell ref="AK2:AO2"/>
    <mergeCell ref="AP2:AQ2"/>
    <mergeCell ref="BB2:BC2"/>
    <mergeCell ref="BD2:BG2"/>
    <mergeCell ref="BI2:BM2"/>
    <mergeCell ref="BN2:BO2"/>
    <mergeCell ref="BP2:BS2"/>
    <mergeCell ref="DV1:DW1"/>
    <mergeCell ref="DX1:EA1"/>
    <mergeCell ref="EC1:EG1"/>
    <mergeCell ref="EH1:EI1"/>
    <mergeCell ref="EJ1:EM1"/>
    <mergeCell ref="EO1:ES1"/>
    <mergeCell ref="ET1:EU1"/>
    <mergeCell ref="DQ6:DQ10"/>
    <mergeCell ref="DU6:DU10"/>
    <mergeCell ref="CY6:CY10"/>
    <mergeCell ref="CZ6:CZ10"/>
    <mergeCell ref="DE6:DE10"/>
    <mergeCell ref="DI6:DI10"/>
    <mergeCell ref="DJ6:DJ10"/>
    <mergeCell ref="DK6:DK10"/>
    <mergeCell ref="DL6:DL10"/>
    <mergeCell ref="CY16:CY20"/>
    <mergeCell ref="CZ16:CZ20"/>
    <mergeCell ref="DE16:DE20"/>
    <mergeCell ref="DI16:DI20"/>
    <mergeCell ref="DJ16:DJ20"/>
    <mergeCell ref="DK16:DK20"/>
    <mergeCell ref="DL16:DL20"/>
    <mergeCell ref="DQ16:DQ20"/>
    <mergeCell ref="DU16:DU20"/>
    <mergeCell ref="DV16:DV20"/>
    <mergeCell ref="DW16:DW20"/>
    <mergeCell ref="DX16:DX20"/>
    <mergeCell ref="EC16:EC20"/>
    <mergeCell ref="EG16:EG20"/>
    <mergeCell ref="EH16:EH20"/>
    <mergeCell ref="EI16:EI20"/>
    <mergeCell ref="EJ16:EJ20"/>
    <mergeCell ref="EO16:EO20"/>
    <mergeCell ref="ES16:ES20"/>
    <mergeCell ref="ET16:ET20"/>
    <mergeCell ref="EU16:EU20"/>
    <mergeCell ref="FQ16:FQ20"/>
    <mergeCell ref="FR16:FR20"/>
    <mergeCell ref="FS16:FS20"/>
    <mergeCell ref="FT16:FT20"/>
    <mergeCell ref="EV16:EV20"/>
    <mergeCell ref="FA16:FA20"/>
    <mergeCell ref="FE16:FE20"/>
    <mergeCell ref="FF16:FF20"/>
    <mergeCell ref="FG16:FG20"/>
    <mergeCell ref="FH16:FH20"/>
    <mergeCell ref="FM16:FM20"/>
    <mergeCell ref="CS11:CS15"/>
    <mergeCell ref="CW11:CW15"/>
    <mergeCell ref="CX11:CX15"/>
    <mergeCell ref="CY11:CY15"/>
    <mergeCell ref="CZ11:CZ15"/>
    <mergeCell ref="DE11:DE15"/>
    <mergeCell ref="DI11:DI15"/>
    <mergeCell ref="DJ11:DJ15"/>
    <mergeCell ref="DK11:DK15"/>
    <mergeCell ref="DL11:DL15"/>
    <mergeCell ref="DQ11:DQ15"/>
    <mergeCell ref="DU11:DU15"/>
    <mergeCell ref="DV11:DV15"/>
    <mergeCell ref="DW11:DW15"/>
    <mergeCell ref="DX11:DX15"/>
    <mergeCell ref="EC11:EC15"/>
    <mergeCell ref="EG11:EG15"/>
    <mergeCell ref="EH11:EH15"/>
    <mergeCell ref="EI11:EI15"/>
    <mergeCell ref="EJ11:EJ15"/>
    <mergeCell ref="EO11:EO15"/>
    <mergeCell ref="FG11:FG15"/>
    <mergeCell ref="FH11:FH15"/>
    <mergeCell ref="FM11:FM15"/>
    <mergeCell ref="FQ11:FQ15"/>
    <mergeCell ref="FR11:FR15"/>
    <mergeCell ref="FS11:FS15"/>
    <mergeCell ref="FT11:FT15"/>
    <mergeCell ref="ES11:ES15"/>
    <mergeCell ref="ET11:ET15"/>
    <mergeCell ref="EU11:EU15"/>
    <mergeCell ref="EV11:EV15"/>
    <mergeCell ref="FA11:FA15"/>
    <mergeCell ref="FE11:FE15"/>
    <mergeCell ref="FF11:FF15"/>
    <mergeCell ref="Q11:Q15"/>
    <mergeCell ref="R11:R15"/>
    <mergeCell ref="S11:S15"/>
    <mergeCell ref="T11:T15"/>
    <mergeCell ref="Y11:Y15"/>
    <mergeCell ref="AC11:AC15"/>
    <mergeCell ref="A13:J13"/>
    <mergeCell ref="M11:M15"/>
    <mergeCell ref="M16:M20"/>
    <mergeCell ref="Q16:Q20"/>
    <mergeCell ref="R16:R20"/>
    <mergeCell ref="S16:S20"/>
    <mergeCell ref="T16:T20"/>
    <mergeCell ref="Y16:Y20"/>
    <mergeCell ref="CW6:CW10"/>
    <mergeCell ref="CX6:CX10"/>
    <mergeCell ref="CB6:CB10"/>
    <mergeCell ref="CG6:CG10"/>
    <mergeCell ref="CK6:CK10"/>
    <mergeCell ref="CL6:CL10"/>
    <mergeCell ref="CM6:CM10"/>
    <mergeCell ref="CN6:CN10"/>
    <mergeCell ref="CS6:CS10"/>
    <mergeCell ref="CN16:CN20"/>
    <mergeCell ref="CS16:CS20"/>
    <mergeCell ref="CW16:CW20"/>
    <mergeCell ref="CX16:CX20"/>
    <mergeCell ref="BZ16:BZ20"/>
    <mergeCell ref="CA16:CA20"/>
    <mergeCell ref="CB16:CB20"/>
    <mergeCell ref="CG16:CG20"/>
    <mergeCell ref="CK16:CK20"/>
    <mergeCell ref="CL16:CL20"/>
    <mergeCell ref="CM16:CM20"/>
    <mergeCell ref="BZ6:BZ10"/>
    <mergeCell ref="CA6:CA10"/>
    <mergeCell ref="BI6:BI10"/>
    <mergeCell ref="BM6:BM10"/>
    <mergeCell ref="BN6:BN10"/>
    <mergeCell ref="BO6:BO10"/>
    <mergeCell ref="BP6:BP10"/>
    <mergeCell ref="BU6:BU10"/>
    <mergeCell ref="BY6:BY10"/>
    <mergeCell ref="AD11:AD15"/>
    <mergeCell ref="AE11:AE15"/>
    <mergeCell ref="AF11:AF15"/>
    <mergeCell ref="AK11:AK15"/>
    <mergeCell ref="AO11:AO15"/>
    <mergeCell ref="AP11:AP15"/>
    <mergeCell ref="AQ11:AQ15"/>
    <mergeCell ref="AR11:AR15"/>
    <mergeCell ref="AW11:AW15"/>
    <mergeCell ref="BA11:BA15"/>
    <mergeCell ref="BB11:BB15"/>
    <mergeCell ref="BC11:BC15"/>
    <mergeCell ref="BD11:BD15"/>
    <mergeCell ref="BI11:BI15"/>
    <mergeCell ref="BM11:BM15"/>
    <mergeCell ref="BN11:BN15"/>
    <mergeCell ref="BO11:BO15"/>
    <mergeCell ref="BP11:BP15"/>
    <mergeCell ref="BU11:BU15"/>
    <mergeCell ref="BY11:BY15"/>
    <mergeCell ref="BZ11:BZ15"/>
    <mergeCell ref="CA11:CA15"/>
    <mergeCell ref="CB11:CB15"/>
    <mergeCell ref="CG11:CG15"/>
    <mergeCell ref="CK11:CK15"/>
    <mergeCell ref="CL11:CL15"/>
    <mergeCell ref="CM11:CM15"/>
    <mergeCell ref="CN11:CN15"/>
    <mergeCell ref="BI16:BI20"/>
    <mergeCell ref="BM16:BM20"/>
    <mergeCell ref="BN16:BN20"/>
    <mergeCell ref="BO16:BO20"/>
    <mergeCell ref="BP16:BP20"/>
    <mergeCell ref="BU16:BU20"/>
    <mergeCell ref="BY16:BY20"/>
    <mergeCell ref="AQ16:AQ20"/>
    <mergeCell ref="AR16:AR20"/>
    <mergeCell ref="AW16:AW20"/>
    <mergeCell ref="BA16:BA20"/>
    <mergeCell ref="BB16:BB20"/>
    <mergeCell ref="BC16:BC20"/>
    <mergeCell ref="BD16:BD20"/>
    <mergeCell ref="AC16:AC20"/>
    <mergeCell ref="AD16:AD20"/>
    <mergeCell ref="AE16:AE20"/>
    <mergeCell ref="AF16:AF20"/>
    <mergeCell ref="AK16:AK20"/>
    <mergeCell ref="AO16:AO20"/>
    <mergeCell ref="AP16:AP20"/>
    <mergeCell ref="AP23:AQ24"/>
    <mergeCell ref="AR23:AU24"/>
    <mergeCell ref="AW23:BA24"/>
    <mergeCell ref="BB23:BC24"/>
    <mergeCell ref="BD23:BG24"/>
    <mergeCell ref="BI23:BM24"/>
    <mergeCell ref="BN23:BO24"/>
    <mergeCell ref="BP23:BS24"/>
    <mergeCell ref="BU23:BY24"/>
    <mergeCell ref="BZ23:CA24"/>
    <mergeCell ref="CB23:CE24"/>
    <mergeCell ref="CG23:CK24"/>
    <mergeCell ref="CL23:CM24"/>
    <mergeCell ref="CN23:CQ24"/>
    <mergeCell ref="CS23:CW24"/>
    <mergeCell ref="CX23:CY24"/>
    <mergeCell ref="CZ23:DC24"/>
    <mergeCell ref="DE23:DI24"/>
    <mergeCell ref="DJ23:DK24"/>
    <mergeCell ref="DL23:DO24"/>
    <mergeCell ref="DQ23:DU24"/>
    <mergeCell ref="EV23:EY24"/>
    <mergeCell ref="FA23:FE24"/>
    <mergeCell ref="FF23:FG24"/>
    <mergeCell ref="FH23:FK24"/>
    <mergeCell ref="FM23:FQ24"/>
    <mergeCell ref="FR23:FS24"/>
    <mergeCell ref="FT23:FW24"/>
    <mergeCell ref="DV23:DW24"/>
    <mergeCell ref="DX23:EA24"/>
    <mergeCell ref="EC23:EG24"/>
    <mergeCell ref="EH23:EI24"/>
    <mergeCell ref="EJ23:EM24"/>
    <mergeCell ref="EO23:ES24"/>
    <mergeCell ref="ET23:EU24"/>
    <mergeCell ref="BP26:BP30"/>
    <mergeCell ref="BU26:BU30"/>
    <mergeCell ref="BB26:BB30"/>
    <mergeCell ref="BC26:BC30"/>
    <mergeCell ref="BD26:BD30"/>
    <mergeCell ref="BI26:BI30"/>
    <mergeCell ref="BM26:BM30"/>
    <mergeCell ref="BN26:BN30"/>
    <mergeCell ref="BO26:BO30"/>
    <mergeCell ref="CM26:CM30"/>
    <mergeCell ref="CN26:CN30"/>
    <mergeCell ref="BY26:BY30"/>
    <mergeCell ref="BZ26:BZ30"/>
    <mergeCell ref="CA26:CA30"/>
    <mergeCell ref="CB26:CB30"/>
    <mergeCell ref="CG26:CG30"/>
    <mergeCell ref="CK26:CK30"/>
    <mergeCell ref="CL26:CL30"/>
    <mergeCell ref="DJ26:DJ30"/>
    <mergeCell ref="DK26:DK30"/>
    <mergeCell ref="FT26:FT30"/>
    <mergeCell ref="CS26:CS30"/>
    <mergeCell ref="CW26:CW30"/>
    <mergeCell ref="CX26:CX30"/>
    <mergeCell ref="CY26:CY30"/>
    <mergeCell ref="CZ26:CZ30"/>
    <mergeCell ref="DE26:DE30"/>
    <mergeCell ref="DI26:DI30"/>
    <mergeCell ref="FH26:FH30"/>
    <mergeCell ref="FM26:FM30"/>
    <mergeCell ref="DV25:DW25"/>
    <mergeCell ref="ET25:EU25"/>
    <mergeCell ref="FR25:FS25"/>
    <mergeCell ref="DL26:DL30"/>
    <mergeCell ref="DQ26:DQ30"/>
    <mergeCell ref="EC26:EC30"/>
    <mergeCell ref="FA26:FA30"/>
    <mergeCell ref="FS26:FS30"/>
    <mergeCell ref="DW26:DW30"/>
    <mergeCell ref="DX26:DX30"/>
    <mergeCell ref="EH25:EI25"/>
    <mergeCell ref="EG26:EG30"/>
    <mergeCell ref="EH26:EH30"/>
    <mergeCell ref="EI26:EI30"/>
    <mergeCell ref="EJ26:EJ30"/>
    <mergeCell ref="EO26:EO30"/>
    <mergeCell ref="ES26:ES30"/>
    <mergeCell ref="ET26:ET30"/>
    <mergeCell ref="EU26:EU30"/>
    <mergeCell ref="EV26:EV30"/>
    <mergeCell ref="FF25:FG25"/>
    <mergeCell ref="FE26:FE30"/>
    <mergeCell ref="FF26:FF30"/>
    <mergeCell ref="FG26:FG30"/>
    <mergeCell ref="FQ26:FQ30"/>
    <mergeCell ref="FR26:FR30"/>
    <mergeCell ref="DE31:DE35"/>
    <mergeCell ref="DI31:DI35"/>
    <mergeCell ref="DJ31:DJ35"/>
    <mergeCell ref="DK31:DK35"/>
    <mergeCell ref="DL31:DL35"/>
    <mergeCell ref="DQ31:DQ35"/>
    <mergeCell ref="DU31:DU35"/>
    <mergeCell ref="DV31:DV35"/>
    <mergeCell ref="DW31:DW35"/>
    <mergeCell ref="DX31:DX35"/>
    <mergeCell ref="EC31:EC35"/>
    <mergeCell ref="EG31:EG35"/>
    <mergeCell ref="EH31:EH35"/>
    <mergeCell ref="EI31:EI35"/>
    <mergeCell ref="EJ31:EJ35"/>
    <mergeCell ref="EO31:EO35"/>
    <mergeCell ref="ES31:ES35"/>
    <mergeCell ref="ET31:ET35"/>
    <mergeCell ref="EU31:EU35"/>
    <mergeCell ref="EV31:EV35"/>
    <mergeCell ref="FA31:FA35"/>
    <mergeCell ref="FS31:FS35"/>
    <mergeCell ref="FT31:FT35"/>
    <mergeCell ref="FE31:FE35"/>
    <mergeCell ref="FF31:FF35"/>
    <mergeCell ref="FG31:FG35"/>
    <mergeCell ref="FH31:FH35"/>
    <mergeCell ref="FM31:FM35"/>
    <mergeCell ref="FQ31:FQ35"/>
    <mergeCell ref="FR31:FR35"/>
    <mergeCell ref="R36:R40"/>
    <mergeCell ref="S36:S40"/>
    <mergeCell ref="Y26:Y30"/>
    <mergeCell ref="Y36:Y40"/>
    <mergeCell ref="T26:T30"/>
    <mergeCell ref="M31:M35"/>
    <mergeCell ref="R31:R35"/>
    <mergeCell ref="S31:S35"/>
    <mergeCell ref="T31:T35"/>
    <mergeCell ref="M36:M40"/>
    <mergeCell ref="T36:T40"/>
    <mergeCell ref="AQ36:AQ40"/>
    <mergeCell ref="AR36:AR40"/>
    <mergeCell ref="AC36:AC40"/>
    <mergeCell ref="AD36:AD40"/>
    <mergeCell ref="AE36:AE40"/>
    <mergeCell ref="AF36:AF40"/>
    <mergeCell ref="AK36:AK40"/>
    <mergeCell ref="AO36:AO40"/>
    <mergeCell ref="AP36:AP40"/>
    <mergeCell ref="BB36:BB40"/>
    <mergeCell ref="BC36:BC40"/>
    <mergeCell ref="AP31:AP35"/>
    <mergeCell ref="AQ31:AQ35"/>
    <mergeCell ref="AR31:AR35"/>
    <mergeCell ref="AW31:AW35"/>
    <mergeCell ref="BB31:BB35"/>
    <mergeCell ref="BC31:BC35"/>
    <mergeCell ref="AW36:AW40"/>
    <mergeCell ref="BP36:BP40"/>
    <mergeCell ref="BU36:BU40"/>
    <mergeCell ref="BY36:BY40"/>
    <mergeCell ref="BZ36:BZ40"/>
    <mergeCell ref="CA36:CA40"/>
    <mergeCell ref="CB36:CB40"/>
    <mergeCell ref="CG36:CG40"/>
    <mergeCell ref="CK36:CK40"/>
    <mergeCell ref="CL36:CL40"/>
    <mergeCell ref="DW36:DW40"/>
    <mergeCell ref="DX36:DX40"/>
    <mergeCell ref="EC36:EC40"/>
    <mergeCell ref="EG36:EG40"/>
    <mergeCell ref="EH36:EH40"/>
    <mergeCell ref="EI36:EI40"/>
    <mergeCell ref="EJ36:EJ40"/>
    <mergeCell ref="EO36:EO40"/>
    <mergeCell ref="ES36:ES40"/>
    <mergeCell ref="ET36:ET40"/>
    <mergeCell ref="EU36:EU40"/>
    <mergeCell ref="EV36:EV40"/>
    <mergeCell ref="FR36:FR40"/>
    <mergeCell ref="FS36:FS40"/>
    <mergeCell ref="FT36:FT40"/>
    <mergeCell ref="FA36:FA40"/>
    <mergeCell ref="FE36:FE40"/>
    <mergeCell ref="FF36:FF40"/>
    <mergeCell ref="FG36:FG40"/>
    <mergeCell ref="FH36:FH40"/>
    <mergeCell ref="FM36:FM40"/>
    <mergeCell ref="FQ36:FQ40"/>
    <mergeCell ref="AD23:AE24"/>
    <mergeCell ref="AD25:AE25"/>
    <mergeCell ref="AP25:AQ25"/>
    <mergeCell ref="BB25:BC25"/>
    <mergeCell ref="BN25:BO25"/>
    <mergeCell ref="BZ25:CA25"/>
    <mergeCell ref="CL25:CM25"/>
    <mergeCell ref="CX25:CY25"/>
    <mergeCell ref="DJ25:DK25"/>
    <mergeCell ref="R25:S25"/>
    <mergeCell ref="Q26:Q30"/>
    <mergeCell ref="R26:R30"/>
    <mergeCell ref="S26:S30"/>
    <mergeCell ref="AC26:AC30"/>
    <mergeCell ref="AD26:AD30"/>
    <mergeCell ref="AE26:AE30"/>
    <mergeCell ref="AF26:AF30"/>
    <mergeCell ref="AK26:AK30"/>
    <mergeCell ref="AO26:AO30"/>
    <mergeCell ref="AP26:AP30"/>
    <mergeCell ref="AQ26:AQ30"/>
    <mergeCell ref="AR26:AR30"/>
    <mergeCell ref="AW26:AW30"/>
    <mergeCell ref="BA26:BA30"/>
    <mergeCell ref="DU26:DU30"/>
    <mergeCell ref="DV26:DV30"/>
    <mergeCell ref="CM31:CM35"/>
    <mergeCell ref="CN31:CN35"/>
    <mergeCell ref="CS31:CS35"/>
    <mergeCell ref="CW31:CW35"/>
    <mergeCell ref="CX31:CX35"/>
    <mergeCell ref="CY31:CY35"/>
    <mergeCell ref="CZ31:CZ35"/>
    <mergeCell ref="CM36:CM40"/>
    <mergeCell ref="CN36:CN40"/>
    <mergeCell ref="CS36:CS40"/>
    <mergeCell ref="CW36:CW40"/>
    <mergeCell ref="CX36:CX40"/>
    <mergeCell ref="CY36:CY40"/>
    <mergeCell ref="CZ36:CZ40"/>
    <mergeCell ref="AF43:AI44"/>
    <mergeCell ref="AD45:AE45"/>
    <mergeCell ref="BB43:BC44"/>
    <mergeCell ref="BB45:BC45"/>
    <mergeCell ref="AK43:AO44"/>
    <mergeCell ref="AP43:AQ44"/>
    <mergeCell ref="AR43:AU44"/>
    <mergeCell ref="AW43:BA44"/>
    <mergeCell ref="BD43:BG44"/>
    <mergeCell ref="R45:S45"/>
    <mergeCell ref="AP45:AQ45"/>
    <mergeCell ref="DV45:DW45"/>
    <mergeCell ref="EH45:EI45"/>
    <mergeCell ref="ET45:EU45"/>
    <mergeCell ref="FF45:FG45"/>
    <mergeCell ref="FR45:FS45"/>
    <mergeCell ref="BI43:BM44"/>
    <mergeCell ref="BN43:BO44"/>
    <mergeCell ref="BN45:BO45"/>
    <mergeCell ref="BZ45:CA45"/>
    <mergeCell ref="CL45:CM45"/>
    <mergeCell ref="CX45:CY45"/>
    <mergeCell ref="DJ45:DK45"/>
    <mergeCell ref="BP43:BS44"/>
    <mergeCell ref="BU43:BY44"/>
    <mergeCell ref="BZ43:CA44"/>
    <mergeCell ref="CB43:CE44"/>
    <mergeCell ref="CG43:CK44"/>
    <mergeCell ref="CL43:CM44"/>
    <mergeCell ref="CN43:CQ44"/>
    <mergeCell ref="ET43:EU44"/>
    <mergeCell ref="EV43:EY44"/>
    <mergeCell ref="FA43:FE44"/>
    <mergeCell ref="FF43:FG44"/>
    <mergeCell ref="FH43:FK44"/>
    <mergeCell ref="FM43:FQ44"/>
    <mergeCell ref="FR43:FS44"/>
    <mergeCell ref="FT43:FW44"/>
    <mergeCell ref="CS43:CW44"/>
    <mergeCell ref="CX43:CY44"/>
    <mergeCell ref="DX43:EA44"/>
    <mergeCell ref="EC43:EG44"/>
    <mergeCell ref="EH43:EI44"/>
    <mergeCell ref="EJ43:EM44"/>
    <mergeCell ref="EO43:ES44"/>
    <mergeCell ref="BM46:BM50"/>
    <mergeCell ref="BN46:BN50"/>
    <mergeCell ref="BO46:BO50"/>
    <mergeCell ref="BP46:BP50"/>
    <mergeCell ref="BU46:BU50"/>
    <mergeCell ref="BY46:BY50"/>
    <mergeCell ref="BZ46:BZ50"/>
    <mergeCell ref="CA46:CA50"/>
    <mergeCell ref="CB46:CB50"/>
    <mergeCell ref="CG46:CG50"/>
    <mergeCell ref="CK46:CK50"/>
    <mergeCell ref="CL46:CL50"/>
    <mergeCell ref="CM46:CM50"/>
    <mergeCell ref="CN46:CN50"/>
    <mergeCell ref="DE46:DE50"/>
    <mergeCell ref="DI46:DI50"/>
    <mergeCell ref="DJ46:DJ50"/>
    <mergeCell ref="DK46:DK50"/>
    <mergeCell ref="DL46:DL50"/>
    <mergeCell ref="DQ46:DQ50"/>
    <mergeCell ref="DU46:DU50"/>
    <mergeCell ref="DV46:DV50"/>
    <mergeCell ref="DW46:DW50"/>
    <mergeCell ref="DX46:DX50"/>
    <mergeCell ref="EC46:EC50"/>
    <mergeCell ref="EG46:EG50"/>
    <mergeCell ref="EH46:EH50"/>
    <mergeCell ref="EI46:EI50"/>
    <mergeCell ref="EJ46:EJ50"/>
    <mergeCell ref="EO46:EO50"/>
    <mergeCell ref="ES46:ES50"/>
    <mergeCell ref="ET46:ET50"/>
    <mergeCell ref="EU46:EU50"/>
    <mergeCell ref="EV46:EV50"/>
    <mergeCell ref="FA46:FA50"/>
    <mergeCell ref="FS46:FS50"/>
    <mergeCell ref="FT46:FT50"/>
    <mergeCell ref="FE46:FE50"/>
    <mergeCell ref="FF46:FF50"/>
    <mergeCell ref="FG46:FG50"/>
    <mergeCell ref="FH46:FH50"/>
    <mergeCell ref="FM46:FM50"/>
    <mergeCell ref="FQ46:FQ50"/>
    <mergeCell ref="FR46:FR50"/>
    <mergeCell ref="AK51:AK55"/>
    <mergeCell ref="AO51:AO55"/>
    <mergeCell ref="AP51:AP55"/>
    <mergeCell ref="AQ51:AQ55"/>
    <mergeCell ref="AR51:AR55"/>
    <mergeCell ref="AW51:AW55"/>
    <mergeCell ref="BA51:BA55"/>
    <mergeCell ref="BB51:BB55"/>
    <mergeCell ref="BC51:BC55"/>
    <mergeCell ref="DX51:DX55"/>
    <mergeCell ref="EC51:EC55"/>
    <mergeCell ref="EG51:EG55"/>
    <mergeCell ref="EH51:EH55"/>
    <mergeCell ref="EI51:EI55"/>
    <mergeCell ref="EJ51:EJ55"/>
    <mergeCell ref="EO51:EO55"/>
    <mergeCell ref="ES51:ES55"/>
    <mergeCell ref="ET51:ET55"/>
    <mergeCell ref="EU51:EU55"/>
    <mergeCell ref="EV51:EV55"/>
    <mergeCell ref="FA51:FA55"/>
    <mergeCell ref="FS51:FS55"/>
    <mergeCell ref="FT51:FT55"/>
    <mergeCell ref="FE51:FE55"/>
    <mergeCell ref="FF51:FF55"/>
    <mergeCell ref="FG51:FG55"/>
    <mergeCell ref="FH51:FH55"/>
    <mergeCell ref="FM51:FM55"/>
    <mergeCell ref="FQ51:FQ55"/>
    <mergeCell ref="FR51:FR55"/>
    <mergeCell ref="BY51:BY55"/>
    <mergeCell ref="BZ51:BZ55"/>
    <mergeCell ref="BI46:BI50"/>
    <mergeCell ref="BI51:BI55"/>
    <mergeCell ref="BM51:BM55"/>
    <mergeCell ref="BN51:BN55"/>
    <mergeCell ref="BO51:BO55"/>
    <mergeCell ref="BP51:BP55"/>
    <mergeCell ref="BU51:BU55"/>
    <mergeCell ref="CB56:CB60"/>
    <mergeCell ref="CG56:CG60"/>
    <mergeCell ref="CL51:CL55"/>
    <mergeCell ref="CM51:CM55"/>
    <mergeCell ref="BP56:BP60"/>
    <mergeCell ref="BU56:BU60"/>
    <mergeCell ref="BY56:BY60"/>
    <mergeCell ref="BZ56:BZ60"/>
    <mergeCell ref="CA56:CA60"/>
    <mergeCell ref="CM56:CM60"/>
    <mergeCell ref="CN56:CN60"/>
    <mergeCell ref="CS56:CS60"/>
    <mergeCell ref="CW56:CW60"/>
    <mergeCell ref="CX56:CX60"/>
    <mergeCell ref="CY56:CY60"/>
    <mergeCell ref="CZ56:CZ60"/>
    <mergeCell ref="DE56:DE60"/>
    <mergeCell ref="DI56:DI60"/>
    <mergeCell ref="DJ56:DJ60"/>
    <mergeCell ref="DK56:DK60"/>
    <mergeCell ref="DL56:DL60"/>
    <mergeCell ref="DQ56:DQ60"/>
    <mergeCell ref="DU56:DU60"/>
    <mergeCell ref="DV56:DV60"/>
    <mergeCell ref="DW56:DW60"/>
    <mergeCell ref="DX56:DX60"/>
    <mergeCell ref="EC56:EC60"/>
    <mergeCell ref="EG56:EG60"/>
    <mergeCell ref="EH56:EH60"/>
    <mergeCell ref="EI56:EI60"/>
    <mergeCell ref="EJ56:EJ60"/>
    <mergeCell ref="EO56:EO60"/>
    <mergeCell ref="ES56:ES60"/>
    <mergeCell ref="ET56:ET60"/>
    <mergeCell ref="EU56:EU60"/>
    <mergeCell ref="EV56:EV60"/>
    <mergeCell ref="FA56:FA60"/>
    <mergeCell ref="FS56:FS60"/>
    <mergeCell ref="FT56:FT60"/>
    <mergeCell ref="FE56:FE60"/>
    <mergeCell ref="FF56:FF60"/>
    <mergeCell ref="FG56:FG60"/>
    <mergeCell ref="FH56:FH60"/>
    <mergeCell ref="FM56:FM60"/>
    <mergeCell ref="FQ56:FQ60"/>
    <mergeCell ref="FR56:FR60"/>
    <mergeCell ref="BN56:BN60"/>
    <mergeCell ref="BO56:BO60"/>
    <mergeCell ref="AW56:AW60"/>
    <mergeCell ref="BA56:BA60"/>
    <mergeCell ref="BB56:BB60"/>
    <mergeCell ref="BC56:BC60"/>
    <mergeCell ref="BD56:BD60"/>
    <mergeCell ref="BI56:BI60"/>
    <mergeCell ref="BM56:BM60"/>
    <mergeCell ref="FF63:FG64"/>
    <mergeCell ref="FH63:FK64"/>
    <mergeCell ref="FM63:FQ64"/>
    <mergeCell ref="FR63:FS64"/>
    <mergeCell ref="FT63:FW64"/>
    <mergeCell ref="FR65:FS65"/>
    <mergeCell ref="BN63:BO64"/>
    <mergeCell ref="BN65:BO65"/>
    <mergeCell ref="CX63:CY64"/>
    <mergeCell ref="CX65:CY65"/>
    <mergeCell ref="DV63:DW64"/>
    <mergeCell ref="DV65:DW65"/>
    <mergeCell ref="FA63:FE64"/>
    <mergeCell ref="FF65:FG65"/>
    <mergeCell ref="CB71:CB75"/>
    <mergeCell ref="CG71:CG75"/>
    <mergeCell ref="CK71:CK75"/>
    <mergeCell ref="CL71:CL75"/>
    <mergeCell ref="CM71:CM75"/>
    <mergeCell ref="CN71:CN75"/>
    <mergeCell ref="CS71:CS75"/>
    <mergeCell ref="DK71:DK75"/>
    <mergeCell ref="DL71:DL75"/>
    <mergeCell ref="CW71:CW75"/>
    <mergeCell ref="CX71:CX75"/>
    <mergeCell ref="CY71:CY75"/>
    <mergeCell ref="CZ71:CZ75"/>
    <mergeCell ref="DE71:DE75"/>
    <mergeCell ref="DI71:DI75"/>
    <mergeCell ref="DJ71:DJ75"/>
    <mergeCell ref="M56:M60"/>
    <mergeCell ref="M63:Q64"/>
    <mergeCell ref="M66:M70"/>
    <mergeCell ref="Q66:Q70"/>
    <mergeCell ref="R46:R50"/>
    <mergeCell ref="S46:S50"/>
    <mergeCell ref="M51:M55"/>
    <mergeCell ref="R51:R55"/>
    <mergeCell ref="S51:S55"/>
    <mergeCell ref="T51:T55"/>
    <mergeCell ref="T56:T60"/>
    <mergeCell ref="R56:R60"/>
    <mergeCell ref="S56:S60"/>
    <mergeCell ref="R63:S64"/>
    <mergeCell ref="R65:S65"/>
    <mergeCell ref="R66:R70"/>
    <mergeCell ref="S66:S70"/>
    <mergeCell ref="T66:T70"/>
    <mergeCell ref="Y66:Y70"/>
    <mergeCell ref="AC66:AC70"/>
    <mergeCell ref="AD66:AD70"/>
    <mergeCell ref="AE66:AE70"/>
    <mergeCell ref="AF66:AF70"/>
    <mergeCell ref="AK66:AK70"/>
    <mergeCell ref="AO66:AO70"/>
    <mergeCell ref="AP66:AP70"/>
    <mergeCell ref="AQ66:AQ70"/>
    <mergeCell ref="AR66:AR70"/>
    <mergeCell ref="AW66:AW70"/>
    <mergeCell ref="BA66:BA70"/>
    <mergeCell ref="BB66:BB70"/>
    <mergeCell ref="BC66:BC70"/>
    <mergeCell ref="DE66:DE70"/>
    <mergeCell ref="DI66:DI70"/>
    <mergeCell ref="DJ66:DJ70"/>
    <mergeCell ref="DK66:DK70"/>
    <mergeCell ref="DL66:DL70"/>
    <mergeCell ref="BD66:BD70"/>
    <mergeCell ref="BI66:BI70"/>
    <mergeCell ref="BM66:BM70"/>
    <mergeCell ref="BN66:BN70"/>
    <mergeCell ref="BO66:BO70"/>
    <mergeCell ref="BP66:BP70"/>
    <mergeCell ref="BU66:BU70"/>
    <mergeCell ref="R76:R80"/>
    <mergeCell ref="S76:S80"/>
    <mergeCell ref="T76:T80"/>
    <mergeCell ref="Y76:Y80"/>
    <mergeCell ref="T63:W64"/>
    <mergeCell ref="Y63:AC64"/>
    <mergeCell ref="M71:M75"/>
    <mergeCell ref="R71:R75"/>
    <mergeCell ref="S71:S75"/>
    <mergeCell ref="T71:T75"/>
    <mergeCell ref="M76:M80"/>
    <mergeCell ref="AC76:AC80"/>
    <mergeCell ref="T46:T50"/>
    <mergeCell ref="Y46:Y50"/>
    <mergeCell ref="Y51:Y55"/>
    <mergeCell ref="AD51:AD55"/>
    <mergeCell ref="AE51:AE55"/>
    <mergeCell ref="AF51:AF55"/>
    <mergeCell ref="AF56:AF60"/>
    <mergeCell ref="AP63:AQ64"/>
    <mergeCell ref="AP65:AQ65"/>
    <mergeCell ref="AD56:AD60"/>
    <mergeCell ref="AE56:AE60"/>
    <mergeCell ref="AD63:AE64"/>
    <mergeCell ref="AF63:AI64"/>
    <mergeCell ref="AK63:AO64"/>
    <mergeCell ref="AR63:AU64"/>
    <mergeCell ref="AD65:AE65"/>
    <mergeCell ref="Y56:Y60"/>
    <mergeCell ref="Y71:Y75"/>
    <mergeCell ref="Q71:Q75"/>
    <mergeCell ref="Q76:Q80"/>
    <mergeCell ref="AC71:AC75"/>
    <mergeCell ref="AD71:AD75"/>
    <mergeCell ref="AE71:AE75"/>
    <mergeCell ref="AF71:AF75"/>
    <mergeCell ref="AK71:AK75"/>
    <mergeCell ref="AO71:AO75"/>
    <mergeCell ref="AP71:AP75"/>
    <mergeCell ref="BA76:BA80"/>
    <mergeCell ref="BB76:BB80"/>
    <mergeCell ref="BC76:BC80"/>
    <mergeCell ref="BD76:BD80"/>
    <mergeCell ref="AQ71:AQ75"/>
    <mergeCell ref="AR71:AR75"/>
    <mergeCell ref="AW71:AW75"/>
    <mergeCell ref="BA71:BA75"/>
    <mergeCell ref="BB71:BB75"/>
    <mergeCell ref="BC71:BC75"/>
    <mergeCell ref="BD71:BD75"/>
    <mergeCell ref="FR76:FR80"/>
    <mergeCell ref="FS76:FS80"/>
    <mergeCell ref="FT76:FT80"/>
    <mergeCell ref="FA76:FA80"/>
    <mergeCell ref="FE76:FE80"/>
    <mergeCell ref="FF76:FF80"/>
    <mergeCell ref="FG76:FG80"/>
    <mergeCell ref="FH76:FH80"/>
    <mergeCell ref="FM76:FM80"/>
    <mergeCell ref="FQ76:FQ80"/>
    <mergeCell ref="AD76:AD80"/>
    <mergeCell ref="AE76:AE80"/>
    <mergeCell ref="AF76:AF80"/>
    <mergeCell ref="AK76:AK80"/>
    <mergeCell ref="AO76:AO80"/>
    <mergeCell ref="AP76:AP80"/>
    <mergeCell ref="AQ76:AQ80"/>
    <mergeCell ref="AR76:AR80"/>
    <mergeCell ref="AW76:AW80"/>
    <mergeCell ref="BI76:BI80"/>
    <mergeCell ref="BM76:BM80"/>
    <mergeCell ref="BN76:BN80"/>
    <mergeCell ref="BO76:BO80"/>
    <mergeCell ref="BP76:BP80"/>
    <mergeCell ref="BU76:BU80"/>
    <mergeCell ref="BY76:BY80"/>
    <mergeCell ref="BZ76:BZ80"/>
    <mergeCell ref="CA76:CA80"/>
    <mergeCell ref="CB76:CB80"/>
    <mergeCell ref="CG76:CG80"/>
    <mergeCell ref="CK76:CK80"/>
    <mergeCell ref="CL76:CL80"/>
    <mergeCell ref="CM76:CM80"/>
    <mergeCell ref="CN76:CN80"/>
    <mergeCell ref="CS76:CS80"/>
    <mergeCell ref="CW76:CW80"/>
    <mergeCell ref="CX76:CX80"/>
    <mergeCell ref="CY76:CY80"/>
    <mergeCell ref="CZ76:CZ80"/>
    <mergeCell ref="DE76:DE80"/>
    <mergeCell ref="DI76:DI80"/>
    <mergeCell ref="DJ76:DJ80"/>
    <mergeCell ref="DK76:DK80"/>
    <mergeCell ref="DL76:DL80"/>
    <mergeCell ref="DQ76:DQ80"/>
    <mergeCell ref="DU76:DU80"/>
    <mergeCell ref="DV76:DV80"/>
    <mergeCell ref="DW76:DW80"/>
    <mergeCell ref="DX76:DX80"/>
    <mergeCell ref="EC76:EC80"/>
    <mergeCell ref="EG76:EG80"/>
    <mergeCell ref="EH76:EH80"/>
    <mergeCell ref="EI76:EI80"/>
    <mergeCell ref="EJ76:EJ80"/>
    <mergeCell ref="EO76:EO80"/>
    <mergeCell ref="ES76:ES80"/>
    <mergeCell ref="ET76:ET80"/>
    <mergeCell ref="EU76:EU80"/>
    <mergeCell ref="EV76:EV80"/>
    <mergeCell ref="M23:Q24"/>
    <mergeCell ref="R23:S24"/>
    <mergeCell ref="T23:W24"/>
    <mergeCell ref="Y23:AC24"/>
    <mergeCell ref="AF23:AI24"/>
    <mergeCell ref="AK23:AO24"/>
    <mergeCell ref="M26:M30"/>
    <mergeCell ref="BD31:BD35"/>
    <mergeCell ref="BI31:BI35"/>
    <mergeCell ref="BM31:BM35"/>
    <mergeCell ref="BN31:BN35"/>
    <mergeCell ref="BO31:BO35"/>
    <mergeCell ref="BP31:BP35"/>
    <mergeCell ref="BU31:BU35"/>
    <mergeCell ref="BY31:BY35"/>
    <mergeCell ref="BZ31:BZ35"/>
    <mergeCell ref="CA31:CA35"/>
    <mergeCell ref="CB31:CB35"/>
    <mergeCell ref="CG31:CG35"/>
    <mergeCell ref="CK31:CK35"/>
    <mergeCell ref="CL31:CL35"/>
    <mergeCell ref="Y31:Y35"/>
    <mergeCell ref="AC31:AC35"/>
    <mergeCell ref="AD31:AD35"/>
    <mergeCell ref="AE31:AE35"/>
    <mergeCell ref="AF31:AF35"/>
    <mergeCell ref="AK31:AK35"/>
    <mergeCell ref="AO31:AO35"/>
    <mergeCell ref="BA31:BA35"/>
    <mergeCell ref="BA36:BA40"/>
    <mergeCell ref="BD36:BD40"/>
    <mergeCell ref="BI36:BI40"/>
    <mergeCell ref="BM36:BM40"/>
    <mergeCell ref="BN36:BN40"/>
    <mergeCell ref="BO36:BO40"/>
    <mergeCell ref="DE36:DE40"/>
    <mergeCell ref="CZ43:DC44"/>
    <mergeCell ref="DE43:DI44"/>
    <mergeCell ref="DJ43:DK44"/>
    <mergeCell ref="DL43:DO44"/>
    <mergeCell ref="DQ43:DU44"/>
    <mergeCell ref="DV43:DW44"/>
    <mergeCell ref="DI36:DI40"/>
    <mergeCell ref="DJ36:DJ40"/>
    <mergeCell ref="DK36:DK40"/>
    <mergeCell ref="DL36:DL40"/>
    <mergeCell ref="DQ36:DQ40"/>
    <mergeCell ref="DU36:DU40"/>
    <mergeCell ref="DV36:DV40"/>
    <mergeCell ref="CG51:CG55"/>
    <mergeCell ref="CK51:CK55"/>
    <mergeCell ref="CS46:CS50"/>
    <mergeCell ref="CS51:CS55"/>
    <mergeCell ref="CW51:CW55"/>
    <mergeCell ref="CX51:CX55"/>
    <mergeCell ref="CW46:CW50"/>
    <mergeCell ref="CX46:CX50"/>
    <mergeCell ref="CY46:CY50"/>
    <mergeCell ref="CZ46:CZ50"/>
    <mergeCell ref="CA51:CA55"/>
    <mergeCell ref="CB51:CB55"/>
    <mergeCell ref="CN51:CN55"/>
    <mergeCell ref="DQ51:DQ55"/>
    <mergeCell ref="DU51:DU55"/>
    <mergeCell ref="DV51:DV55"/>
    <mergeCell ref="DW51:DW55"/>
    <mergeCell ref="CY51:CY55"/>
    <mergeCell ref="CZ51:CZ55"/>
    <mergeCell ref="DE51:DE55"/>
    <mergeCell ref="DI51:DI55"/>
    <mergeCell ref="DJ51:DJ55"/>
    <mergeCell ref="DK51:DK55"/>
    <mergeCell ref="DL51:DL55"/>
    <mergeCell ref="Q36:Q40"/>
    <mergeCell ref="Q46:Q50"/>
    <mergeCell ref="Q31:Q35"/>
    <mergeCell ref="M43:Q44"/>
    <mergeCell ref="R43:S44"/>
    <mergeCell ref="T43:W44"/>
    <mergeCell ref="Y43:AC44"/>
    <mergeCell ref="AD43:AE44"/>
    <mergeCell ref="M46:M50"/>
    <mergeCell ref="AE46:AE50"/>
    <mergeCell ref="AC46:AC50"/>
    <mergeCell ref="AD46:AD50"/>
    <mergeCell ref="AF46:AF50"/>
    <mergeCell ref="AK46:AK50"/>
    <mergeCell ref="AO46:AO50"/>
    <mergeCell ref="AP46:AP50"/>
    <mergeCell ref="AQ46:AQ50"/>
    <mergeCell ref="AR46:AR50"/>
    <mergeCell ref="AW46:AW50"/>
    <mergeCell ref="BA46:BA50"/>
    <mergeCell ref="BB46:BB50"/>
    <mergeCell ref="BC46:BC50"/>
    <mergeCell ref="BD46:BD50"/>
    <mergeCell ref="BD51:BD55"/>
    <mergeCell ref="Q51:Q55"/>
    <mergeCell ref="Q56:Q60"/>
    <mergeCell ref="AC51:AC55"/>
    <mergeCell ref="AC56:AC60"/>
    <mergeCell ref="AK56:AK60"/>
    <mergeCell ref="AO56:AO60"/>
    <mergeCell ref="AP56:AP60"/>
    <mergeCell ref="AQ56:AQ60"/>
    <mergeCell ref="AR56:AR60"/>
    <mergeCell ref="CK56:CK60"/>
    <mergeCell ref="CL56:CL60"/>
    <mergeCell ref="AW63:BA64"/>
    <mergeCell ref="BB63:BC64"/>
    <mergeCell ref="BD63:BG64"/>
    <mergeCell ref="BI63:BM64"/>
    <mergeCell ref="BP63:BS64"/>
    <mergeCell ref="BU63:BY64"/>
    <mergeCell ref="BB65:BC65"/>
    <mergeCell ref="BZ65:CA65"/>
    <mergeCell ref="BZ63:CA64"/>
    <mergeCell ref="CB63:CE64"/>
    <mergeCell ref="CG63:CK64"/>
    <mergeCell ref="CL63:CM64"/>
    <mergeCell ref="CN63:CQ64"/>
    <mergeCell ref="CS63:CW64"/>
    <mergeCell ref="CL65:CM65"/>
    <mergeCell ref="CZ63:DC64"/>
    <mergeCell ref="DE63:DI64"/>
    <mergeCell ref="DJ63:DK64"/>
    <mergeCell ref="DL63:DO64"/>
    <mergeCell ref="DQ63:DU64"/>
    <mergeCell ref="DX63:EA64"/>
    <mergeCell ref="DJ65:DK65"/>
    <mergeCell ref="EH65:EI65"/>
    <mergeCell ref="EC63:EG64"/>
    <mergeCell ref="EH63:EI64"/>
    <mergeCell ref="EJ63:EM64"/>
    <mergeCell ref="EO63:ES64"/>
    <mergeCell ref="ET63:EU64"/>
    <mergeCell ref="EV63:EY64"/>
    <mergeCell ref="ET65:EU65"/>
    <mergeCell ref="BY66:BY70"/>
    <mergeCell ref="BZ66:BZ70"/>
    <mergeCell ref="CA66:CA70"/>
    <mergeCell ref="CB66:CB70"/>
    <mergeCell ref="CG66:CG70"/>
    <mergeCell ref="CK66:CK70"/>
    <mergeCell ref="CL66:CL70"/>
    <mergeCell ref="CM66:CM70"/>
    <mergeCell ref="CN66:CN70"/>
    <mergeCell ref="CS66:CS70"/>
    <mergeCell ref="CW66:CW70"/>
    <mergeCell ref="CX66:CX70"/>
    <mergeCell ref="CY66:CY70"/>
    <mergeCell ref="CZ66:CZ70"/>
    <mergeCell ref="DQ66:DQ70"/>
    <mergeCell ref="DU66:DU70"/>
    <mergeCell ref="DV66:DV70"/>
    <mergeCell ref="DW66:DW70"/>
    <mergeCell ref="DX66:DX70"/>
    <mergeCell ref="EC66:EC70"/>
    <mergeCell ref="EG66:EG70"/>
    <mergeCell ref="EH66:EH70"/>
    <mergeCell ref="EI66:EI70"/>
    <mergeCell ref="EJ66:EJ70"/>
    <mergeCell ref="EO66:EO70"/>
    <mergeCell ref="ES66:ES70"/>
    <mergeCell ref="ET66:ET70"/>
    <mergeCell ref="EU66:EU70"/>
    <mergeCell ref="FQ66:FQ70"/>
    <mergeCell ref="FR66:FR70"/>
    <mergeCell ref="FS66:FS70"/>
    <mergeCell ref="FT66:FT70"/>
    <mergeCell ref="EV66:EV70"/>
    <mergeCell ref="FA66:FA70"/>
    <mergeCell ref="FE66:FE70"/>
    <mergeCell ref="FF66:FF70"/>
    <mergeCell ref="FG66:FG70"/>
    <mergeCell ref="FH66:FH70"/>
    <mergeCell ref="FM66:FM70"/>
    <mergeCell ref="BI71:BI75"/>
    <mergeCell ref="BM71:BM75"/>
    <mergeCell ref="BN71:BN75"/>
    <mergeCell ref="BO71:BO75"/>
    <mergeCell ref="BP71:BP75"/>
    <mergeCell ref="BU71:BU75"/>
    <mergeCell ref="BY71:BY75"/>
    <mergeCell ref="BZ71:BZ75"/>
    <mergeCell ref="CA71:CA75"/>
    <mergeCell ref="DQ71:DQ75"/>
    <mergeCell ref="DU71:DU75"/>
    <mergeCell ref="DV71:DV75"/>
    <mergeCell ref="DW71:DW75"/>
    <mergeCell ref="DX71:DX75"/>
    <mergeCell ref="EC71:EC75"/>
    <mergeCell ref="EG71:EG75"/>
    <mergeCell ref="EH71:EH75"/>
    <mergeCell ref="EI71:EI75"/>
    <mergeCell ref="EJ71:EJ75"/>
    <mergeCell ref="EO71:EO75"/>
    <mergeCell ref="ES71:ES75"/>
    <mergeCell ref="FH71:FH75"/>
    <mergeCell ref="FM71:FM75"/>
    <mergeCell ref="FQ71:FQ75"/>
    <mergeCell ref="FR71:FR75"/>
    <mergeCell ref="FS71:FS75"/>
    <mergeCell ref="FT71:FT75"/>
    <mergeCell ref="ET71:ET75"/>
    <mergeCell ref="EU71:EU75"/>
    <mergeCell ref="EV71:EV75"/>
    <mergeCell ref="FA71:FA75"/>
    <mergeCell ref="FE71:FE75"/>
    <mergeCell ref="FF71:FF75"/>
    <mergeCell ref="FG71:FG75"/>
  </mergeCells>
  <dataValidations>
    <dataValidation type="list" allowBlank="1" showErrorMessage="1" sqref="Q6 T6 AC6 AF6 AO6 AR6 BA6 BD6 BM6 BP6 BY6 CB6 CK6 CN6 CW6 CZ6 DI6 DL6 DU6 DX6 EG6 EJ6 ES6 EV6 FE6 FH6 FQ6 FT6 Q11 T11 AC11 AF11 AO11 AR11 BA11 BD11 BM11 BP11 BY11 CB11 CK11 CN11 CW11 CZ11 DI11 DL11 DU11 DX11 EG11 EJ11 ES11 EV11 FE11 FH11 FQ11 FT11 Q16 T16 AC16 AF16 AO16 AR16 BA16 BD16 BM16 BP16 BY16 CB16 CK16 CN16 CW16 CZ16 DI16 DL16 DU16 DX16 EG16 EJ16 ES16 EV16 FE16 FH16 FQ16 FT16 Q26 T26 AC26 AF26 AO26 AR26 BA26 BD26 BM26 BP26 BY26 CB26 CK26 CN26 CW26 CZ26 DI26 DL26 DU26 DX26 EG26 EJ26 ES26 EV26 FE26 FH26 FQ26 FT26 Q31 T31 AC31 AF31 AO31 AR31 BA31 BD31 BM31 BP31 BY31 CB31 CK31 CN31 CW31 CZ31 DI31 DL31 DU31 DX31 EG31 EJ31 ES31 EV31 FE31 FH31 FQ31 FT31 Q36 T36 AC36 AF36 AO36 AR36 BA36 BD36 BM36 BP36 BY36 CB36 CK36 CN36 CW36 CZ36 DI36 DL36 DU36 DX36 EG36 EJ36 ES36 EV36 FE36 FH36 FQ36 FT36 Q46 T46 AC46 AF46 AO46 AR46 BA46 BD46 BM46 BP46 BY46 CB46 CK46 CN46 CW46 CZ46 DI46 DL46 DU46 DX46 EG46 EJ46 ES46 EV46 FE46 FH46 FQ46 FT46 Q51 T51 AC51 AF51 AO51 AR51 BA51 BD51 BM51 BP51 BY51 CB51 CK51 CN51 CW51 CZ51 DI51 DL51 DU51 DX51 EG51 EJ51 ES51 EV51 FE51 FH51 FQ51 FT51 Q56 T56 AC56 AF56 AO56 AR56 BA56 BD56 BM56 BP56 BY56 CB56 CK56 CN56 CW56 CZ56 DI56 DL56 DU56 DX56 EG56 EJ56 ES56 EV56 FE56 FH56 FQ56 FT56 Q66 T66 AC66 AF66 AO66 AR66 BA66 BD66 BM66 BP66 BY66 CB66 CK66 CN66 CW66 CZ66 DI66 DL66 DU66 DX66 EG66 EJ66 ES66 EV66 FE66 FH66 FQ66 FT66 Q71 T71 AC71 AF71 AO71 AR71 BA71 BD71 BM71 BP71 BY71 CB71 CK71 CN71 CW71 CZ71 DI71 DL71 DU71 DX71 EG71 EJ71 ES71 EV71 FE71 FH71 FQ71 FT71 Q76 T76 AC76 AF76 AO76 AR76 BA76 BD76 BM76 BP76 BY76 CB76 CK76 CN76 CW76 CZ76 DI76 DL76 DU76 DX76 EG76 EJ76 ES76 EV76 FE76 FH76 FQ76 FT76">
      <formula1>"Blue,Red"</formula1>
    </dataValidation>
    <dataValidation type="list" allowBlank="1" showErrorMessage="1" sqref="DB16:DB20 DS16:DS20 FO16:FO20 BK36:BK40 CD36:CD40 DG36:DG40 DS36:DS40 EX36:EX40 FJ36:FJ40 FO36:FO40 CD56:CD60 DB56:DB60 EE56:EE60 EL56:EL60 EQ56:EQ60 CD76:CD80 CI76:CI80 CP76:CP80 DB76:DB80 DG76:DG80 DN76:DN80 DZ76:DZ80 FJ76:FJ80">
      <formula1>"Nickname 1,Nickname 2,Nickname 3,Nickname 4,Nickname 5,Nickname 6"</formula1>
    </dataValidation>
    <dataValidation type="list" allowBlank="1" showErrorMessage="1" sqref="AM6:AM20 DN6:DN20 EE6:EE20 AA26:AA40 FC26:FC40 BR46:BR60 BW46:BW60 CI46:CI60 DZ46:DZ60 EX46:EX60 V66:V80 BF66:BF80 CU66:CU80 FV66:FV80">
      <formula1>'Teams | 1 Division'!$C$26:$C$35</formula1>
    </dataValidation>
    <dataValidation type="list" allowBlank="1" showErrorMessage="1" sqref="DB6:DB15 DG26:DG35 EX26:EX35 FJ26:FJ35 BW26:BW40 CP26:CP40 EE46:EE55 AA46:AA60 BF46:BF60 FO46:FO60 DZ66:DZ75 O66:O80 AT66:AT80 BK66:BK80">
      <formula1>'Teams | 1 Division'!$C$15:$C$24</formula1>
    </dataValidation>
    <dataValidation type="list" allowBlank="1" showErrorMessage="1" sqref="CD6:CD20 CP6:CP20 EL6:EL20 EQ6:EQ20 FJ6:FJ20 FO26:FO35 O26:O40 AT26:AT40 BR26:BR40 AH46:AH60 CU46:CU60 DG46:DG60 AY66:AY80 DS66:DS80">
      <formula1>'Teams | 1 Division'!$G$37:$G$46</formula1>
    </dataValidation>
    <dataValidation type="list" allowBlank="1" showErrorMessage="1" sqref="R6:S6 AD6:AE6 AP6:AQ6 BB6:BC6 BN6:BO6 BZ6:CA6 CL6:CM6 CX6:CY6 DJ6:DK6 DV6:DW6 EH6:EI6 ET6:EU6 FF6:FG6 FR6:FS6 R11:S11 AD11:AE11 AP11:AQ11 BB11:BC11 BN11:BO11 BZ11:CA11 CL11:CM11 CX11:CY11 DJ11:DK11 DV11:DW11 EH11:EI11 ET11:EU11 FF11:FG11 FR11:FS11 R16:S16 AD16:AE16 AP16:AQ16 BB16:BC16 BN16:BO16 BZ16:CA16 CL16:CM16 CX16:CY16 DJ16:DK16 DV16:DW16 EH16:EI16 ET16:EU16 FF16:FG16 FR16:FS16 R26:S26 AD26:AE26 AP26:AQ26 BB26:BC26 BN26:BO26 BZ26:CA26 CL26:CM26 CX26:CY26 DJ26:DK26 DV26:DW26 EH26:EI26 ET26:EU26 FF26:FG26 FR26:FS26 R31:S31 AD31:AE31 AP31:AQ31 BB31:BC31 BN31:BO31 BZ31:CA31 CL31:CM31 CX31:CY31 DJ31:DK31 DV31:DW31 EH31:EI31 ET31:EU31 FF31:FG31 FR31:FS31 R36:S36 AD36:AE36 AP36:AQ36 BB36:BC36 BN36:BO36 BZ36:CA36 CL36:CM36 CX36:CY36 DJ36:DK36 DV36:DW36 EH36:EI36 ET36:EU36 FF36:FG36 FR36:FS36 R46:S46 AD46:AE46 AP46:AQ46 BB46:BC46 BN46:BO46 BZ46:CA46 CL46:CM46 CX46:CY46 DJ46:DK46 DV46:DW46 EH46:EI46 ET46:EU46 FF46:FG46 FR46:FS46 R51:S51 AD51:AE51 AP51:AQ51 BB51:BC51 BN51:BO51 BZ51:CA51 CL51:CM51 CX51:CY51 DJ51:DK51 DV51:DW51 EH51:EI51 ET51:EU51 FF51:FG51 FR51:FS51 R56:S56 AD56:AE56 AP56:AQ56 BB56:BC56 BN56:BO56 BZ56:CA56 CL56:CM56 CX56:CY56 DJ56:DK56 DV56:DW56 EH56:EI56 ET56:EU56 FF56:FG56 FR56:FS56 R66:S66 AD66:AE66 AP66:AQ66 BB66:BC66 BN66:BO66 BZ66:CA66 CL66:CM66 CX66:CY66 DJ66:DK66 DV66:DW66 EH66:EI66 ET66:EU66 FF66:FG66 FR66:FS66 R71:S71 AD71:AE71 AP71:AQ71 BB71:BC71 BN71:BO71 BZ71:CA71 CL71:CM71 CX71:CY71 DJ71:DK71 DV71:DW71 EH71:EI71 ET71:EU71 FF71:FG71 FR71:FS71 R76:S76 AD76:AE76 AP76:AQ76 BB76:BC76 BN76:BO76 BZ76:CA76 CL76:CM76 CX76:CY76 DJ76:DK76 DV76:DW76 EH76:EI76 ET76:EU76 FF76:FG76 FR76:FS76">
      <formula1>"W,L"</formula1>
    </dataValidation>
    <dataValidation type="list" allowBlank="1" showErrorMessage="1" sqref="AY6:AY20 BK6:BK20 FC6:FC20 FV6:FV20 V26:V40 AH26:AH40 DB26:DB40 DN26:DN40 EL26:EL40 DS46:DS60 CD66:CD75 CI66:CI75 AM66:AM80 EQ66:EQ80">
      <formula1>'Teams | 1 Division'!$G$4:$G$13</formula1>
    </dataValidation>
    <dataValidation type="list" allowBlank="1" showErrorMessage="1" sqref="V6:V20 AA6:AA20 CU6:CU20 DZ6:DZ20 AM26:AM40 AY26:AY40 CP46:CP60 DN46:DN60 FC46:FC60 BR66:BR80 BW66:BW80 EL66:EL80 EX66:EX80 FO66:FO80">
      <formula1>'Teams | 1 Division'!$C$37:$C$46</formula1>
    </dataValidation>
    <dataValidation type="list" allowBlank="1" showErrorMessage="1" sqref="AT6:AT20 BR6:BR20 CI6:CI20 DG6:DG20 CD26:CD35 BF26:BF40 CU26:CU40 DZ26:DZ40 EQ26:EQ40 FV26:FV40 V46:V60 AA66:AA80 EE66:EE80 FC66:FC80">
      <formula1>'Teams | 1 Division'!$G$26:$G$35</formula1>
    </dataValidation>
    <dataValidation type="list" allowBlank="1" showErrorMessage="1" sqref="P6:P20 U6:U20 AB6:AB20 AG6:AG20 AN6:AN20 AS6:AS20 AZ6:AZ20 BE6:BE20 BL6:BL20 BQ6:BQ20 BX6:BX20 CC6:CC20 CJ6:CJ20 CO6:CO20 CV6:CV20 DA6:DA20 DH6:DH20 DM6:DM20 DT6:DT20 DY6:DY20 EF6:EF20 EK6:EK20 ER6:ER20 EW6:EW20 FD6:FD20 FI6:FI20 FP6:FP20 FU6:FU20 P26:P40 U26:U40 AB26:AB40 AG26:AG40 AN26:AN40 AS26:AS40 AZ26:AZ40 BE26:BE40 BL26:BL40 BQ26:BQ40 BX26:BX40 CC26:CC40 CJ26:CJ40 CO26:CO40 CV26:CV40 DA26:DA40 DH26:DH40 DM26:DM40 DT26:DT40 DY26:DY40 EF26:EF40 EK26:EK40 ER26:ER40 EW26:EW40 FD26:FD40 FI26:FI40 FP26:FP40 FU26:FU40 P46:P60 U46:U60 AB46:AB60 AG46:AG60 AN46:AN60 AS46:AS60 AZ46:AZ60 BE46:BE60 BL46:BL60 BQ46:BQ60 BX46:BX60 CC46:CC60 CJ46:CJ60 CO46:CO60 CV46:CV60 DA46:DA60 DH46:DH60 DM46:DM60 DT46:DT60 DY46:DY60 EF46:EF60 EK46:EK60 ER46:ER60 EW46:EW60 FD46:FD60 FI46:FI60 FP46:FP60 FU46:FU60 P66:P80 U66:U80 AB66:AB80 AG66:AG80 AN66:AN80 AS66:AS80 AZ66:AZ80 BE66:BE80 BL66:BL80 BQ66:BQ80 BX66:BX80 CC66:CC80 CJ66:CJ80 CO66:CO80 CV66:CV80 DA66:DA80 DH66:DH80 DM66:DM80 DT66:DT80 DY66:DY80 EF66:EF80 EK66:EK80 ER66:ER80 EW66:EW80 FD66:FD80 FI66:FI80 FP66:FP80 FU66:FU80">
      <formula1>Heroes!$C$3:$C$335</formula1>
    </dataValidation>
    <dataValidation type="list" allowBlank="1" showErrorMessage="1" sqref="DS6:DS15 FO6:FO15 AH6:AH20 BK26:BK35 CD46:CD55 DB46:DB55 EL46:EL55 EQ46:EQ55 O46:O60 AM46:AM60 AY46:AY60 CP66:CP75 DN66:DN75 FJ66:FJ75">
      <formula1>'Teams | 1 Division'!$G$15:$G$24</formula1>
    </dataValidation>
    <dataValidation type="list" allowBlank="1" showErrorMessage="1" sqref="O6:O20 BF6:BF20 BW6:BW20 EX6:EX20 DS26:DS35 CI26:CI40 EE26:EE40 AT46:AT60 BK46:BK60 FJ46:FJ60 FV46:FV60 DB66:DB75 DG66:DG75 AH66:AH80">
      <formula1>'Teams | 1 Division'!$C$4:$C$13</formula1>
    </dataValidation>
    <dataValidation type="list" allowBlank="1" showErrorMessage="1" sqref="N6:N20 W6:W20 Z6:Z20 AI6:AI20 AL6:AL20 AU6:AU20 AX6:AX20 BG6:BG20 BJ6:BJ20 BS6:BS20 BV6:BV20 CE6:CE20 CH6:CH20 CQ6:CQ20 CT6:CT20 DC6:DC20 DF6:DF20 DO6:DO20 DR6:DR20 EA6:EA20 ED6:ED20 EM6:EM20 EP6:EP20 EY6:EY20 FB6:FB20 FK6:FK20 FN6:FN20 FW6:FW20 N26:N40 W26:W40 Z26:Z40 AI26:AI40 AL26:AL40 AU26:AU40 AX26:AX40 BG26:BG40 BJ26:BJ40 BS26:BS40 BV26:BV40 CE26:CE40 CH26:CH40 CQ26:CQ40 CT26:CT40 DC26:DC40 DF26:DF40 DO26:DO40 DR26:DR40 EA26:EA40 ED26:ED40 EM26:EM40 EP26:EP40 EY26:EY40 FB26:FB40 FK26:FK40 FN26:FN40 FW26:FW40 N46:N60 W46:W60 Z46:Z60 AI46:AI60 AL46:AL60 AU46:AU60 AX46:AX60 BG46:BG60 BJ46:BJ60 BS46:BS60 BV46:BV60 CE46:CE60 CH46:CH60 CQ46:CQ60 CT46:CT60 DC46:DC60 DF46:DF60 DO46:DO60 DR46:DR60 EA46:EA60 ED46:ED60 EM46:EM60 EP46:EP60 EY46:EY60 FB46:FB60 FK46:FK60 FN46:FN60 FW46:FW60 N66:N80 W66:W80 Z66:Z80 AI66:AI80 AL66:AL80 AU66:AU80 AX66:AX80 BG66:BG80 BJ66:BJ80 BS66:BS80 BV66:BV80 CE66:CE80 CH66:CH80 CQ66:CQ80 CT66:CT80 DC66:DC80 DF66:DF80 DO66:DO80 DR66:DR80 EA66:EA80 ED66:ED80 EM66:EM80 EP66:EP80 EY66:EY80 FB66:FB80 FK66:FK80 FN66:FN80 FW66:FW80">
      <formula1>Heroes!$B$3:$C$359</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pane ySplit="2.0" topLeftCell="A3" activePane="bottomLeft" state="frozen"/>
      <selection activeCell="B4" sqref="B4" pane="bottomLeft"/>
    </sheetView>
  </sheetViews>
  <sheetFormatPr customHeight="1" defaultColWidth="11.22" defaultRowHeight="15.75"/>
  <cols>
    <col customWidth="1" min="1" max="1" width="17.67"/>
    <col customWidth="1" min="2" max="2" width="10.78"/>
    <col customWidth="1" min="3" max="4" width="23.56"/>
    <col customWidth="1" min="5" max="5" width="17.67"/>
    <col customWidth="1" min="6" max="6" width="10.78"/>
    <col customWidth="1" min="7" max="8" width="23.56"/>
  </cols>
  <sheetData>
    <row r="1">
      <c r="A1" s="620" t="s">
        <v>13</v>
      </c>
      <c r="B1" s="8"/>
      <c r="C1" s="8"/>
      <c r="D1" s="8"/>
      <c r="E1" s="8"/>
      <c r="F1" s="8"/>
      <c r="G1" s="8"/>
      <c r="H1" s="68"/>
    </row>
    <row r="2">
      <c r="A2" s="58" t="s">
        <v>488</v>
      </c>
      <c r="B2" s="104" t="s">
        <v>489</v>
      </c>
      <c r="C2" s="104" t="s">
        <v>490</v>
      </c>
      <c r="D2" s="426" t="s">
        <v>491</v>
      </c>
      <c r="E2" s="58" t="s">
        <v>488</v>
      </c>
      <c r="F2" s="104" t="s">
        <v>489</v>
      </c>
      <c r="G2" s="104" t="s">
        <v>490</v>
      </c>
      <c r="H2" s="426" t="s">
        <v>491</v>
      </c>
    </row>
    <row r="3">
      <c r="A3" s="621" t="str">
        <f>'Schedule | 1 Division'!B3</f>
        <v>Aura Farmers</v>
      </c>
      <c r="B3" s="8"/>
      <c r="C3" s="8"/>
      <c r="D3" s="68"/>
      <c r="E3" s="621" t="str">
        <f>'Schedule | 1 Division'!B7</f>
        <v>FORZE</v>
      </c>
      <c r="F3" s="8"/>
      <c r="G3" s="8"/>
      <c r="H3" s="68"/>
    </row>
    <row r="4">
      <c r="A4" s="428" t="s">
        <v>488</v>
      </c>
      <c r="B4" s="622" t="s">
        <v>498</v>
      </c>
      <c r="C4" s="622" t="s">
        <v>437</v>
      </c>
      <c r="D4" s="623" t="s">
        <v>568</v>
      </c>
      <c r="E4" s="624" t="s">
        <v>488</v>
      </c>
      <c r="F4" s="622" t="s">
        <v>503</v>
      </c>
      <c r="G4" s="622" t="s">
        <v>326</v>
      </c>
      <c r="H4" s="623" t="s">
        <v>538</v>
      </c>
    </row>
    <row r="5">
      <c r="A5" s="429" t="s">
        <v>497</v>
      </c>
      <c r="B5" s="109" t="s">
        <v>503</v>
      </c>
      <c r="C5" s="109" t="s">
        <v>426</v>
      </c>
      <c r="D5" s="373" t="s">
        <v>571</v>
      </c>
      <c r="E5" s="577" t="s">
        <v>497</v>
      </c>
      <c r="F5" s="109" t="s">
        <v>507</v>
      </c>
      <c r="G5" s="625" t="s">
        <v>330</v>
      </c>
      <c r="H5" s="626" t="s">
        <v>541</v>
      </c>
    </row>
    <row r="6">
      <c r="A6" s="429" t="s">
        <v>497</v>
      </c>
      <c r="B6" s="109" t="s">
        <v>507</v>
      </c>
      <c r="C6" s="625" t="s">
        <v>442</v>
      </c>
      <c r="D6" s="626" t="s">
        <v>574</v>
      </c>
      <c r="E6" s="577" t="s">
        <v>497</v>
      </c>
      <c r="F6" s="625" t="s">
        <v>498</v>
      </c>
      <c r="G6" s="625" t="s">
        <v>338</v>
      </c>
      <c r="H6" s="626" t="s">
        <v>544</v>
      </c>
    </row>
    <row r="7">
      <c r="A7" s="429" t="s">
        <v>497</v>
      </c>
      <c r="B7" s="625" t="s">
        <v>494</v>
      </c>
      <c r="C7" s="625" t="s">
        <v>725</v>
      </c>
      <c r="D7" s="626" t="s">
        <v>748</v>
      </c>
      <c r="E7" s="577" t="s">
        <v>497</v>
      </c>
      <c r="F7" s="625" t="s">
        <v>494</v>
      </c>
      <c r="G7" s="625" t="s">
        <v>349</v>
      </c>
      <c r="H7" s="626" t="s">
        <v>547</v>
      </c>
    </row>
    <row r="8">
      <c r="A8" s="429" t="s">
        <v>497</v>
      </c>
      <c r="B8" s="625" t="s">
        <v>492</v>
      </c>
      <c r="C8" s="625" t="s">
        <v>422</v>
      </c>
      <c r="D8" s="626" t="s">
        <v>581</v>
      </c>
      <c r="E8" s="577" t="s">
        <v>497</v>
      </c>
      <c r="F8" s="625" t="s">
        <v>492</v>
      </c>
      <c r="G8" s="625" t="s">
        <v>378</v>
      </c>
      <c r="H8" s="626" t="s">
        <v>550</v>
      </c>
    </row>
    <row r="9">
      <c r="A9" s="429" t="s">
        <v>514</v>
      </c>
      <c r="B9" s="627"/>
      <c r="C9" s="627"/>
      <c r="D9" s="628"/>
      <c r="E9" s="577" t="s">
        <v>514</v>
      </c>
      <c r="F9" s="627"/>
      <c r="G9" s="627"/>
      <c r="H9" s="628"/>
    </row>
    <row r="10">
      <c r="A10" s="429" t="s">
        <v>514</v>
      </c>
      <c r="B10" s="627"/>
      <c r="C10" s="627"/>
      <c r="D10" s="628"/>
      <c r="E10" s="577" t="s">
        <v>514</v>
      </c>
      <c r="F10" s="627"/>
      <c r="G10" s="627"/>
      <c r="H10" s="628"/>
    </row>
    <row r="11">
      <c r="A11" s="429" t="s">
        <v>525</v>
      </c>
      <c r="B11" s="627"/>
      <c r="C11" s="625" t="s">
        <v>588</v>
      </c>
      <c r="D11" s="629" t="s">
        <v>589</v>
      </c>
      <c r="E11" s="577" t="s">
        <v>525</v>
      </c>
      <c r="F11" s="627"/>
      <c r="G11" s="627"/>
      <c r="H11" s="630"/>
    </row>
    <row r="12">
      <c r="A12" s="429" t="s">
        <v>749</v>
      </c>
      <c r="B12" s="627"/>
      <c r="C12" s="625"/>
      <c r="D12" s="626"/>
      <c r="E12" s="577" t="s">
        <v>749</v>
      </c>
      <c r="F12" s="625"/>
      <c r="G12" s="625"/>
      <c r="H12" s="626"/>
    </row>
    <row r="13">
      <c r="A13" s="430" t="s">
        <v>532</v>
      </c>
      <c r="B13" s="631"/>
      <c r="C13" s="632" t="s">
        <v>594</v>
      </c>
      <c r="D13" s="633" t="s">
        <v>595</v>
      </c>
      <c r="E13" s="634" t="s">
        <v>532</v>
      </c>
      <c r="F13" s="632" t="s">
        <v>498</v>
      </c>
      <c r="G13" s="632" t="s">
        <v>563</v>
      </c>
      <c r="H13" s="633" t="s">
        <v>564</v>
      </c>
    </row>
    <row r="14">
      <c r="A14" s="635" t="str">
        <f>'Schedule | 1 Division'!B4</f>
        <v>Magic</v>
      </c>
      <c r="D14" s="92"/>
      <c r="E14" s="635" t="str">
        <f>'Schedule | 1 Division'!B8</f>
        <v>CYBERHERO</v>
      </c>
      <c r="H14" s="92"/>
    </row>
    <row r="15">
      <c r="A15" s="428" t="s">
        <v>488</v>
      </c>
      <c r="B15" s="622" t="s">
        <v>494</v>
      </c>
      <c r="C15" s="622" t="s">
        <v>462</v>
      </c>
      <c r="D15" s="623" t="s">
        <v>567</v>
      </c>
      <c r="E15" s="624" t="s">
        <v>488</v>
      </c>
      <c r="F15" s="622" t="s">
        <v>498</v>
      </c>
      <c r="G15" s="439" t="s">
        <v>556</v>
      </c>
      <c r="H15" s="440" t="s">
        <v>557</v>
      </c>
    </row>
    <row r="16">
      <c r="A16" s="429" t="s">
        <v>497</v>
      </c>
      <c r="B16" s="625" t="s">
        <v>503</v>
      </c>
      <c r="C16" s="625" t="s">
        <v>458</v>
      </c>
      <c r="D16" s="626" t="s">
        <v>570</v>
      </c>
      <c r="E16" s="577" t="s">
        <v>497</v>
      </c>
      <c r="F16" s="109" t="s">
        <v>507</v>
      </c>
      <c r="G16" s="441" t="s">
        <v>364</v>
      </c>
      <c r="H16" s="442" t="s">
        <v>542</v>
      </c>
    </row>
    <row r="17">
      <c r="A17" s="429" t="s">
        <v>497</v>
      </c>
      <c r="B17" s="625" t="s">
        <v>498</v>
      </c>
      <c r="C17" s="625" t="s">
        <v>464</v>
      </c>
      <c r="D17" s="626" t="s">
        <v>573</v>
      </c>
      <c r="E17" s="577" t="s">
        <v>497</v>
      </c>
      <c r="F17" s="625" t="s">
        <v>494</v>
      </c>
      <c r="G17" s="441" t="s">
        <v>339</v>
      </c>
      <c r="H17" s="442" t="s">
        <v>545</v>
      </c>
    </row>
    <row r="18">
      <c r="A18" s="429" t="s">
        <v>497</v>
      </c>
      <c r="B18" s="109" t="s">
        <v>507</v>
      </c>
      <c r="C18" s="109" t="s">
        <v>460</v>
      </c>
      <c r="D18" s="373" t="s">
        <v>750</v>
      </c>
      <c r="E18" s="577" t="s">
        <v>497</v>
      </c>
      <c r="F18" s="625" t="s">
        <v>492</v>
      </c>
      <c r="G18" s="441" t="s">
        <v>350</v>
      </c>
      <c r="H18" s="442" t="s">
        <v>548</v>
      </c>
    </row>
    <row r="19">
      <c r="A19" s="429" t="s">
        <v>497</v>
      </c>
      <c r="B19" s="625" t="s">
        <v>492</v>
      </c>
      <c r="C19" s="625" t="s">
        <v>468</v>
      </c>
      <c r="D19" s="626" t="s">
        <v>580</v>
      </c>
      <c r="E19" s="577" t="s">
        <v>497</v>
      </c>
      <c r="F19" s="625" t="s">
        <v>503</v>
      </c>
      <c r="G19" s="441" t="s">
        <v>355</v>
      </c>
      <c r="H19" s="442" t="s">
        <v>551</v>
      </c>
    </row>
    <row r="20">
      <c r="A20" s="429" t="s">
        <v>514</v>
      </c>
      <c r="B20" s="625" t="s">
        <v>515</v>
      </c>
      <c r="C20" s="625" t="s">
        <v>583</v>
      </c>
      <c r="D20" s="626" t="s">
        <v>584</v>
      </c>
      <c r="E20" s="577" t="s">
        <v>514</v>
      </c>
      <c r="F20" s="625" t="s">
        <v>515</v>
      </c>
      <c r="G20" s="625" t="s">
        <v>554</v>
      </c>
      <c r="H20" s="626" t="s">
        <v>555</v>
      </c>
    </row>
    <row r="21">
      <c r="A21" s="429" t="s">
        <v>514</v>
      </c>
      <c r="B21" s="109" t="s">
        <v>507</v>
      </c>
      <c r="C21" s="625" t="s">
        <v>576</v>
      </c>
      <c r="D21" s="626" t="s">
        <v>577</v>
      </c>
      <c r="E21" s="577" t="s">
        <v>514</v>
      </c>
      <c r="F21" s="109" t="s">
        <v>507</v>
      </c>
      <c r="G21" s="625" t="s">
        <v>751</v>
      </c>
      <c r="H21" s="626" t="s">
        <v>752</v>
      </c>
    </row>
    <row r="22">
      <c r="A22" s="429" t="s">
        <v>525</v>
      </c>
      <c r="B22" s="627"/>
      <c r="C22" s="625" t="s">
        <v>586</v>
      </c>
      <c r="D22" s="629" t="s">
        <v>587</v>
      </c>
      <c r="E22" s="577" t="s">
        <v>525</v>
      </c>
      <c r="F22" s="627"/>
      <c r="G22" s="625" t="s">
        <v>559</v>
      </c>
      <c r="H22" s="629" t="s">
        <v>560</v>
      </c>
    </row>
    <row r="23">
      <c r="A23" s="429" t="s">
        <v>749</v>
      </c>
      <c r="B23" s="627"/>
      <c r="C23" s="625"/>
      <c r="D23" s="626"/>
      <c r="E23" s="577" t="s">
        <v>749</v>
      </c>
      <c r="F23" s="625"/>
      <c r="G23" s="625"/>
      <c r="H23" s="626"/>
    </row>
    <row r="24">
      <c r="A24" s="430" t="s">
        <v>532</v>
      </c>
      <c r="B24" s="631"/>
      <c r="C24" s="632" t="s">
        <v>592</v>
      </c>
      <c r="D24" s="633" t="s">
        <v>593</v>
      </c>
      <c r="E24" s="634" t="s">
        <v>532</v>
      </c>
      <c r="F24" s="631"/>
      <c r="G24" s="632" t="s">
        <v>565</v>
      </c>
      <c r="H24" s="633" t="s">
        <v>566</v>
      </c>
    </row>
    <row r="25">
      <c r="A25" s="635" t="str">
        <f>'Schedule | 1 Division'!B5</f>
        <v>Virtus.pro</v>
      </c>
      <c r="D25" s="92"/>
      <c r="E25" s="635" t="str">
        <f>'Schedule | 1 Division'!B9</f>
        <v>Team Yandex</v>
      </c>
      <c r="H25" s="92"/>
    </row>
    <row r="26">
      <c r="A26" s="428" t="s">
        <v>488</v>
      </c>
      <c r="B26" s="622" t="s">
        <v>494</v>
      </c>
      <c r="C26" s="622" t="s">
        <v>393</v>
      </c>
      <c r="D26" s="622" t="s">
        <v>496</v>
      </c>
      <c r="E26" s="428" t="s">
        <v>488</v>
      </c>
      <c r="F26" s="622" t="s">
        <v>494</v>
      </c>
      <c r="G26" s="622" t="s">
        <v>336</v>
      </c>
      <c r="H26" s="623" t="s">
        <v>537</v>
      </c>
    </row>
    <row r="27">
      <c r="A27" s="429" t="s">
        <v>497</v>
      </c>
      <c r="B27" s="625" t="s">
        <v>498</v>
      </c>
      <c r="C27" s="265" t="s">
        <v>381</v>
      </c>
      <c r="D27" s="265" t="s">
        <v>520</v>
      </c>
      <c r="E27" s="429" t="s">
        <v>497</v>
      </c>
      <c r="F27" s="625" t="s">
        <v>498</v>
      </c>
      <c r="G27" s="625" t="s">
        <v>383</v>
      </c>
      <c r="H27" s="626" t="s">
        <v>540</v>
      </c>
    </row>
    <row r="28">
      <c r="A28" s="429" t="s">
        <v>497</v>
      </c>
      <c r="B28" s="625" t="s">
        <v>503</v>
      </c>
      <c r="C28" s="625" t="s">
        <v>365</v>
      </c>
      <c r="D28" s="625" t="s">
        <v>506</v>
      </c>
      <c r="E28" s="429" t="s">
        <v>497</v>
      </c>
      <c r="F28" s="109" t="s">
        <v>507</v>
      </c>
      <c r="G28" s="625" t="s">
        <v>366</v>
      </c>
      <c r="H28" s="626" t="s">
        <v>543</v>
      </c>
    </row>
    <row r="29">
      <c r="A29" s="429" t="s">
        <v>497</v>
      </c>
      <c r="B29" s="109" t="s">
        <v>507</v>
      </c>
      <c r="C29" s="625" t="s">
        <v>335</v>
      </c>
      <c r="D29" s="625" t="s">
        <v>510</v>
      </c>
      <c r="E29" s="429" t="s">
        <v>497</v>
      </c>
      <c r="F29" s="625" t="s">
        <v>492</v>
      </c>
      <c r="G29" s="265" t="s">
        <v>394</v>
      </c>
      <c r="H29" s="487" t="s">
        <v>546</v>
      </c>
    </row>
    <row r="30">
      <c r="A30" s="429" t="s">
        <v>497</v>
      </c>
      <c r="B30" s="625" t="s">
        <v>492</v>
      </c>
      <c r="C30" s="625" t="s">
        <v>351</v>
      </c>
      <c r="D30" s="625" t="s">
        <v>513</v>
      </c>
      <c r="E30" s="429" t="s">
        <v>497</v>
      </c>
      <c r="F30" s="625" t="s">
        <v>503</v>
      </c>
      <c r="G30" s="625" t="s">
        <v>353</v>
      </c>
      <c r="H30" s="626" t="s">
        <v>549</v>
      </c>
    </row>
    <row r="31">
      <c r="A31" s="429" t="s">
        <v>514</v>
      </c>
      <c r="B31" s="265" t="s">
        <v>498</v>
      </c>
      <c r="C31" s="625" t="s">
        <v>501</v>
      </c>
      <c r="D31" s="625" t="s">
        <v>502</v>
      </c>
      <c r="E31" s="429"/>
      <c r="F31" s="636"/>
      <c r="H31" s="637"/>
    </row>
    <row r="32">
      <c r="A32" s="429" t="s">
        <v>514</v>
      </c>
      <c r="B32" s="265" t="s">
        <v>515</v>
      </c>
      <c r="C32" s="265" t="s">
        <v>523</v>
      </c>
      <c r="D32" s="265" t="s">
        <v>524</v>
      </c>
      <c r="E32" s="429" t="s">
        <v>514</v>
      </c>
      <c r="F32" s="625" t="s">
        <v>515</v>
      </c>
      <c r="G32" s="625" t="s">
        <v>552</v>
      </c>
      <c r="H32" s="626" t="s">
        <v>553</v>
      </c>
    </row>
    <row r="33">
      <c r="A33" s="429" t="s">
        <v>525</v>
      </c>
      <c r="B33" s="627"/>
      <c r="C33" s="625" t="s">
        <v>530</v>
      </c>
      <c r="D33" s="625" t="s">
        <v>531</v>
      </c>
      <c r="E33" s="429" t="s">
        <v>525</v>
      </c>
      <c r="F33" s="627"/>
      <c r="G33" s="625" t="s">
        <v>558</v>
      </c>
      <c r="H33" s="630"/>
    </row>
    <row r="34">
      <c r="A34" s="429" t="s">
        <v>749</v>
      </c>
      <c r="B34" s="627"/>
      <c r="C34" s="625"/>
      <c r="D34" s="625"/>
      <c r="E34" s="577" t="s">
        <v>749</v>
      </c>
      <c r="F34" s="625"/>
      <c r="G34" s="625"/>
      <c r="H34" s="626"/>
    </row>
    <row r="35">
      <c r="A35" s="430" t="s">
        <v>532</v>
      </c>
      <c r="B35" s="631"/>
      <c r="C35" s="632"/>
      <c r="D35" s="632"/>
      <c r="E35" s="430" t="s">
        <v>532</v>
      </c>
      <c r="F35" s="631"/>
      <c r="G35" s="632" t="s">
        <v>561</v>
      </c>
      <c r="H35" s="633" t="s">
        <v>562</v>
      </c>
    </row>
    <row r="36">
      <c r="A36" s="635" t="str">
        <f>'Schedule | 1 Division'!B6</f>
        <v>Team Spirit</v>
      </c>
      <c r="D36" s="92"/>
      <c r="E36" s="635" t="str">
        <f>'Schedule | 1 Division'!B10</f>
        <v>Verso Time</v>
      </c>
      <c r="H36" s="92"/>
    </row>
    <row r="37">
      <c r="A37" s="428" t="s">
        <v>488</v>
      </c>
      <c r="B37" s="622" t="s">
        <v>492</v>
      </c>
      <c r="C37" s="622" t="s">
        <v>367</v>
      </c>
      <c r="D37" s="623" t="s">
        <v>493</v>
      </c>
      <c r="E37" s="624" t="s">
        <v>488</v>
      </c>
      <c r="F37" s="622" t="s">
        <v>494</v>
      </c>
      <c r="G37" s="622" t="s">
        <v>452</v>
      </c>
      <c r="H37" s="623" t="s">
        <v>495</v>
      </c>
    </row>
    <row r="38">
      <c r="A38" s="429" t="s">
        <v>497</v>
      </c>
      <c r="B38" s="625" t="s">
        <v>498</v>
      </c>
      <c r="C38" s="625" t="s">
        <v>397</v>
      </c>
      <c r="D38" s="626" t="s">
        <v>499</v>
      </c>
      <c r="E38" s="577" t="s">
        <v>497</v>
      </c>
      <c r="F38" s="625" t="s">
        <v>498</v>
      </c>
      <c r="G38" s="625" t="s">
        <v>449</v>
      </c>
      <c r="H38" s="626" t="s">
        <v>500</v>
      </c>
    </row>
    <row r="39">
      <c r="A39" s="429" t="s">
        <v>497</v>
      </c>
      <c r="B39" s="625" t="s">
        <v>503</v>
      </c>
      <c r="C39" s="625" t="s">
        <v>340</v>
      </c>
      <c r="D39" s="626" t="s">
        <v>504</v>
      </c>
      <c r="E39" s="577" t="s">
        <v>497</v>
      </c>
      <c r="F39" s="625" t="s">
        <v>503</v>
      </c>
      <c r="G39" s="625" t="s">
        <v>448</v>
      </c>
      <c r="H39" s="626" t="s">
        <v>505</v>
      </c>
    </row>
    <row r="40">
      <c r="A40" s="429" t="s">
        <v>497</v>
      </c>
      <c r="B40" s="109" t="s">
        <v>507</v>
      </c>
      <c r="C40" s="625" t="s">
        <v>356</v>
      </c>
      <c r="D40" s="626" t="s">
        <v>508</v>
      </c>
      <c r="E40" s="577" t="s">
        <v>497</v>
      </c>
      <c r="F40" s="109" t="s">
        <v>507</v>
      </c>
      <c r="G40" s="625" t="s">
        <v>450</v>
      </c>
      <c r="H40" s="626" t="s">
        <v>509</v>
      </c>
    </row>
    <row r="41">
      <c r="A41" s="429" t="s">
        <v>497</v>
      </c>
      <c r="B41" s="625" t="s">
        <v>494</v>
      </c>
      <c r="C41" s="625" t="s">
        <v>386</v>
      </c>
      <c r="D41" s="626" t="s">
        <v>511</v>
      </c>
      <c r="E41" s="577" t="s">
        <v>497</v>
      </c>
      <c r="F41" s="625" t="s">
        <v>492</v>
      </c>
      <c r="G41" s="625" t="s">
        <v>454</v>
      </c>
      <c r="H41" s="626" t="s">
        <v>512</v>
      </c>
    </row>
    <row r="42">
      <c r="A42" s="429" t="s">
        <v>514</v>
      </c>
      <c r="B42" s="625" t="s">
        <v>515</v>
      </c>
      <c r="C42" s="625" t="s">
        <v>516</v>
      </c>
      <c r="D42" s="626" t="s">
        <v>517</v>
      </c>
      <c r="E42" s="577" t="s">
        <v>514</v>
      </c>
      <c r="F42" s="109" t="s">
        <v>507</v>
      </c>
      <c r="G42" s="625" t="s">
        <v>518</v>
      </c>
      <c r="H42" s="626" t="s">
        <v>519</v>
      </c>
    </row>
    <row r="43">
      <c r="A43" s="429" t="s">
        <v>514</v>
      </c>
      <c r="B43" s="627"/>
      <c r="C43" s="625" t="s">
        <v>521</v>
      </c>
      <c r="D43" s="626" t="s">
        <v>522</v>
      </c>
      <c r="E43" s="577" t="s">
        <v>514</v>
      </c>
      <c r="F43" s="627"/>
      <c r="G43" s="627"/>
      <c r="H43" s="628"/>
    </row>
    <row r="44">
      <c r="A44" s="429" t="s">
        <v>525</v>
      </c>
      <c r="B44" s="627"/>
      <c r="C44" s="625" t="s">
        <v>526</v>
      </c>
      <c r="D44" s="629" t="s">
        <v>527</v>
      </c>
      <c r="E44" s="577" t="s">
        <v>525</v>
      </c>
      <c r="F44" s="627"/>
      <c r="G44" s="625" t="s">
        <v>528</v>
      </c>
      <c r="H44" s="629" t="s">
        <v>529</v>
      </c>
    </row>
    <row r="45">
      <c r="A45" s="429" t="s">
        <v>749</v>
      </c>
      <c r="B45" s="627"/>
      <c r="C45" s="625"/>
      <c r="D45" s="626"/>
      <c r="E45" s="577" t="s">
        <v>749</v>
      </c>
      <c r="F45" s="625"/>
      <c r="G45" s="625"/>
      <c r="H45" s="626"/>
    </row>
    <row r="46">
      <c r="A46" s="430" t="s">
        <v>532</v>
      </c>
      <c r="B46" s="631"/>
      <c r="C46" s="632" t="s">
        <v>533</v>
      </c>
      <c r="D46" s="633" t="s">
        <v>534</v>
      </c>
      <c r="E46" s="634" t="s">
        <v>532</v>
      </c>
      <c r="F46" s="631"/>
      <c r="G46" s="632" t="s">
        <v>535</v>
      </c>
      <c r="H46" s="633" t="s">
        <v>536</v>
      </c>
    </row>
  </sheetData>
  <mergeCells count="9">
    <mergeCell ref="A36:D36"/>
    <mergeCell ref="E36:H36"/>
    <mergeCell ref="A1:H1"/>
    <mergeCell ref="A3:D3"/>
    <mergeCell ref="E3:H3"/>
    <mergeCell ref="A14:D14"/>
    <mergeCell ref="E14:H14"/>
    <mergeCell ref="A25:D25"/>
    <mergeCell ref="E25:H25"/>
  </mergeCells>
  <dataValidations>
    <dataValidation type="list" allowBlank="1" showErrorMessage="1" sqref="F5 B5:B6 F16 B18 B21 F21 F28 B29 B40 F40 F42">
      <formula1>"Roam,Exp,Jungler,Gold,Mid,Multirole"</formula1>
    </dataValidation>
    <dataValidation type="list" allowBlank="1" showErrorMessage="1" sqref="B4 F4 B7:B13 F6:F13 F15 B15:B17 B19:B20 F17:F20 B22:B24 F22:F24 F26:F27 B26:B28 B30:B35 F29:F35 B37:B39 F37:F39 F41 B41:B46 F43:F46">
      <formula1>"Roam,Exp,Junger,Gold,Mid,Multirole"</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2.0" topLeftCell="A3" activePane="bottomLeft" state="frozen"/>
      <selection activeCell="B4" sqref="B4" pane="bottomLeft"/>
    </sheetView>
  </sheetViews>
  <sheetFormatPr customHeight="1" defaultColWidth="11.22" defaultRowHeight="15.75"/>
  <cols>
    <col customWidth="1" min="1" max="1" width="9.89"/>
    <col customWidth="1" min="2" max="2" width="15.33"/>
    <col customWidth="1" min="3" max="3" width="19.33"/>
    <col customWidth="1" min="4" max="4" width="6.44"/>
    <col customWidth="1" min="5" max="5" width="15.78"/>
    <col customWidth="1" min="6" max="8" width="9.0"/>
    <col customWidth="1" min="9" max="9" width="15.78"/>
    <col customWidth="1" min="11" max="11" width="15.78"/>
    <col customWidth="1" min="12" max="14" width="9.0"/>
    <col customWidth="1" min="15" max="15" width="15.78"/>
  </cols>
  <sheetData>
    <row r="1" ht="24.75" customHeight="1">
      <c r="A1" s="638"/>
      <c r="B1" s="638"/>
      <c r="C1" s="639"/>
      <c r="D1" s="640"/>
      <c r="E1" s="641" t="s">
        <v>753</v>
      </c>
      <c r="F1" s="8"/>
      <c r="G1" s="8"/>
      <c r="H1" s="8"/>
      <c r="I1" s="8"/>
      <c r="J1" s="8"/>
      <c r="K1" s="8"/>
      <c r="L1" s="8"/>
      <c r="M1" s="8"/>
      <c r="N1" s="8"/>
      <c r="O1" s="8"/>
      <c r="P1" s="68"/>
    </row>
    <row r="2" ht="24.75" customHeight="1">
      <c r="A2" s="642" t="s">
        <v>661</v>
      </c>
      <c r="B2" s="643" t="s">
        <v>115</v>
      </c>
      <c r="C2" s="639"/>
      <c r="D2" s="640"/>
      <c r="E2" s="644" t="s">
        <v>662</v>
      </c>
      <c r="F2" s="454"/>
      <c r="G2" s="454"/>
      <c r="H2" s="454"/>
      <c r="I2" s="454"/>
      <c r="J2" s="455"/>
      <c r="K2" s="644" t="s">
        <v>663</v>
      </c>
      <c r="L2" s="454"/>
      <c r="M2" s="454"/>
      <c r="N2" s="454"/>
      <c r="O2" s="454"/>
      <c r="P2" s="455"/>
    </row>
    <row r="3">
      <c r="A3" s="645">
        <v>1.0</v>
      </c>
      <c r="B3" s="646" t="s">
        <v>754</v>
      </c>
      <c r="C3" s="639"/>
      <c r="D3" s="647"/>
      <c r="E3" s="648">
        <v>46135.0</v>
      </c>
      <c r="F3" s="22"/>
      <c r="G3" s="22"/>
      <c r="H3" s="22"/>
      <c r="I3" s="22"/>
      <c r="J3" s="93"/>
      <c r="K3" s="648">
        <v>46153.0</v>
      </c>
      <c r="L3" s="22"/>
      <c r="M3" s="22"/>
      <c r="N3" s="22"/>
      <c r="O3" s="22"/>
      <c r="P3" s="144"/>
    </row>
    <row r="4">
      <c r="A4" s="645">
        <v>2.0</v>
      </c>
      <c r="B4" s="649" t="s">
        <v>755</v>
      </c>
      <c r="C4" s="650"/>
      <c r="D4" s="651"/>
      <c r="E4" s="652" t="s">
        <v>258</v>
      </c>
      <c r="F4" s="653" t="s">
        <v>259</v>
      </c>
      <c r="G4" s="654" t="s">
        <v>260</v>
      </c>
      <c r="H4" s="653" t="s">
        <v>259</v>
      </c>
      <c r="I4" s="654" t="s">
        <v>261</v>
      </c>
      <c r="J4" s="655" t="s">
        <v>263</v>
      </c>
      <c r="K4" s="652" t="s">
        <v>258</v>
      </c>
      <c r="L4" s="653" t="s">
        <v>259</v>
      </c>
      <c r="M4" s="654" t="s">
        <v>260</v>
      </c>
      <c r="N4" s="653" t="s">
        <v>259</v>
      </c>
      <c r="O4" s="654" t="s">
        <v>261</v>
      </c>
      <c r="P4" s="655" t="s">
        <v>263</v>
      </c>
    </row>
    <row r="5">
      <c r="A5" s="645">
        <v>3.0</v>
      </c>
      <c r="B5" s="656" t="s">
        <v>756</v>
      </c>
      <c r="C5" s="650"/>
      <c r="D5" s="640"/>
      <c r="E5" s="652" t="str">
        <f>$B$3</f>
        <v>HARD GRIND</v>
      </c>
      <c r="F5" s="653">
        <f>'Matches | 2 Division'!D15</f>
        <v>2</v>
      </c>
      <c r="G5" s="657">
        <v>0.75</v>
      </c>
      <c r="H5" s="653">
        <f>'Matches | 2 Division'!E15</f>
        <v>0</v>
      </c>
      <c r="I5" s="654" t="str">
        <f>$B$6</f>
        <v>Aterion Esports</v>
      </c>
      <c r="J5" s="654" t="s">
        <v>72</v>
      </c>
      <c r="K5" s="652" t="str">
        <f>$B$6</f>
        <v>Aterion Esports</v>
      </c>
      <c r="L5" s="653">
        <f>'Matches | 2 Division'!D43</f>
        <v>1</v>
      </c>
      <c r="M5" s="657">
        <v>0.75</v>
      </c>
      <c r="N5" s="653">
        <f>'Matches | 2 Division'!E43</f>
        <v>2</v>
      </c>
      <c r="O5" s="654" t="str">
        <f>$B$4</f>
        <v>The Soulless Team</v>
      </c>
      <c r="P5" s="655" t="s">
        <v>665</v>
      </c>
    </row>
    <row r="6">
      <c r="A6" s="645">
        <v>4.0</v>
      </c>
      <c r="B6" s="649" t="s">
        <v>757</v>
      </c>
      <c r="C6" s="650"/>
      <c r="D6" s="658"/>
      <c r="E6" s="659" t="str">
        <f>$B$10</f>
        <v>Suplex team</v>
      </c>
      <c r="F6" s="660">
        <f>'Matches | 2 Division'!D16</f>
        <v>0</v>
      </c>
      <c r="G6" s="661">
        <v>0.8125</v>
      </c>
      <c r="H6" s="660">
        <f>'Matches | 2 Division'!E16</f>
        <v>2</v>
      </c>
      <c r="I6" s="660" t="str">
        <f>$B$7</f>
        <v>INVISION</v>
      </c>
      <c r="J6" s="640" t="s">
        <v>81</v>
      </c>
      <c r="K6" s="662" t="str">
        <f>$B$9</f>
        <v>Omnix</v>
      </c>
      <c r="L6" s="660">
        <f>'Matches | 2 Division'!D44</f>
        <v>1</v>
      </c>
      <c r="M6" s="661">
        <v>0.8125</v>
      </c>
      <c r="N6" s="660">
        <f>'Matches | 2 Division'!E44</f>
        <v>2</v>
      </c>
      <c r="O6" s="663" t="str">
        <f>$B$7</f>
        <v>INVISION</v>
      </c>
      <c r="P6" s="664" t="s">
        <v>667</v>
      </c>
    </row>
    <row r="7">
      <c r="A7" s="645">
        <v>5.0</v>
      </c>
      <c r="B7" s="656" t="s">
        <v>758</v>
      </c>
      <c r="C7" s="650"/>
      <c r="D7" s="640"/>
      <c r="E7" s="659" t="str">
        <f>$B$8</f>
        <v>Dark Phoenix</v>
      </c>
      <c r="F7" s="660">
        <f>'Matches | 2 Division'!D17</f>
        <v>0</v>
      </c>
      <c r="G7" s="661">
        <v>0.875</v>
      </c>
      <c r="H7" s="660">
        <f>'Matches | 2 Division'!E17</f>
        <v>2</v>
      </c>
      <c r="I7" s="660" t="str">
        <f>$B$9</f>
        <v>Omnix</v>
      </c>
      <c r="J7" s="640" t="s">
        <v>88</v>
      </c>
      <c r="K7" s="662" t="str">
        <f>$B$10</f>
        <v>Suplex team</v>
      </c>
      <c r="L7" s="660">
        <f>'Matches | 2 Division'!D45</f>
        <v>1</v>
      </c>
      <c r="M7" s="661">
        <v>0.875</v>
      </c>
      <c r="N7" s="660">
        <f>'Matches | 2 Division'!E45</f>
        <v>2</v>
      </c>
      <c r="O7" s="663" t="str">
        <f>$B$8</f>
        <v>Dark Phoenix</v>
      </c>
      <c r="P7" s="664" t="s">
        <v>668</v>
      </c>
    </row>
    <row r="8">
      <c r="A8" s="645">
        <v>6.0</v>
      </c>
      <c r="B8" s="649" t="s">
        <v>759</v>
      </c>
      <c r="C8" s="650"/>
      <c r="D8" s="640"/>
      <c r="E8" s="665" t="str">
        <f>$B$4</f>
        <v>The Soulless Team</v>
      </c>
      <c r="F8" s="666">
        <f>'Matches | 2 Division'!D18</f>
        <v>2</v>
      </c>
      <c r="G8" s="667">
        <v>0.9375</v>
      </c>
      <c r="H8" s="666">
        <f>'Matches | 2 Division'!E18</f>
        <v>0</v>
      </c>
      <c r="I8" s="666" t="str">
        <f>$B$5</f>
        <v>TSA White</v>
      </c>
      <c r="J8" s="668" t="s">
        <v>94</v>
      </c>
      <c r="K8" s="669" t="str">
        <f>$B$5</f>
        <v>TSA White</v>
      </c>
      <c r="L8" s="666">
        <f>'Matches | 2 Division'!D46</f>
        <v>0</v>
      </c>
      <c r="M8" s="667">
        <v>0.9375</v>
      </c>
      <c r="N8" s="666">
        <f>'Matches | 2 Division'!E46</f>
        <v>2</v>
      </c>
      <c r="O8" s="670" t="str">
        <f>$B$3</f>
        <v>HARD GRIND</v>
      </c>
      <c r="P8" s="671" t="s">
        <v>669</v>
      </c>
    </row>
    <row r="9">
      <c r="A9" s="645">
        <v>7.0</v>
      </c>
      <c r="B9" s="656" t="s">
        <v>444</v>
      </c>
      <c r="C9" s="650"/>
      <c r="D9" s="647"/>
      <c r="E9" s="648">
        <v>46136.0</v>
      </c>
      <c r="F9" s="22"/>
      <c r="G9" s="22"/>
      <c r="H9" s="22"/>
      <c r="I9" s="22"/>
      <c r="J9" s="93"/>
      <c r="K9" s="648">
        <v>46156.0</v>
      </c>
      <c r="L9" s="22"/>
      <c r="M9" s="22"/>
      <c r="N9" s="22"/>
      <c r="O9" s="22"/>
      <c r="P9" s="144"/>
    </row>
    <row r="10">
      <c r="A10" s="672">
        <v>8.0</v>
      </c>
      <c r="B10" s="673" t="s">
        <v>760</v>
      </c>
      <c r="C10" s="650"/>
      <c r="D10" s="651"/>
      <c r="E10" s="674" t="s">
        <v>258</v>
      </c>
      <c r="F10" s="675" t="s">
        <v>259</v>
      </c>
      <c r="G10" s="676" t="s">
        <v>260</v>
      </c>
      <c r="H10" s="675" t="s">
        <v>259</v>
      </c>
      <c r="I10" s="676" t="s">
        <v>261</v>
      </c>
      <c r="J10" s="677" t="s">
        <v>263</v>
      </c>
      <c r="K10" s="674" t="s">
        <v>258</v>
      </c>
      <c r="L10" s="675" t="s">
        <v>259</v>
      </c>
      <c r="M10" s="676" t="s">
        <v>260</v>
      </c>
      <c r="N10" s="675" t="s">
        <v>259</v>
      </c>
      <c r="O10" s="676" t="s">
        <v>261</v>
      </c>
      <c r="P10" s="677" t="s">
        <v>263</v>
      </c>
    </row>
    <row r="11">
      <c r="A11" s="650"/>
      <c r="B11" s="650"/>
      <c r="C11" s="650"/>
      <c r="D11" s="640"/>
      <c r="E11" s="652" t="str">
        <f>$B$6</f>
        <v>Aterion Esports</v>
      </c>
      <c r="F11" s="653">
        <f>'Matches | 2 Division'!D19</f>
        <v>2</v>
      </c>
      <c r="G11" s="657">
        <v>0.75</v>
      </c>
      <c r="H11" s="653">
        <f>'Matches | 2 Division'!E19</f>
        <v>1</v>
      </c>
      <c r="I11" s="654" t="str">
        <f>$B$8</f>
        <v>Dark Phoenix</v>
      </c>
      <c r="J11" s="654" t="s">
        <v>73</v>
      </c>
      <c r="K11" s="652" t="str">
        <f>$B$9</f>
        <v>Omnix</v>
      </c>
      <c r="L11" s="653">
        <f>'Matches | 2 Division'!D47</f>
        <v>1</v>
      </c>
      <c r="M11" s="657">
        <v>0.75</v>
      </c>
      <c r="N11" s="653">
        <f>'Matches | 2 Division'!E47</f>
        <v>2</v>
      </c>
      <c r="O11" s="654" t="str">
        <f>$B$5</f>
        <v>TSA White</v>
      </c>
      <c r="P11" s="655" t="s">
        <v>671</v>
      </c>
    </row>
    <row r="12">
      <c r="A12" s="663"/>
      <c r="B12" s="663"/>
      <c r="C12" s="650"/>
      <c r="D12" s="663"/>
      <c r="E12" s="678" t="str">
        <f>$B$5</f>
        <v>TSA White</v>
      </c>
      <c r="F12" s="660">
        <f>'Matches | 2 Division'!D20</f>
        <v>2</v>
      </c>
      <c r="G12" s="661">
        <v>0.8125</v>
      </c>
      <c r="H12" s="660">
        <f>'Matches | 2 Division'!E20</f>
        <v>1</v>
      </c>
      <c r="I12" s="663" t="str">
        <f>$B$7</f>
        <v>INVISION</v>
      </c>
      <c r="J12" s="640" t="s">
        <v>82</v>
      </c>
      <c r="K12" s="662" t="str">
        <f>$B$4</f>
        <v>The Soulless Team</v>
      </c>
      <c r="L12" s="660">
        <f>'Matches | 2 Division'!D48</f>
        <v>1</v>
      </c>
      <c r="M12" s="661">
        <v>0.8125</v>
      </c>
      <c r="N12" s="660">
        <f>'Matches | 2 Division'!E48</f>
        <v>2</v>
      </c>
      <c r="O12" s="663" t="str">
        <f>$B$7</f>
        <v>INVISION</v>
      </c>
      <c r="P12" s="664" t="s">
        <v>672</v>
      </c>
    </row>
    <row r="13">
      <c r="A13" s="663"/>
      <c r="B13" s="663"/>
      <c r="C13" s="650"/>
      <c r="D13" s="679"/>
      <c r="E13" s="662" t="str">
        <f>$B$4</f>
        <v>The Soulless Team</v>
      </c>
      <c r="F13" s="660">
        <f>'Matches | 2 Division'!D21</f>
        <v>2</v>
      </c>
      <c r="G13" s="661">
        <v>0.875</v>
      </c>
      <c r="H13" s="660">
        <f>'Matches | 2 Division'!E21</f>
        <v>0</v>
      </c>
      <c r="I13" s="663" t="str">
        <f>$B$10</f>
        <v>Suplex team</v>
      </c>
      <c r="J13" s="640" t="s">
        <v>89</v>
      </c>
      <c r="K13" s="662" t="str">
        <f>$B$10</f>
        <v>Suplex team</v>
      </c>
      <c r="L13" s="660">
        <f>'Matches | 2 Division'!D49</f>
        <v>1</v>
      </c>
      <c r="M13" s="661">
        <v>0.875</v>
      </c>
      <c r="N13" s="660">
        <f>'Matches | 2 Division'!E49</f>
        <v>2</v>
      </c>
      <c r="O13" s="663" t="str">
        <f>$B$6</f>
        <v>Aterion Esports</v>
      </c>
      <c r="P13" s="664" t="s">
        <v>673</v>
      </c>
    </row>
    <row r="14">
      <c r="A14" s="351" t="s">
        <v>103</v>
      </c>
      <c r="B14" s="680" t="s">
        <v>115</v>
      </c>
      <c r="C14" s="643" t="s">
        <v>674</v>
      </c>
      <c r="D14" s="663"/>
      <c r="E14" s="669" t="str">
        <f>$B$9</f>
        <v>Omnix</v>
      </c>
      <c r="F14" s="666">
        <f>'Matches | 2 Division'!D22</f>
        <v>0</v>
      </c>
      <c r="G14" s="667">
        <v>0.9375</v>
      </c>
      <c r="H14" s="666">
        <f>'Matches | 2 Division'!E22</f>
        <v>2</v>
      </c>
      <c r="I14" s="670" t="str">
        <f>$B$3</f>
        <v>HARD GRIND</v>
      </c>
      <c r="J14" s="668" t="s">
        <v>95</v>
      </c>
      <c r="K14" s="669" t="str">
        <f>$B$3</f>
        <v>HARD GRIND</v>
      </c>
      <c r="L14" s="666">
        <f>'Matches | 2 Division'!D50</f>
        <v>0</v>
      </c>
      <c r="M14" s="667">
        <v>0.9375</v>
      </c>
      <c r="N14" s="666">
        <f>'Matches | 2 Division'!E50</f>
        <v>2</v>
      </c>
      <c r="O14" s="670" t="str">
        <f>$B$8</f>
        <v>Dark Phoenix</v>
      </c>
      <c r="P14" s="671" t="s">
        <v>675</v>
      </c>
    </row>
    <row r="15">
      <c r="A15" s="652">
        <v>1.0</v>
      </c>
      <c r="B15" s="681" t="str">
        <f>B4</f>
        <v>The Soulless Team</v>
      </c>
      <c r="C15" s="362" t="s">
        <v>761</v>
      </c>
      <c r="D15" s="647"/>
      <c r="E15" s="648">
        <v>46139.0</v>
      </c>
      <c r="F15" s="22"/>
      <c r="G15" s="22"/>
      <c r="H15" s="22"/>
      <c r="I15" s="22"/>
      <c r="J15" s="93"/>
      <c r="K15" s="648">
        <v>46167.0</v>
      </c>
      <c r="L15" s="22"/>
      <c r="M15" s="22"/>
      <c r="N15" s="22"/>
      <c r="O15" s="22"/>
      <c r="P15" s="144"/>
    </row>
    <row r="16">
      <c r="A16" s="659">
        <v>2.0</v>
      </c>
      <c r="B16" s="663" t="str">
        <f>B3</f>
        <v>HARD GRIND</v>
      </c>
      <c r="C16" s="682" t="s">
        <v>762</v>
      </c>
      <c r="D16" s="651"/>
      <c r="E16" s="652" t="s">
        <v>258</v>
      </c>
      <c r="F16" s="653" t="s">
        <v>259</v>
      </c>
      <c r="G16" s="654" t="s">
        <v>260</v>
      </c>
      <c r="H16" s="653" t="s">
        <v>259</v>
      </c>
      <c r="I16" s="654" t="s">
        <v>261</v>
      </c>
      <c r="J16" s="655" t="s">
        <v>263</v>
      </c>
      <c r="K16" s="652" t="s">
        <v>258</v>
      </c>
      <c r="L16" s="653" t="s">
        <v>259</v>
      </c>
      <c r="M16" s="654" t="s">
        <v>260</v>
      </c>
      <c r="N16" s="653" t="s">
        <v>259</v>
      </c>
      <c r="O16" s="654" t="s">
        <v>261</v>
      </c>
      <c r="P16" s="655" t="s">
        <v>263</v>
      </c>
    </row>
    <row r="17">
      <c r="A17" s="659">
        <v>3.0</v>
      </c>
      <c r="B17" s="663" t="str">
        <f>B5</f>
        <v>TSA White</v>
      </c>
      <c r="C17" s="682" t="s">
        <v>763</v>
      </c>
      <c r="D17" s="640"/>
      <c r="E17" s="652" t="str">
        <f>$B$5</f>
        <v>TSA White</v>
      </c>
      <c r="F17" s="653">
        <f>'Matches | 2 Division'!D23</f>
        <v>2</v>
      </c>
      <c r="G17" s="657">
        <v>0.75</v>
      </c>
      <c r="H17" s="653">
        <f>'Matches | 2 Division'!E23</f>
        <v>0</v>
      </c>
      <c r="I17" s="654" t="str">
        <f>$B$9</f>
        <v>Omnix</v>
      </c>
      <c r="J17" s="654" t="s">
        <v>76</v>
      </c>
      <c r="K17" s="652" t="str">
        <f>$B$8</f>
        <v>Dark Phoenix</v>
      </c>
      <c r="L17" s="653">
        <f>'Matches | 2 Division'!D51</f>
        <v>2</v>
      </c>
      <c r="M17" s="657">
        <v>0.75</v>
      </c>
      <c r="N17" s="653">
        <f>'Matches | 2 Division'!E51</f>
        <v>0</v>
      </c>
      <c r="O17" s="654" t="str">
        <f>$B$6</f>
        <v>Aterion Esports</v>
      </c>
      <c r="P17" s="655" t="s">
        <v>678</v>
      </c>
    </row>
    <row r="18">
      <c r="A18" s="659">
        <v>4.0</v>
      </c>
      <c r="B18" s="663" t="str">
        <f>B7</f>
        <v>INVISION</v>
      </c>
      <c r="C18" s="682" t="s">
        <v>764</v>
      </c>
      <c r="D18" s="663"/>
      <c r="E18" s="662" t="str">
        <f>$B$6</f>
        <v>Aterion Esports</v>
      </c>
      <c r="F18" s="660">
        <f>'Matches | 2 Division'!D24</f>
        <v>2</v>
      </c>
      <c r="G18" s="661">
        <v>0.8125</v>
      </c>
      <c r="H18" s="660">
        <f>'Matches | 2 Division'!E24</f>
        <v>0</v>
      </c>
      <c r="I18" s="663" t="str">
        <f>$B$10</f>
        <v>Suplex team</v>
      </c>
      <c r="J18" s="640" t="s">
        <v>92</v>
      </c>
      <c r="K18" s="662" t="str">
        <f>$B$3</f>
        <v>HARD GRIND</v>
      </c>
      <c r="L18" s="660">
        <f>'Matches | 2 Division'!D52</f>
        <v>0</v>
      </c>
      <c r="M18" s="661">
        <v>0.8125</v>
      </c>
      <c r="N18" s="660">
        <f>'Matches | 2 Division'!E52</f>
        <v>2</v>
      </c>
      <c r="O18" s="663" t="str">
        <f>$B$9</f>
        <v>Omnix</v>
      </c>
      <c r="P18" s="664" t="s">
        <v>680</v>
      </c>
    </row>
    <row r="19">
      <c r="A19" s="659">
        <v>5.0</v>
      </c>
      <c r="B19" s="663" t="str">
        <f>B6</f>
        <v>Aterion Esports</v>
      </c>
      <c r="C19" s="682" t="s">
        <v>764</v>
      </c>
      <c r="D19" s="663"/>
      <c r="E19" s="662" t="str">
        <f>$B$8</f>
        <v>Dark Phoenix</v>
      </c>
      <c r="F19" s="660">
        <f>'Matches | 2 Division'!D25</f>
        <v>0</v>
      </c>
      <c r="G19" s="661">
        <v>0.875</v>
      </c>
      <c r="H19" s="660">
        <f>'Matches | 2 Division'!E25</f>
        <v>2</v>
      </c>
      <c r="I19" s="663" t="str">
        <f>$B$3</f>
        <v>HARD GRIND</v>
      </c>
      <c r="J19" s="640" t="s">
        <v>77</v>
      </c>
      <c r="K19" s="662" t="str">
        <f>$B$7</f>
        <v>INVISION</v>
      </c>
      <c r="L19" s="660">
        <f>'Matches | 2 Division'!D53</f>
        <v>2</v>
      </c>
      <c r="M19" s="661">
        <v>0.875</v>
      </c>
      <c r="N19" s="660">
        <f>'Matches | 2 Division'!E53</f>
        <v>1</v>
      </c>
      <c r="O19" s="663" t="str">
        <f>$B$5</f>
        <v>TSA White</v>
      </c>
      <c r="P19" s="664" t="s">
        <v>682</v>
      </c>
    </row>
    <row r="20">
      <c r="A20" s="659">
        <v>6.0</v>
      </c>
      <c r="B20" s="663" t="str">
        <f>B9</f>
        <v>Omnix</v>
      </c>
      <c r="C20" s="682" t="s">
        <v>763</v>
      </c>
      <c r="D20" s="663"/>
      <c r="E20" s="669" t="str">
        <f>$B$7</f>
        <v>INVISION</v>
      </c>
      <c r="F20" s="666">
        <f>'Matches | 2 Division'!D26</f>
        <v>0</v>
      </c>
      <c r="G20" s="667">
        <v>0.9375</v>
      </c>
      <c r="H20" s="666">
        <f>'Matches | 2 Division'!E26</f>
        <v>2</v>
      </c>
      <c r="I20" s="670" t="str">
        <f>$B$4</f>
        <v>The Soulless Team</v>
      </c>
      <c r="J20" s="668" t="s">
        <v>93</v>
      </c>
      <c r="K20" s="669" t="str">
        <f>$B$10</f>
        <v>Suplex team</v>
      </c>
      <c r="L20" s="666">
        <f>'Matches | 2 Division'!D54</f>
        <v>0</v>
      </c>
      <c r="M20" s="667">
        <v>0.9375</v>
      </c>
      <c r="N20" s="666">
        <f>'Matches | 2 Division'!E54</f>
        <v>2</v>
      </c>
      <c r="O20" s="670" t="str">
        <f>$B$4</f>
        <v>The Soulless Team</v>
      </c>
      <c r="P20" s="671" t="s">
        <v>684</v>
      </c>
    </row>
    <row r="21">
      <c r="A21" s="659">
        <v>7.0</v>
      </c>
      <c r="B21" s="663" t="str">
        <f>B8</f>
        <v>Dark Phoenix</v>
      </c>
      <c r="C21" s="682" t="s">
        <v>762</v>
      </c>
      <c r="D21" s="647"/>
      <c r="E21" s="648">
        <v>46142.0</v>
      </c>
      <c r="F21" s="22"/>
      <c r="G21" s="22"/>
      <c r="H21" s="22"/>
      <c r="I21" s="22"/>
      <c r="J21" s="93"/>
      <c r="K21" s="648">
        <v>46171.0</v>
      </c>
      <c r="L21" s="22"/>
      <c r="M21" s="22"/>
      <c r="N21" s="22"/>
      <c r="O21" s="22"/>
      <c r="P21" s="144"/>
    </row>
    <row r="22">
      <c r="A22" s="665">
        <v>8.0</v>
      </c>
      <c r="B22" s="670" t="str">
        <f>B10</f>
        <v>Suplex team</v>
      </c>
      <c r="C22" s="683" t="s">
        <v>761</v>
      </c>
      <c r="D22" s="651"/>
      <c r="E22" s="652" t="s">
        <v>258</v>
      </c>
      <c r="F22" s="653" t="s">
        <v>259</v>
      </c>
      <c r="G22" s="654" t="s">
        <v>260</v>
      </c>
      <c r="H22" s="653" t="s">
        <v>259</v>
      </c>
      <c r="I22" s="654" t="s">
        <v>261</v>
      </c>
      <c r="J22" s="655" t="s">
        <v>263</v>
      </c>
      <c r="K22" s="652" t="s">
        <v>258</v>
      </c>
      <c r="L22" s="653" t="s">
        <v>259</v>
      </c>
      <c r="M22" s="654" t="s">
        <v>260</v>
      </c>
      <c r="N22" s="653" t="s">
        <v>259</v>
      </c>
      <c r="O22" s="654" t="s">
        <v>261</v>
      </c>
      <c r="P22" s="655" t="s">
        <v>263</v>
      </c>
    </row>
    <row r="23">
      <c r="A23" s="663"/>
      <c r="B23" s="663"/>
      <c r="C23" s="650"/>
      <c r="D23" s="640"/>
      <c r="E23" s="652" t="str">
        <f>$B$7</f>
        <v>INVISION</v>
      </c>
      <c r="F23" s="653">
        <f>'Matches | 2 Division'!D27</f>
        <v>2</v>
      </c>
      <c r="G23" s="657">
        <v>0.75</v>
      </c>
      <c r="H23" s="653">
        <f>'Matches | 2 Division'!E27</f>
        <v>1</v>
      </c>
      <c r="I23" s="654" t="str">
        <f>$B$3</f>
        <v>HARD GRIND</v>
      </c>
      <c r="J23" s="654" t="s">
        <v>85</v>
      </c>
      <c r="K23" s="684" t="str">
        <f>$B$5</f>
        <v>TSA White</v>
      </c>
      <c r="L23" s="653">
        <f>'Matches | 2 Division'!D55</f>
        <v>2</v>
      </c>
      <c r="M23" s="657">
        <v>0.75</v>
      </c>
      <c r="N23" s="653">
        <f>'Matches | 2 Division'!E55</f>
        <v>0</v>
      </c>
      <c r="O23" s="654" t="str">
        <f>$B$10</f>
        <v>Suplex team</v>
      </c>
      <c r="P23" s="655" t="s">
        <v>687</v>
      </c>
    </row>
    <row r="24">
      <c r="A24" s="663"/>
      <c r="B24" s="663"/>
      <c r="C24" s="650"/>
      <c r="D24" s="663"/>
      <c r="E24" s="662" t="str">
        <f>$B$6</f>
        <v>Aterion Esports</v>
      </c>
      <c r="F24" s="660">
        <f>'Matches | 2 Division'!D28</f>
        <v>2</v>
      </c>
      <c r="G24" s="661">
        <v>0.8125</v>
      </c>
      <c r="H24" s="660">
        <f>'Matches | 2 Division'!E28</f>
        <v>0</v>
      </c>
      <c r="I24" s="663" t="str">
        <f>$B$9</f>
        <v>Omnix</v>
      </c>
      <c r="J24" s="640" t="s">
        <v>97</v>
      </c>
      <c r="K24" s="662" t="str">
        <f>$B$3</f>
        <v>HARD GRIND</v>
      </c>
      <c r="L24" s="660">
        <f>'Matches | 2 Division'!D56</f>
        <v>0</v>
      </c>
      <c r="M24" s="661">
        <v>0.8125</v>
      </c>
      <c r="N24" s="660">
        <f>'Matches | 2 Division'!E56</f>
        <v>2</v>
      </c>
      <c r="O24" s="663" t="str">
        <f>$B$7</f>
        <v>INVISION</v>
      </c>
      <c r="P24" s="664" t="s">
        <v>688</v>
      </c>
    </row>
    <row r="25">
      <c r="A25" s="663"/>
      <c r="B25" s="663"/>
      <c r="C25" s="650"/>
      <c r="D25" s="663"/>
      <c r="E25" s="662" t="str">
        <f>$B$8</f>
        <v>Dark Phoenix</v>
      </c>
      <c r="F25" s="660">
        <f>'Matches | 2 Division'!D29</f>
        <v>2</v>
      </c>
      <c r="G25" s="661">
        <v>0.875</v>
      </c>
      <c r="H25" s="660">
        <f>'Matches | 2 Division'!E29</f>
        <v>1</v>
      </c>
      <c r="I25" s="663" t="str">
        <f>$B$4</f>
        <v>The Soulless Team</v>
      </c>
      <c r="J25" s="640" t="s">
        <v>100</v>
      </c>
      <c r="K25" s="662" t="str">
        <f>$B$4</f>
        <v>The Soulless Team</v>
      </c>
      <c r="L25" s="660">
        <f>'Matches | 2 Division'!D57</f>
        <v>2</v>
      </c>
      <c r="M25" s="661">
        <v>0.875</v>
      </c>
      <c r="N25" s="660">
        <f>'Matches | 2 Division'!E57</f>
        <v>0</v>
      </c>
      <c r="O25" s="663" t="str">
        <f>$B$8</f>
        <v>Dark Phoenix</v>
      </c>
      <c r="P25" s="664" t="s">
        <v>689</v>
      </c>
    </row>
    <row r="26">
      <c r="A26" s="663"/>
      <c r="B26" s="663"/>
      <c r="C26" s="650"/>
      <c r="D26" s="663"/>
      <c r="E26" s="669" t="str">
        <f>$B$10</f>
        <v>Suplex team</v>
      </c>
      <c r="F26" s="666">
        <f>'Matches | 2 Division'!D30</f>
        <v>0</v>
      </c>
      <c r="G26" s="667">
        <v>0.9375</v>
      </c>
      <c r="H26" s="666">
        <f>'Matches | 2 Division'!E30</f>
        <v>2</v>
      </c>
      <c r="I26" s="670" t="str">
        <f>$B$5</f>
        <v>TSA White</v>
      </c>
      <c r="J26" s="668" t="s">
        <v>98</v>
      </c>
      <c r="K26" s="669" t="str">
        <f>$B$9</f>
        <v>Omnix</v>
      </c>
      <c r="L26" s="666">
        <f>'Matches | 2 Division'!D58</f>
        <v>0</v>
      </c>
      <c r="M26" s="667">
        <v>0.9375</v>
      </c>
      <c r="N26" s="666">
        <f>'Matches | 2 Division'!E58</f>
        <v>2</v>
      </c>
      <c r="O26" s="670" t="str">
        <f>$B$6</f>
        <v>Aterion Esports</v>
      </c>
      <c r="P26" s="671" t="s">
        <v>690</v>
      </c>
    </row>
    <row r="27">
      <c r="A27" s="663"/>
      <c r="B27" s="663"/>
      <c r="C27" s="650"/>
      <c r="D27" s="647"/>
      <c r="E27" s="648">
        <v>46143.0</v>
      </c>
      <c r="F27" s="22"/>
      <c r="G27" s="22"/>
      <c r="H27" s="22"/>
      <c r="I27" s="22"/>
      <c r="J27" s="93"/>
      <c r="K27" s="648">
        <v>46174.0</v>
      </c>
      <c r="L27" s="22"/>
      <c r="M27" s="22"/>
      <c r="N27" s="22"/>
      <c r="O27" s="22"/>
      <c r="P27" s="144"/>
    </row>
    <row r="28">
      <c r="A28" s="663"/>
      <c r="B28" s="663"/>
      <c r="C28" s="650"/>
      <c r="D28" s="651"/>
      <c r="E28" s="652" t="s">
        <v>258</v>
      </c>
      <c r="F28" s="653" t="s">
        <v>259</v>
      </c>
      <c r="G28" s="654" t="s">
        <v>260</v>
      </c>
      <c r="H28" s="653" t="s">
        <v>259</v>
      </c>
      <c r="I28" s="654" t="s">
        <v>261</v>
      </c>
      <c r="J28" s="655" t="s">
        <v>263</v>
      </c>
      <c r="K28" s="652" t="s">
        <v>258</v>
      </c>
      <c r="L28" s="653" t="s">
        <v>259</v>
      </c>
      <c r="M28" s="654" t="s">
        <v>260</v>
      </c>
      <c r="N28" s="653" t="s">
        <v>259</v>
      </c>
      <c r="O28" s="654" t="s">
        <v>261</v>
      </c>
      <c r="P28" s="655" t="s">
        <v>263</v>
      </c>
    </row>
    <row r="29">
      <c r="A29" s="405"/>
      <c r="B29" s="405"/>
      <c r="C29" s="650"/>
      <c r="D29" s="685"/>
      <c r="E29" s="652" t="str">
        <f>$B$7</f>
        <v>INVISION</v>
      </c>
      <c r="F29" s="653">
        <f>'Matches | 2 Division'!D31</f>
        <v>1</v>
      </c>
      <c r="G29" s="657">
        <v>0.75</v>
      </c>
      <c r="H29" s="653">
        <f>'Matches | 2 Division'!E31</f>
        <v>2</v>
      </c>
      <c r="I29" s="654" t="str">
        <f>$B$9</f>
        <v>Omnix</v>
      </c>
      <c r="J29" s="654" t="s">
        <v>99</v>
      </c>
      <c r="K29" s="686" t="str">
        <f>$B$10</f>
        <v>Suplex team</v>
      </c>
      <c r="L29" s="653">
        <f>'Matches | 2 Division'!D59</f>
        <v>0</v>
      </c>
      <c r="M29" s="657">
        <v>0.75</v>
      </c>
      <c r="N29" s="653">
        <f>'Matches | 2 Division'!E59</f>
        <v>2</v>
      </c>
      <c r="O29" s="687" t="str">
        <f>$B$3</f>
        <v>HARD GRIND</v>
      </c>
      <c r="P29" s="655" t="s">
        <v>691</v>
      </c>
    </row>
    <row r="30">
      <c r="A30" s="405"/>
      <c r="B30" s="405"/>
      <c r="C30" s="650"/>
      <c r="D30" s="688"/>
      <c r="E30" s="662" t="str">
        <f>$B$8</f>
        <v>Dark Phoenix</v>
      </c>
      <c r="F30" s="660">
        <f>'Matches | 2 Division'!D32</f>
        <v>2</v>
      </c>
      <c r="G30" s="661">
        <v>0.8125</v>
      </c>
      <c r="H30" s="660">
        <f>'Matches | 2 Division'!E32</f>
        <v>1</v>
      </c>
      <c r="I30" s="663" t="str">
        <f>$B$10</f>
        <v>Suplex team</v>
      </c>
      <c r="J30" s="640" t="s">
        <v>692</v>
      </c>
      <c r="K30" s="689" t="str">
        <f>$B$9</f>
        <v>Omnix</v>
      </c>
      <c r="L30" s="660">
        <f>'Matches | 2 Division'!D60</f>
        <v>2</v>
      </c>
      <c r="M30" s="661">
        <v>0.8125</v>
      </c>
      <c r="N30" s="660">
        <f>'Matches | 2 Division'!E60</f>
        <v>0</v>
      </c>
      <c r="O30" s="688" t="str">
        <f>$B$4</f>
        <v>The Soulless Team</v>
      </c>
      <c r="P30" s="664" t="s">
        <v>693</v>
      </c>
    </row>
    <row r="31">
      <c r="A31" s="405"/>
      <c r="B31" s="405"/>
      <c r="C31" s="650"/>
      <c r="D31" s="688"/>
      <c r="E31" s="662" t="str">
        <f>$B$3</f>
        <v>HARD GRIND</v>
      </c>
      <c r="F31" s="660">
        <f>'Matches | 2 Division'!D33</f>
        <v>2</v>
      </c>
      <c r="G31" s="661">
        <v>0.875</v>
      </c>
      <c r="H31" s="660">
        <f>'Matches | 2 Division'!E33</f>
        <v>0</v>
      </c>
      <c r="I31" s="663" t="str">
        <f>$B$5</f>
        <v>TSA White</v>
      </c>
      <c r="J31" s="640" t="s">
        <v>694</v>
      </c>
      <c r="K31" s="689" t="str">
        <f>$B$8</f>
        <v>Dark Phoenix</v>
      </c>
      <c r="L31" s="660">
        <f>'Matches | 2 Division'!D61</f>
        <v>2</v>
      </c>
      <c r="M31" s="661">
        <v>0.875</v>
      </c>
      <c r="N31" s="660">
        <f>'Matches | 2 Division'!E61</f>
        <v>0</v>
      </c>
      <c r="O31" s="688" t="str">
        <f>$B$5</f>
        <v>TSA White</v>
      </c>
      <c r="P31" s="664" t="s">
        <v>695</v>
      </c>
    </row>
    <row r="32">
      <c r="A32" s="405"/>
      <c r="B32" s="405"/>
      <c r="C32" s="650"/>
      <c r="D32" s="690"/>
      <c r="E32" s="669" t="str">
        <f>$B$4</f>
        <v>The Soulless Team</v>
      </c>
      <c r="F32" s="666">
        <f>'Matches | 2 Division'!D34</f>
        <v>2</v>
      </c>
      <c r="G32" s="667">
        <v>0.9375</v>
      </c>
      <c r="H32" s="666">
        <f>'Matches | 2 Division'!E34</f>
        <v>0</v>
      </c>
      <c r="I32" s="670" t="str">
        <f>$B$6</f>
        <v>Aterion Esports</v>
      </c>
      <c r="J32" s="668" t="s">
        <v>696</v>
      </c>
      <c r="K32" s="691" t="str">
        <f>$B$7</f>
        <v>INVISION</v>
      </c>
      <c r="L32" s="666">
        <f>'Matches | 2 Division'!D62</f>
        <v>1</v>
      </c>
      <c r="M32" s="667">
        <v>0.9375</v>
      </c>
      <c r="N32" s="666">
        <f>'Matches | 2 Division'!E62</f>
        <v>2</v>
      </c>
      <c r="O32" s="692" t="str">
        <f>$B$6</f>
        <v>Aterion Esports</v>
      </c>
      <c r="P32" s="671" t="s">
        <v>697</v>
      </c>
    </row>
    <row r="33">
      <c r="A33" s="405"/>
      <c r="B33" s="663"/>
      <c r="C33" s="650"/>
      <c r="D33" s="647"/>
      <c r="E33" s="648">
        <v>46146.0</v>
      </c>
      <c r="F33" s="22"/>
      <c r="G33" s="22"/>
      <c r="H33" s="22"/>
      <c r="I33" s="22"/>
      <c r="J33" s="144"/>
      <c r="K33" s="648">
        <v>46177.0</v>
      </c>
      <c r="L33" s="22"/>
      <c r="M33" s="22"/>
      <c r="N33" s="22"/>
      <c r="O33" s="22"/>
      <c r="P33" s="144"/>
    </row>
    <row r="34">
      <c r="A34" s="405"/>
      <c r="B34" s="405"/>
      <c r="C34" s="650"/>
      <c r="D34" s="651"/>
      <c r="E34" s="652" t="s">
        <v>258</v>
      </c>
      <c r="F34" s="653" t="s">
        <v>259</v>
      </c>
      <c r="G34" s="654" t="s">
        <v>260</v>
      </c>
      <c r="H34" s="653" t="s">
        <v>259</v>
      </c>
      <c r="I34" s="654" t="s">
        <v>261</v>
      </c>
      <c r="J34" s="655" t="s">
        <v>263</v>
      </c>
      <c r="K34" s="652" t="s">
        <v>258</v>
      </c>
      <c r="L34" s="653" t="s">
        <v>259</v>
      </c>
      <c r="M34" s="654" t="s">
        <v>260</v>
      </c>
      <c r="N34" s="653" t="s">
        <v>259</v>
      </c>
      <c r="O34" s="654" t="s">
        <v>261</v>
      </c>
      <c r="P34" s="655" t="s">
        <v>263</v>
      </c>
    </row>
    <row r="35">
      <c r="A35" s="663"/>
      <c r="B35" s="663"/>
      <c r="C35" s="650"/>
      <c r="D35" s="693"/>
      <c r="E35" s="694" t="str">
        <f>$B$3</f>
        <v>HARD GRIND</v>
      </c>
      <c r="F35" s="653">
        <f>'Matches | 2 Division'!D35</f>
        <v>2</v>
      </c>
      <c r="G35" s="657">
        <v>0.75</v>
      </c>
      <c r="H35" s="653">
        <f>'Matches | 2 Division'!E35</f>
        <v>1</v>
      </c>
      <c r="I35" s="695" t="str">
        <f>$B$10</f>
        <v>Suplex team</v>
      </c>
      <c r="J35" s="654" t="s">
        <v>698</v>
      </c>
      <c r="K35" s="686" t="str">
        <f>$B$7</f>
        <v>INVISION</v>
      </c>
      <c r="L35" s="653">
        <f>'Matches | 2 Division'!D63</f>
        <v>2</v>
      </c>
      <c r="M35" s="657">
        <v>0.75</v>
      </c>
      <c r="N35" s="653">
        <f>'Matches | 2 Division'!E63</f>
        <v>1</v>
      </c>
      <c r="O35" s="687" t="str">
        <f>$B$10</f>
        <v>Suplex team</v>
      </c>
      <c r="P35" s="655" t="s">
        <v>699</v>
      </c>
    </row>
    <row r="36">
      <c r="A36" s="663"/>
      <c r="B36" s="663"/>
      <c r="C36" s="650"/>
      <c r="D36" s="688"/>
      <c r="E36" s="662" t="str">
        <f>$B$4</f>
        <v>The Soulless Team</v>
      </c>
      <c r="F36" s="660">
        <f>'Matches | 2 Division'!D36</f>
        <v>1</v>
      </c>
      <c r="G36" s="661">
        <v>0.8125</v>
      </c>
      <c r="H36" s="660">
        <f>'Matches | 2 Division'!E36</f>
        <v>2</v>
      </c>
      <c r="I36" s="663" t="str">
        <f>$B$9</f>
        <v>Omnix</v>
      </c>
      <c r="J36" s="640" t="s">
        <v>700</v>
      </c>
      <c r="K36" s="696" t="str">
        <f>$B$5</f>
        <v>TSA White</v>
      </c>
      <c r="L36" s="660">
        <f>'Matches | 2 Division'!D64</f>
        <v>2</v>
      </c>
      <c r="M36" s="661">
        <v>0.8125</v>
      </c>
      <c r="N36" s="660">
        <f>'Matches | 2 Division'!E64</f>
        <v>0</v>
      </c>
      <c r="O36" s="663" t="str">
        <f>$B$4</f>
        <v>The Soulless Team</v>
      </c>
      <c r="P36" s="664" t="s">
        <v>701</v>
      </c>
    </row>
    <row r="37">
      <c r="A37" s="663"/>
      <c r="B37" s="663"/>
      <c r="C37" s="650"/>
      <c r="D37" s="663"/>
      <c r="E37" s="678" t="str">
        <f>$B$5</f>
        <v>TSA White</v>
      </c>
      <c r="F37" s="660">
        <f>'Matches | 2 Division'!D37</f>
        <v>2</v>
      </c>
      <c r="G37" s="661">
        <v>0.875</v>
      </c>
      <c r="H37" s="660">
        <f>'Matches | 2 Division'!E37</f>
        <v>1</v>
      </c>
      <c r="I37" s="663" t="str">
        <f>$B$8</f>
        <v>Dark Phoenix</v>
      </c>
      <c r="J37" s="640" t="s">
        <v>702</v>
      </c>
      <c r="K37" s="689" t="str">
        <f>$B$6</f>
        <v>Aterion Esports</v>
      </c>
      <c r="L37" s="660">
        <f>'Matches | 2 Division'!D65</f>
        <v>2</v>
      </c>
      <c r="M37" s="661">
        <v>0.875</v>
      </c>
      <c r="N37" s="660">
        <f>'Matches | 2 Division'!E65</f>
        <v>1</v>
      </c>
      <c r="O37" s="688" t="str">
        <f>$B$3</f>
        <v>HARD GRIND</v>
      </c>
      <c r="P37" s="664" t="s">
        <v>703</v>
      </c>
    </row>
    <row r="38">
      <c r="A38" s="663"/>
      <c r="B38" s="663"/>
      <c r="C38" s="650"/>
      <c r="D38" s="690"/>
      <c r="E38" s="669" t="str">
        <f>$B$6</f>
        <v>Aterion Esports</v>
      </c>
      <c r="F38" s="666">
        <f>'Matches | 2 Division'!D38</f>
        <v>2</v>
      </c>
      <c r="G38" s="667">
        <v>0.9375</v>
      </c>
      <c r="H38" s="666">
        <f>'Matches | 2 Division'!E38</f>
        <v>1</v>
      </c>
      <c r="I38" s="670" t="str">
        <f>$B$7</f>
        <v>INVISION</v>
      </c>
      <c r="J38" s="668" t="s">
        <v>704</v>
      </c>
      <c r="K38" s="669" t="str">
        <f>$B$9</f>
        <v>Omnix</v>
      </c>
      <c r="L38" s="666">
        <f>'Matches | 2 Division'!D66</f>
        <v>2</v>
      </c>
      <c r="M38" s="667">
        <v>0.9375</v>
      </c>
      <c r="N38" s="666">
        <f>'Matches | 2 Division'!E66</f>
        <v>0</v>
      </c>
      <c r="O38" s="692" t="str">
        <f>$B$8</f>
        <v>Dark Phoenix</v>
      </c>
      <c r="P38" s="671" t="s">
        <v>705</v>
      </c>
    </row>
    <row r="39">
      <c r="A39" s="663"/>
      <c r="B39" s="663"/>
      <c r="C39" s="650"/>
      <c r="D39" s="647"/>
      <c r="E39" s="648">
        <v>46150.0</v>
      </c>
      <c r="F39" s="22"/>
      <c r="G39" s="22"/>
      <c r="H39" s="22"/>
      <c r="I39" s="22"/>
      <c r="J39" s="144"/>
      <c r="K39" s="648">
        <v>46178.0</v>
      </c>
      <c r="L39" s="22"/>
      <c r="M39" s="22"/>
      <c r="N39" s="22"/>
      <c r="O39" s="22"/>
      <c r="P39" s="144"/>
    </row>
    <row r="40">
      <c r="A40" s="663"/>
      <c r="B40" s="663"/>
      <c r="C40" s="650"/>
      <c r="D40" s="651"/>
      <c r="E40" s="652" t="s">
        <v>258</v>
      </c>
      <c r="F40" s="653" t="s">
        <v>259</v>
      </c>
      <c r="G40" s="654" t="s">
        <v>260</v>
      </c>
      <c r="H40" s="653" t="s">
        <v>259</v>
      </c>
      <c r="I40" s="654" t="s">
        <v>261</v>
      </c>
      <c r="J40" s="655" t="s">
        <v>263</v>
      </c>
      <c r="K40" s="652" t="s">
        <v>258</v>
      </c>
      <c r="L40" s="653" t="s">
        <v>259</v>
      </c>
      <c r="M40" s="654" t="s">
        <v>260</v>
      </c>
      <c r="N40" s="653" t="s">
        <v>259</v>
      </c>
      <c r="O40" s="654" t="s">
        <v>261</v>
      </c>
      <c r="P40" s="655" t="s">
        <v>263</v>
      </c>
    </row>
    <row r="41">
      <c r="A41" s="663"/>
      <c r="B41" s="663"/>
      <c r="C41" s="650"/>
      <c r="D41" s="640"/>
      <c r="E41" s="652" t="str">
        <f>$B$9</f>
        <v>Omnix</v>
      </c>
      <c r="F41" s="653">
        <f>'Matches | 2 Division'!D39</f>
        <v>0</v>
      </c>
      <c r="G41" s="657">
        <v>0.75</v>
      </c>
      <c r="H41" s="653">
        <f>'Matches | 2 Division'!E39</f>
        <v>2</v>
      </c>
      <c r="I41" s="654" t="str">
        <f>$B$10</f>
        <v>Suplex team</v>
      </c>
      <c r="J41" s="654" t="s">
        <v>706</v>
      </c>
      <c r="K41" s="652" t="str">
        <f>$B$8</f>
        <v>Dark Phoenix</v>
      </c>
      <c r="L41" s="653">
        <f>'Matches | 2 Division'!D67</f>
        <v>0</v>
      </c>
      <c r="M41" s="657">
        <v>0.75</v>
      </c>
      <c r="N41" s="653">
        <f>'Matches | 2 Division'!E67</f>
        <v>2</v>
      </c>
      <c r="O41" s="654" t="str">
        <f>$B$7</f>
        <v>INVISION</v>
      </c>
      <c r="P41" s="655" t="s">
        <v>707</v>
      </c>
    </row>
    <row r="42">
      <c r="A42" s="663"/>
      <c r="B42" s="663"/>
      <c r="C42" s="650"/>
      <c r="D42" s="663"/>
      <c r="E42" s="662" t="str">
        <f>$B$3</f>
        <v>HARD GRIND</v>
      </c>
      <c r="F42" s="660">
        <f>'Matches | 2 Division'!D40</f>
        <v>1</v>
      </c>
      <c r="G42" s="661">
        <v>0.8125</v>
      </c>
      <c r="H42" s="660">
        <f>'Matches | 2 Division'!E40</f>
        <v>2</v>
      </c>
      <c r="I42" s="663" t="str">
        <f>$B$4</f>
        <v>The Soulless Team</v>
      </c>
      <c r="J42" s="640" t="s">
        <v>708</v>
      </c>
      <c r="K42" s="662" t="str">
        <f>$B$10</f>
        <v>Suplex team</v>
      </c>
      <c r="L42" s="660">
        <f>'Matches | 2 Division'!D68</f>
        <v>0</v>
      </c>
      <c r="M42" s="661">
        <v>0.8125</v>
      </c>
      <c r="N42" s="660">
        <f>'Matches | 2 Division'!E68</f>
        <v>2</v>
      </c>
      <c r="O42" s="663" t="str">
        <f>$B$9</f>
        <v>Omnix</v>
      </c>
      <c r="P42" s="664" t="s">
        <v>709</v>
      </c>
    </row>
    <row r="43">
      <c r="A43" s="663"/>
      <c r="B43" s="663"/>
      <c r="C43" s="650"/>
      <c r="D43" s="663"/>
      <c r="E43" s="662" t="str">
        <f>$B$5</f>
        <v>TSA White</v>
      </c>
      <c r="F43" s="660">
        <f>'Matches | 2 Division'!D41</f>
        <v>2</v>
      </c>
      <c r="G43" s="661">
        <v>0.875</v>
      </c>
      <c r="H43" s="660">
        <f>'Matches | 2 Division'!E41</f>
        <v>0</v>
      </c>
      <c r="I43" s="663" t="str">
        <f>$B$6</f>
        <v>Aterion Esports</v>
      </c>
      <c r="J43" s="640" t="s">
        <v>710</v>
      </c>
      <c r="K43" s="662" t="str">
        <f>$B$4</f>
        <v>The Soulless Team</v>
      </c>
      <c r="L43" s="660">
        <f>'Matches | 2 Division'!D69</f>
        <v>1</v>
      </c>
      <c r="M43" s="661">
        <v>0.875</v>
      </c>
      <c r="N43" s="660">
        <f>'Matches | 2 Division'!E69</f>
        <v>2</v>
      </c>
      <c r="O43" s="663" t="str">
        <f>$B$3</f>
        <v>HARD GRIND</v>
      </c>
      <c r="P43" s="664" t="s">
        <v>711</v>
      </c>
    </row>
    <row r="44">
      <c r="A44" s="663"/>
      <c r="B44" s="663"/>
      <c r="C44" s="650"/>
      <c r="D44" s="663"/>
      <c r="E44" s="669" t="str">
        <f>$B$7</f>
        <v>INVISION</v>
      </c>
      <c r="F44" s="666">
        <f>'Matches | 2 Division'!D42</f>
        <v>0</v>
      </c>
      <c r="G44" s="667">
        <v>0.9375</v>
      </c>
      <c r="H44" s="666">
        <f>'Matches | 2 Division'!E42</f>
        <v>2</v>
      </c>
      <c r="I44" s="670" t="str">
        <f>$B$8</f>
        <v>Dark Phoenix</v>
      </c>
      <c r="J44" s="668" t="s">
        <v>712</v>
      </c>
      <c r="K44" s="669" t="str">
        <f>$B$6</f>
        <v>Aterion Esports</v>
      </c>
      <c r="L44" s="666">
        <f>'Matches | 2 Division'!D70</f>
        <v>1</v>
      </c>
      <c r="M44" s="667">
        <v>0.9375</v>
      </c>
      <c r="N44" s="666">
        <f>'Matches | 2 Division'!E70</f>
        <v>2</v>
      </c>
      <c r="O44" s="670" t="str">
        <f>$B$5</f>
        <v>TSA White</v>
      </c>
      <c r="P44" s="671" t="s">
        <v>713</v>
      </c>
    </row>
  </sheetData>
  <mergeCells count="17">
    <mergeCell ref="E1:P1"/>
    <mergeCell ref="E2:J2"/>
    <mergeCell ref="K2:P2"/>
    <mergeCell ref="E3:J3"/>
    <mergeCell ref="K3:P3"/>
    <mergeCell ref="E9:J9"/>
    <mergeCell ref="K9:P9"/>
    <mergeCell ref="E33:J33"/>
    <mergeCell ref="E39:J39"/>
    <mergeCell ref="K39:P39"/>
    <mergeCell ref="E15:J15"/>
    <mergeCell ref="K15:P15"/>
    <mergeCell ref="E21:J21"/>
    <mergeCell ref="K21:P21"/>
    <mergeCell ref="E27:J27"/>
    <mergeCell ref="K27:P27"/>
    <mergeCell ref="K33:P3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pane ySplit="2.0" topLeftCell="A3" activePane="bottomLeft" state="frozen"/>
      <selection activeCell="B4" sqref="B4" pane="bottomLeft"/>
    </sheetView>
  </sheetViews>
  <sheetFormatPr customHeight="1" defaultColWidth="11.22" defaultRowHeight="15.75"/>
  <cols>
    <col customWidth="1" min="1" max="1" width="12.0"/>
    <col customWidth="1" min="2" max="11" width="15.44"/>
    <col customWidth="1" min="12" max="12" width="3.33"/>
    <col customWidth="1" min="13" max="13" width="7.44"/>
    <col customWidth="1" min="14" max="14" width="15.89"/>
    <col customWidth="1" min="15" max="15" width="16.67"/>
    <col customWidth="1" min="16" max="16" width="15.89"/>
    <col customWidth="1" min="17" max="17" width="8.89"/>
    <col customWidth="1" min="18" max="19" width="7.89"/>
    <col customWidth="1" min="20" max="20" width="8.89"/>
    <col customWidth="1" min="21" max="21" width="15.89"/>
    <col customWidth="1" min="22" max="22" width="14.0"/>
    <col customWidth="1" min="23" max="23" width="15.89"/>
    <col customWidth="1" min="24" max="24" width="3.33"/>
    <col customWidth="1" min="25" max="25" width="7.44"/>
    <col customWidth="1" min="26" max="26" width="15.89"/>
    <col customWidth="1" min="27" max="27" width="16.67"/>
    <col customWidth="1" min="28" max="28" width="15.89"/>
    <col customWidth="1" min="29" max="29" width="8.89"/>
    <col customWidth="1" min="30" max="31" width="7.89"/>
    <col customWidth="1" min="32" max="32" width="8.89"/>
    <col customWidth="1" min="33" max="33" width="15.89"/>
    <col customWidth="1" min="34" max="34" width="14.0"/>
    <col customWidth="1" min="35" max="35" width="15.89"/>
    <col customWidth="1" min="36" max="36" width="3.33"/>
    <col customWidth="1" min="37" max="37" width="7.44"/>
    <col customWidth="1" min="38" max="38" width="15.89"/>
    <col customWidth="1" min="39" max="39" width="16.67"/>
    <col customWidth="1" min="40" max="40" width="15.89"/>
    <col customWidth="1" min="41" max="41" width="8.89"/>
    <col customWidth="1" min="42" max="43" width="7.89"/>
    <col customWidth="1" min="44" max="44" width="8.89"/>
    <col customWidth="1" min="45" max="45" width="15.89"/>
    <col customWidth="1" min="46" max="46" width="14.0"/>
    <col customWidth="1" min="47" max="47" width="15.89"/>
    <col customWidth="1" min="48" max="48" width="3.33"/>
    <col customWidth="1" min="49" max="49" width="7.44"/>
    <col customWidth="1" min="50" max="50" width="15.89"/>
    <col customWidth="1" min="51" max="51" width="16.67"/>
    <col customWidth="1" min="52" max="52" width="15.89"/>
    <col customWidth="1" min="53" max="53" width="8.89"/>
    <col customWidth="1" min="54" max="55" width="7.89"/>
    <col customWidth="1" min="56" max="56" width="8.89"/>
    <col customWidth="1" min="57" max="57" width="15.89"/>
    <col customWidth="1" min="58" max="58" width="14.0"/>
    <col customWidth="1" min="59" max="59" width="15.89"/>
    <col customWidth="1" min="60" max="60" width="3.33"/>
    <col customWidth="1" min="61" max="61" width="7.44"/>
    <col customWidth="1" min="62" max="62" width="15.89"/>
    <col customWidth="1" min="63" max="63" width="16.67"/>
    <col customWidth="1" min="64" max="64" width="15.89"/>
    <col customWidth="1" min="65" max="65" width="8.89"/>
    <col customWidth="1" min="66" max="67" width="7.89"/>
    <col customWidth="1" min="68" max="68" width="8.89"/>
    <col customWidth="1" min="69" max="69" width="15.89"/>
    <col customWidth="1" min="70" max="70" width="14.0"/>
    <col customWidth="1" min="71" max="71" width="15.89"/>
    <col customWidth="1" min="72" max="72" width="3.33"/>
    <col customWidth="1" min="73" max="73" width="7.44"/>
    <col customWidth="1" min="74" max="74" width="15.89"/>
    <col customWidth="1" min="75" max="75" width="16.67"/>
    <col customWidth="1" min="76" max="76" width="15.89"/>
    <col customWidth="1" min="77" max="77" width="8.89"/>
    <col customWidth="1" min="78" max="79" width="7.89"/>
    <col customWidth="1" min="80" max="80" width="8.89"/>
    <col customWidth="1" min="81" max="81" width="15.89"/>
    <col customWidth="1" min="82" max="82" width="14.0"/>
    <col customWidth="1" min="83" max="83" width="15.89"/>
    <col customWidth="1" min="84" max="84" width="3.33"/>
    <col customWidth="1" min="85" max="85" width="7.44"/>
    <col customWidth="1" min="86" max="86" width="15.89"/>
    <col customWidth="1" min="87" max="87" width="16.67"/>
    <col customWidth="1" min="88" max="88" width="15.89"/>
    <col customWidth="1" min="89" max="89" width="8.89"/>
    <col customWidth="1" min="90" max="91" width="7.89"/>
    <col customWidth="1" min="92" max="92" width="8.89"/>
    <col customWidth="1" min="93" max="93" width="15.89"/>
    <col customWidth="1" min="94" max="94" width="14.0"/>
    <col customWidth="1" min="95" max="95" width="15.89"/>
    <col customWidth="1" min="96" max="96" width="3.33"/>
    <col customWidth="1" min="97" max="97" width="7.44"/>
    <col customWidth="1" min="98" max="98" width="15.89"/>
    <col customWidth="1" min="99" max="99" width="16.78"/>
    <col customWidth="1" min="100" max="100" width="15.89"/>
    <col customWidth="1" min="101" max="101" width="8.89"/>
    <col customWidth="1" min="102" max="103" width="7.89"/>
    <col customWidth="1" min="104" max="104" width="8.89"/>
    <col customWidth="1" min="105" max="105" width="15.89"/>
    <col customWidth="1" min="106" max="106" width="16.78"/>
    <col customWidth="1" min="107" max="107" width="15.89"/>
    <col customWidth="1" min="108" max="108" width="3.33"/>
    <col customWidth="1" min="109" max="109" width="7.44"/>
    <col customWidth="1" min="110" max="110" width="15.89"/>
    <col customWidth="1" min="111" max="111" width="16.67"/>
    <col customWidth="1" min="112" max="112" width="15.89"/>
    <col customWidth="1" min="113" max="113" width="8.89"/>
    <col customWidth="1" min="114" max="115" width="7.89"/>
    <col customWidth="1" min="116" max="116" width="8.89"/>
    <col customWidth="1" min="117" max="117" width="15.89"/>
    <col customWidth="1" min="118" max="118" width="14.0"/>
    <col customWidth="1" min="119" max="119" width="15.89"/>
    <col customWidth="1" min="120" max="120" width="3.33"/>
    <col customWidth="1" min="121" max="121" width="7.44"/>
    <col customWidth="1" min="122" max="122" width="15.89"/>
    <col customWidth="1" min="123" max="123" width="16.67"/>
    <col customWidth="1" min="124" max="124" width="15.89"/>
    <col customWidth="1" min="125" max="125" width="8.89"/>
    <col customWidth="1" min="126" max="127" width="7.89"/>
    <col customWidth="1" min="128" max="128" width="8.89"/>
    <col customWidth="1" min="129" max="129" width="15.89"/>
    <col customWidth="1" min="130" max="130" width="14.0"/>
    <col customWidth="1" min="131" max="131" width="15.89"/>
    <col customWidth="1" min="132" max="132" width="3.33"/>
    <col customWidth="1" min="133" max="133" width="7.44"/>
    <col customWidth="1" min="134" max="134" width="15.89"/>
    <col customWidth="1" min="135" max="135" width="16.67"/>
    <col customWidth="1" min="136" max="136" width="15.89"/>
    <col customWidth="1" min="137" max="137" width="8.89"/>
    <col customWidth="1" min="138" max="139" width="7.89"/>
    <col customWidth="1" min="140" max="140" width="8.89"/>
    <col customWidth="1" min="141" max="141" width="15.89"/>
    <col customWidth="1" min="142" max="142" width="14.0"/>
    <col customWidth="1" min="143" max="143" width="15.89"/>
    <col customWidth="1" min="144" max="144" width="3.33"/>
    <col customWidth="1" min="145" max="145" width="7.44"/>
    <col customWidth="1" min="146" max="146" width="15.89"/>
    <col customWidth="1" min="147" max="147" width="16.67"/>
    <col customWidth="1" min="148" max="148" width="15.89"/>
    <col customWidth="1" min="149" max="149" width="8.89"/>
    <col customWidth="1" min="150" max="151" width="7.89"/>
    <col customWidth="1" min="152" max="152" width="8.89"/>
    <col customWidth="1" min="153" max="153" width="15.89"/>
    <col customWidth="1" min="154" max="154" width="14.0"/>
    <col customWidth="1" min="155" max="155" width="15.89"/>
    <col customWidth="1" min="156" max="156" width="3.33"/>
    <col customWidth="1" min="157" max="157" width="7.44"/>
    <col customWidth="1" min="158" max="158" width="15.89"/>
    <col customWidth="1" min="159" max="159" width="16.67"/>
    <col customWidth="1" min="160" max="160" width="15.89"/>
    <col customWidth="1" min="161" max="161" width="8.89"/>
    <col customWidth="1" min="162" max="163" width="7.89"/>
    <col customWidth="1" min="164" max="164" width="8.89"/>
    <col customWidth="1" min="165" max="165" width="15.89"/>
    <col customWidth="1" min="166" max="166" width="14.0"/>
    <col customWidth="1" min="167" max="167" width="15.89"/>
    <col customWidth="1" min="168" max="168" width="3.33"/>
    <col customWidth="1" min="169" max="169" width="7.44"/>
    <col customWidth="1" min="170" max="170" width="15.89"/>
    <col customWidth="1" min="171" max="171" width="16.67"/>
    <col customWidth="1" min="172" max="172" width="15.89"/>
    <col customWidth="1" min="173" max="173" width="8.89"/>
    <col customWidth="1" min="174" max="175" width="7.89"/>
    <col customWidth="1" min="176" max="176" width="8.89"/>
    <col customWidth="1" min="177" max="177" width="15.89"/>
    <col customWidth="1" min="178" max="178" width="14.0"/>
    <col customWidth="1" min="179" max="179" width="15.89"/>
    <col customWidth="1" min="180" max="180" width="3.33"/>
  </cols>
  <sheetData>
    <row r="1" ht="20.25" customHeight="1">
      <c r="A1" s="697" t="s">
        <v>765</v>
      </c>
      <c r="B1" s="8"/>
      <c r="C1" s="8"/>
      <c r="D1" s="8"/>
      <c r="E1" s="8"/>
      <c r="F1" s="8"/>
      <c r="G1" s="8"/>
      <c r="H1" s="8"/>
      <c r="I1" s="8"/>
      <c r="J1" s="8"/>
      <c r="K1" s="68"/>
      <c r="L1" s="698"/>
      <c r="M1" s="699"/>
      <c r="N1" s="681"/>
      <c r="O1" s="681"/>
      <c r="P1" s="681"/>
      <c r="Q1" s="681"/>
      <c r="R1" s="402" t="str">
        <f>'Schedule | 2 Division'!E2</f>
        <v>Round 1</v>
      </c>
      <c r="S1" s="8"/>
      <c r="T1" s="402"/>
      <c r="U1" s="402"/>
      <c r="V1" s="402"/>
      <c r="W1" s="700"/>
      <c r="X1" s="698"/>
      <c r="Y1" s="699"/>
      <c r="Z1" s="681"/>
      <c r="AA1" s="681"/>
      <c r="AB1" s="681"/>
      <c r="AC1" s="681"/>
      <c r="AD1" s="402" t="str">
        <f>'Schedule | 2 Division'!E2</f>
        <v>Round 1</v>
      </c>
      <c r="AE1" s="8"/>
      <c r="AF1" s="402"/>
      <c r="AG1" s="402"/>
      <c r="AH1" s="402"/>
      <c r="AI1" s="700"/>
      <c r="AJ1" s="698"/>
      <c r="AK1" s="699"/>
      <c r="AL1" s="8"/>
      <c r="AM1" s="8"/>
      <c r="AN1" s="8"/>
      <c r="AO1" s="8"/>
      <c r="AP1" s="402" t="str">
        <f>'Schedule | 2 Division'!E2</f>
        <v>Round 1</v>
      </c>
      <c r="AQ1" s="8"/>
      <c r="AR1" s="402"/>
      <c r="AS1" s="8"/>
      <c r="AT1" s="8"/>
      <c r="AU1" s="68"/>
      <c r="AV1" s="698"/>
      <c r="AW1" s="699"/>
      <c r="AX1" s="8"/>
      <c r="AY1" s="8"/>
      <c r="AZ1" s="8"/>
      <c r="BA1" s="8"/>
      <c r="BB1" s="402" t="str">
        <f>'Schedule | 2 Division'!E2</f>
        <v>Round 1</v>
      </c>
      <c r="BC1" s="8"/>
      <c r="BD1" s="402"/>
      <c r="BE1" s="8"/>
      <c r="BF1" s="8"/>
      <c r="BG1" s="68"/>
      <c r="BH1" s="698"/>
      <c r="BI1" s="699"/>
      <c r="BJ1" s="8"/>
      <c r="BK1" s="8"/>
      <c r="BL1" s="8"/>
      <c r="BM1" s="8"/>
      <c r="BN1" s="402" t="str">
        <f>'Schedule | 2 Division'!E2</f>
        <v>Round 1</v>
      </c>
      <c r="BO1" s="8"/>
      <c r="BP1" s="402"/>
      <c r="BQ1" s="8"/>
      <c r="BR1" s="8"/>
      <c r="BS1" s="68"/>
      <c r="BT1" s="698"/>
      <c r="BU1" s="699"/>
      <c r="BV1" s="8"/>
      <c r="BW1" s="8"/>
      <c r="BX1" s="8"/>
      <c r="BY1" s="8"/>
      <c r="BZ1" s="402" t="str">
        <f>'Schedule | 2 Division'!E2</f>
        <v>Round 1</v>
      </c>
      <c r="CA1" s="8"/>
      <c r="CB1" s="402"/>
      <c r="CC1" s="8"/>
      <c r="CD1" s="8"/>
      <c r="CE1" s="68"/>
      <c r="CF1" s="698"/>
      <c r="CG1" s="699"/>
      <c r="CH1" s="8"/>
      <c r="CI1" s="8"/>
      <c r="CJ1" s="8"/>
      <c r="CK1" s="8"/>
      <c r="CL1" s="402" t="str">
        <f>'Schedule | 2 Division'!E2</f>
        <v>Round 1</v>
      </c>
      <c r="CM1" s="8"/>
      <c r="CN1" s="402"/>
      <c r="CO1" s="8"/>
      <c r="CP1" s="8"/>
      <c r="CQ1" s="68"/>
      <c r="CR1" s="698"/>
      <c r="CS1" s="699"/>
      <c r="CT1" s="681"/>
      <c r="CU1" s="681"/>
      <c r="CV1" s="681"/>
      <c r="CW1" s="681"/>
      <c r="CX1" s="402" t="str">
        <f>'Schedule | 2 Division'!K2</f>
        <v>Round 2</v>
      </c>
      <c r="CY1" s="8"/>
      <c r="CZ1" s="402"/>
      <c r="DA1" s="402"/>
      <c r="DB1" s="402"/>
      <c r="DC1" s="700"/>
      <c r="DD1" s="698"/>
      <c r="DE1" s="699"/>
      <c r="DF1" s="681"/>
      <c r="DG1" s="681"/>
      <c r="DH1" s="681"/>
      <c r="DI1" s="681"/>
      <c r="DJ1" s="402" t="str">
        <f>'Schedule | 2 Division'!K2</f>
        <v>Round 2</v>
      </c>
      <c r="DK1" s="8"/>
      <c r="DL1" s="402"/>
      <c r="DM1" s="402"/>
      <c r="DN1" s="402"/>
      <c r="DO1" s="700"/>
      <c r="DP1" s="698"/>
      <c r="DQ1" s="699"/>
      <c r="DR1" s="8"/>
      <c r="DS1" s="8"/>
      <c r="DT1" s="8"/>
      <c r="DU1" s="8"/>
      <c r="DV1" s="402" t="str">
        <f>'Schedule | 2 Division'!K2</f>
        <v>Round 2</v>
      </c>
      <c r="DW1" s="8"/>
      <c r="DX1" s="402"/>
      <c r="DY1" s="8"/>
      <c r="DZ1" s="8"/>
      <c r="EA1" s="68"/>
      <c r="EB1" s="698"/>
      <c r="EC1" s="699"/>
      <c r="ED1" s="8"/>
      <c r="EE1" s="8"/>
      <c r="EF1" s="8"/>
      <c r="EG1" s="8"/>
      <c r="EH1" s="402" t="str">
        <f>'Schedule | 2 Division'!K2</f>
        <v>Round 2</v>
      </c>
      <c r="EI1" s="8"/>
      <c r="EJ1" s="402"/>
      <c r="EK1" s="8"/>
      <c r="EL1" s="8"/>
      <c r="EM1" s="68"/>
      <c r="EN1" s="698"/>
      <c r="EO1" s="699"/>
      <c r="EP1" s="8"/>
      <c r="EQ1" s="8"/>
      <c r="ER1" s="8"/>
      <c r="ES1" s="8"/>
      <c r="ET1" s="402" t="str">
        <f>'Schedule | 2 Division'!K2</f>
        <v>Round 2</v>
      </c>
      <c r="EU1" s="8"/>
      <c r="EV1" s="402"/>
      <c r="EW1" s="8"/>
      <c r="EX1" s="8"/>
      <c r="EY1" s="68"/>
      <c r="EZ1" s="698"/>
      <c r="FA1" s="699"/>
      <c r="FB1" s="8"/>
      <c r="FC1" s="8"/>
      <c r="FD1" s="8"/>
      <c r="FE1" s="8"/>
      <c r="FF1" s="402" t="str">
        <f>'Schedule | 2 Division'!K2</f>
        <v>Round 2</v>
      </c>
      <c r="FG1" s="8"/>
      <c r="FH1" s="402"/>
      <c r="FI1" s="8"/>
      <c r="FJ1" s="8"/>
      <c r="FK1" s="68"/>
      <c r="FL1" s="698"/>
      <c r="FM1" s="699"/>
      <c r="FN1" s="8"/>
      <c r="FO1" s="8"/>
      <c r="FP1" s="8"/>
      <c r="FQ1" s="8"/>
      <c r="FR1" s="402" t="str">
        <f>'Schedule | 2 Division'!K2</f>
        <v>Round 2</v>
      </c>
      <c r="FS1" s="8"/>
      <c r="FT1" s="402"/>
      <c r="FU1" s="8"/>
      <c r="FV1" s="8"/>
      <c r="FW1" s="68"/>
      <c r="FX1" s="698"/>
    </row>
    <row r="2" ht="20.25" customHeight="1">
      <c r="A2" s="61"/>
      <c r="B2" s="22"/>
      <c r="C2" s="22"/>
      <c r="D2" s="22"/>
      <c r="E2" s="22"/>
      <c r="F2" s="22"/>
      <c r="G2" s="22"/>
      <c r="H2" s="22"/>
      <c r="I2" s="22"/>
      <c r="J2" s="22"/>
      <c r="K2" s="93"/>
      <c r="L2" s="698"/>
      <c r="M2" s="669"/>
      <c r="N2" s="22"/>
      <c r="O2" s="22"/>
      <c r="P2" s="22"/>
      <c r="Q2" s="22"/>
      <c r="R2" s="701">
        <f>'Schedule | 2 Division'!E3</f>
        <v>46135</v>
      </c>
      <c r="S2" s="22"/>
      <c r="T2" s="702"/>
      <c r="U2" s="22"/>
      <c r="V2" s="22"/>
      <c r="W2" s="93"/>
      <c r="X2" s="698"/>
      <c r="Y2" s="669"/>
      <c r="Z2" s="22"/>
      <c r="AA2" s="22"/>
      <c r="AB2" s="22"/>
      <c r="AC2" s="22"/>
      <c r="AD2" s="701">
        <f>'Schedule | 2 Division'!E9</f>
        <v>46136</v>
      </c>
      <c r="AE2" s="22"/>
      <c r="AF2" s="702"/>
      <c r="AG2" s="22"/>
      <c r="AH2" s="22"/>
      <c r="AI2" s="93"/>
      <c r="AJ2" s="698"/>
      <c r="AK2" s="669"/>
      <c r="AL2" s="22"/>
      <c r="AM2" s="22"/>
      <c r="AN2" s="22"/>
      <c r="AO2" s="22"/>
      <c r="AP2" s="701">
        <f>'Schedule | 2 Division'!E15</f>
        <v>46139</v>
      </c>
      <c r="AQ2" s="22"/>
      <c r="AR2" s="702"/>
      <c r="AS2" s="22"/>
      <c r="AT2" s="22"/>
      <c r="AU2" s="93"/>
      <c r="AV2" s="698"/>
      <c r="AW2" s="669"/>
      <c r="AX2" s="22"/>
      <c r="AY2" s="22"/>
      <c r="AZ2" s="22"/>
      <c r="BA2" s="22"/>
      <c r="BB2" s="701">
        <f>'Schedule | 2 Division'!E21</f>
        <v>46142</v>
      </c>
      <c r="BC2" s="22"/>
      <c r="BD2" s="702"/>
      <c r="BE2" s="22"/>
      <c r="BF2" s="22"/>
      <c r="BG2" s="93"/>
      <c r="BH2" s="698"/>
      <c r="BI2" s="669"/>
      <c r="BJ2" s="22"/>
      <c r="BK2" s="22"/>
      <c r="BL2" s="22"/>
      <c r="BM2" s="22"/>
      <c r="BN2" s="701">
        <f>'Schedule | 2 Division'!E27</f>
        <v>46143</v>
      </c>
      <c r="BO2" s="22"/>
      <c r="BP2" s="702"/>
      <c r="BQ2" s="22"/>
      <c r="BR2" s="22"/>
      <c r="BS2" s="93"/>
      <c r="BT2" s="698"/>
      <c r="BU2" s="669"/>
      <c r="BV2" s="22"/>
      <c r="BW2" s="22"/>
      <c r="BX2" s="22"/>
      <c r="BY2" s="22"/>
      <c r="BZ2" s="701">
        <f>'Schedule | 2 Division'!E33</f>
        <v>46146</v>
      </c>
      <c r="CA2" s="22"/>
      <c r="CB2" s="702"/>
      <c r="CC2" s="22"/>
      <c r="CD2" s="22"/>
      <c r="CE2" s="93"/>
      <c r="CF2" s="698"/>
      <c r="CG2" s="669"/>
      <c r="CH2" s="22"/>
      <c r="CI2" s="22"/>
      <c r="CJ2" s="22"/>
      <c r="CK2" s="22"/>
      <c r="CL2" s="701">
        <f>'Schedule | 2 Division'!E39</f>
        <v>46150</v>
      </c>
      <c r="CM2" s="22"/>
      <c r="CN2" s="702"/>
      <c r="CO2" s="22"/>
      <c r="CP2" s="22"/>
      <c r="CQ2" s="93"/>
      <c r="CR2" s="698"/>
      <c r="CS2" s="669"/>
      <c r="CT2" s="22"/>
      <c r="CU2" s="22"/>
      <c r="CV2" s="22"/>
      <c r="CW2" s="22"/>
      <c r="CX2" s="701">
        <f>'Schedule | 2 Division'!K3</f>
        <v>46153</v>
      </c>
      <c r="CY2" s="22"/>
      <c r="CZ2" s="702"/>
      <c r="DA2" s="22"/>
      <c r="DB2" s="22"/>
      <c r="DC2" s="93"/>
      <c r="DD2" s="698"/>
      <c r="DE2" s="669"/>
      <c r="DF2" s="22"/>
      <c r="DG2" s="22"/>
      <c r="DH2" s="22"/>
      <c r="DI2" s="22"/>
      <c r="DJ2" s="701">
        <f>'Schedule | 2 Division'!K9</f>
        <v>46156</v>
      </c>
      <c r="DK2" s="22"/>
      <c r="DL2" s="702"/>
      <c r="DM2" s="22"/>
      <c r="DN2" s="22"/>
      <c r="DO2" s="93"/>
      <c r="DP2" s="698"/>
      <c r="DQ2" s="669"/>
      <c r="DR2" s="22"/>
      <c r="DS2" s="22"/>
      <c r="DT2" s="22"/>
      <c r="DU2" s="22"/>
      <c r="DV2" s="701">
        <f>'Schedule | 2 Division'!K15</f>
        <v>46167</v>
      </c>
      <c r="DW2" s="22"/>
      <c r="DX2" s="702"/>
      <c r="DY2" s="22"/>
      <c r="DZ2" s="22"/>
      <c r="EA2" s="93"/>
      <c r="EB2" s="698"/>
      <c r="EC2" s="669"/>
      <c r="ED2" s="22"/>
      <c r="EE2" s="22"/>
      <c r="EF2" s="22"/>
      <c r="EG2" s="22"/>
      <c r="EH2" s="701">
        <f>'Schedule | 2 Division'!K21</f>
        <v>46171</v>
      </c>
      <c r="EI2" s="22"/>
      <c r="EJ2" s="702"/>
      <c r="EK2" s="22"/>
      <c r="EL2" s="22"/>
      <c r="EM2" s="93"/>
      <c r="EN2" s="698"/>
      <c r="EO2" s="669"/>
      <c r="EP2" s="22"/>
      <c r="EQ2" s="22"/>
      <c r="ER2" s="22"/>
      <c r="ES2" s="22"/>
      <c r="ET2" s="701">
        <f>'Schedule | 2 Division'!K27</f>
        <v>46174</v>
      </c>
      <c r="EU2" s="22"/>
      <c r="EV2" s="702"/>
      <c r="EW2" s="22"/>
      <c r="EX2" s="22"/>
      <c r="EY2" s="93"/>
      <c r="EZ2" s="698"/>
      <c r="FA2" s="669"/>
      <c r="FB2" s="22"/>
      <c r="FC2" s="22"/>
      <c r="FD2" s="22"/>
      <c r="FE2" s="22"/>
      <c r="FF2" s="701">
        <f>'Schedule | 2 Division'!K33</f>
        <v>46177</v>
      </c>
      <c r="FG2" s="22"/>
      <c r="FH2" s="702"/>
      <c r="FI2" s="22"/>
      <c r="FJ2" s="22"/>
      <c r="FK2" s="93"/>
      <c r="FL2" s="698"/>
      <c r="FM2" s="669"/>
      <c r="FN2" s="22"/>
      <c r="FO2" s="22"/>
      <c r="FP2" s="22"/>
      <c r="FQ2" s="22"/>
      <c r="FR2" s="701">
        <f>'Schedule | 2 Division'!K39</f>
        <v>46178</v>
      </c>
      <c r="FS2" s="22"/>
      <c r="FT2" s="702"/>
      <c r="FU2" s="22"/>
      <c r="FV2" s="22"/>
      <c r="FW2" s="93"/>
      <c r="FX2" s="698"/>
    </row>
    <row r="3">
      <c r="A3" s="703" t="s">
        <v>715</v>
      </c>
      <c r="B3" s="704" t="s">
        <v>115</v>
      </c>
      <c r="C3" s="705" t="s">
        <v>716</v>
      </c>
      <c r="D3" s="706" t="s">
        <v>766</v>
      </c>
      <c r="E3" s="707" t="s">
        <v>718</v>
      </c>
      <c r="F3" s="707" t="s">
        <v>719</v>
      </c>
      <c r="G3" s="707" t="s">
        <v>720</v>
      </c>
      <c r="H3" s="708" t="s">
        <v>721</v>
      </c>
      <c r="I3" s="709" t="s">
        <v>722</v>
      </c>
      <c r="J3" s="710" t="s">
        <v>723</v>
      </c>
      <c r="K3" s="711" t="s">
        <v>724</v>
      </c>
      <c r="L3" s="712"/>
      <c r="M3" s="531" t="str">
        <f>'Schedule | 2 Division'!E5</f>
        <v>HARD GRIND</v>
      </c>
      <c r="R3" s="531" t="str">
        <f>'Schedule | 2 Division'!J5</f>
        <v>Match 1</v>
      </c>
      <c r="S3" s="92"/>
      <c r="T3" s="404" t="str">
        <f>'Schedule | 2 Division'!I5</f>
        <v>Aterion Esports</v>
      </c>
      <c r="W3" s="92"/>
      <c r="X3" s="712"/>
      <c r="Y3" s="531" t="str">
        <f>'Schedule | 2 Division'!E11</f>
        <v>Aterion Esports</v>
      </c>
      <c r="AD3" s="531" t="str">
        <f>'Schedule | 2 Division'!J11</f>
        <v>Match 5</v>
      </c>
      <c r="AE3" s="92"/>
      <c r="AF3" s="351" t="str">
        <f>'Schedule | 2 Division'!I11</f>
        <v>Dark Phoenix</v>
      </c>
      <c r="AG3" s="8"/>
      <c r="AH3" s="8"/>
      <c r="AI3" s="68"/>
      <c r="AJ3" s="712"/>
      <c r="AK3" s="531" t="str">
        <f>'Schedule | 2 Division'!E17</f>
        <v>TSA White</v>
      </c>
      <c r="AP3" s="531" t="str">
        <f>'Schedule | 2 Division'!J17</f>
        <v>Match 9</v>
      </c>
      <c r="AQ3" s="92"/>
      <c r="AR3" s="404" t="str">
        <f>'Schedule | 2 Division'!I17</f>
        <v>Omnix</v>
      </c>
      <c r="AU3" s="92"/>
      <c r="AV3" s="712"/>
      <c r="AW3" s="531" t="str">
        <f>'Schedule | 2 Division'!E23</f>
        <v>INVISION</v>
      </c>
      <c r="BB3" s="531" t="str">
        <f>'Schedule | 2 Division'!J23</f>
        <v>Match 13</v>
      </c>
      <c r="BC3" s="92"/>
      <c r="BD3" s="404" t="str">
        <f>'Schedule | 2 Division'!I23</f>
        <v>HARD GRIND</v>
      </c>
      <c r="BG3" s="92"/>
      <c r="BH3" s="712"/>
      <c r="BI3" s="531" t="str">
        <f>'Schedule | 2 Division'!E29</f>
        <v>INVISION</v>
      </c>
      <c r="BN3" s="531" t="str">
        <f>'Schedule | 2 Division'!J29</f>
        <v>Match 17</v>
      </c>
      <c r="BO3" s="92"/>
      <c r="BP3" s="404" t="str">
        <f>'Schedule | 2 Division'!I29</f>
        <v>Omnix</v>
      </c>
      <c r="BS3" s="92"/>
      <c r="BT3" s="712"/>
      <c r="BU3" s="534" t="str">
        <f>'Schedule | 2 Division'!E35</f>
        <v>HARD GRIND</v>
      </c>
      <c r="BZ3" s="531" t="str">
        <f>'Schedule | 2 Division'!J35</f>
        <v>Match 21</v>
      </c>
      <c r="CA3" s="92"/>
      <c r="CB3" s="535" t="str">
        <f>'Schedule | 2 Division'!I35</f>
        <v>Suplex team</v>
      </c>
      <c r="CE3" s="92"/>
      <c r="CF3" s="712"/>
      <c r="CG3" s="531" t="str">
        <f>'Schedule | 2 Division'!E41</f>
        <v>Omnix</v>
      </c>
      <c r="CL3" s="531" t="str">
        <f>'Schedule | 2 Division'!J41</f>
        <v>Match 25</v>
      </c>
      <c r="CM3" s="92"/>
      <c r="CN3" s="404" t="str">
        <f>'Schedule | 2 Division'!I41</f>
        <v>Suplex team</v>
      </c>
      <c r="CQ3" s="92"/>
      <c r="CR3" s="712"/>
      <c r="CS3" s="531" t="str">
        <f>'Schedule | 2 Division'!K5</f>
        <v>Aterion Esports</v>
      </c>
      <c r="CX3" s="531" t="str">
        <f>'Schedule | 2 Division'!P5</f>
        <v>Match 29</v>
      </c>
      <c r="CY3" s="92"/>
      <c r="CZ3" s="404" t="str">
        <f>'Schedule | 2 Division'!O5</f>
        <v>The Soulless Team</v>
      </c>
      <c r="DC3" s="92"/>
      <c r="DD3" s="712"/>
      <c r="DE3" s="531" t="str">
        <f>'Schedule | 2 Division'!K11</f>
        <v>Omnix</v>
      </c>
      <c r="DJ3" s="531" t="str">
        <f>'Schedule | 2 Division'!P11</f>
        <v>Match 33</v>
      </c>
      <c r="DK3" s="92"/>
      <c r="DL3" s="404" t="str">
        <f>'Schedule | 2 Division'!O11</f>
        <v>TSA White</v>
      </c>
      <c r="DO3" s="92"/>
      <c r="DP3" s="712"/>
      <c r="DQ3" s="531" t="str">
        <f>'Schedule | 2 Division'!K17</f>
        <v>Dark Phoenix</v>
      </c>
      <c r="DV3" s="531" t="str">
        <f>'Schedule | 2 Division'!P17</f>
        <v>Match 37</v>
      </c>
      <c r="DW3" s="92"/>
      <c r="DX3" s="404" t="str">
        <f>'Schedule | 2 Division'!O17</f>
        <v>Aterion Esports</v>
      </c>
      <c r="EA3" s="92"/>
      <c r="EB3" s="712"/>
      <c r="EC3" s="531" t="str">
        <f>'Schedule | 2 Division'!K23</f>
        <v>TSA White</v>
      </c>
      <c r="EH3" s="531" t="str">
        <f>'Schedule | 2 Division'!P23</f>
        <v>Match 41</v>
      </c>
      <c r="EI3" s="92"/>
      <c r="EJ3" s="404" t="str">
        <f>'Schedule | 2 Division'!O23</f>
        <v>Suplex team</v>
      </c>
      <c r="EM3" s="92"/>
      <c r="EN3" s="712"/>
      <c r="EO3" s="531" t="str">
        <f>'Schedule | 2 Division'!K29</f>
        <v>Suplex team</v>
      </c>
      <c r="ET3" s="531" t="str">
        <f>'Schedule | 2 Division'!P29</f>
        <v>Match 45</v>
      </c>
      <c r="EU3" s="92"/>
      <c r="EV3" s="404" t="str">
        <f>'Schedule | 2 Division'!O29</f>
        <v>HARD GRIND</v>
      </c>
      <c r="EY3" s="92"/>
      <c r="EZ3" s="712"/>
      <c r="FA3" s="531" t="str">
        <f>'Schedule | 2 Division'!K35</f>
        <v>INVISION</v>
      </c>
      <c r="FF3" s="531" t="str">
        <f>'Schedule | 2 Division'!P35</f>
        <v>Match 49</v>
      </c>
      <c r="FG3" s="92"/>
      <c r="FH3" s="404" t="str">
        <f>'Schedule | 2 Division'!O35</f>
        <v>Suplex team</v>
      </c>
      <c r="FK3" s="92"/>
      <c r="FL3" s="712"/>
      <c r="FM3" s="531" t="str">
        <f>'Schedule | 2 Division'!K41</f>
        <v>Dark Phoenix</v>
      </c>
      <c r="FR3" s="531" t="str">
        <f>'Schedule | 2 Division'!P41</f>
        <v>Match 53</v>
      </c>
      <c r="FS3" s="92"/>
      <c r="FT3" s="404" t="str">
        <f>'Schedule | 2 Division'!O41</f>
        <v>INVISION</v>
      </c>
      <c r="FW3" s="92"/>
      <c r="FX3" s="712"/>
    </row>
    <row r="4">
      <c r="A4" s="713">
        <v>1.0</v>
      </c>
      <c r="B4" s="652" t="str">
        <f>'Schedule | 2 Division'!B4</f>
        <v>The Soulless Team</v>
      </c>
      <c r="C4" s="714">
        <f t="shared" ref="C4:C11" si="1">E4*3+F4*2+G4</f>
        <v>26</v>
      </c>
      <c r="D4" s="659">
        <f t="shared" ref="D4:D11" si="2">SUM(E4:H4)</f>
        <v>14</v>
      </c>
      <c r="E4" s="640">
        <f t="shared" ref="E4:E11" si="3">COUNTIF($G$15:$G$70, B4)</f>
        <v>6</v>
      </c>
      <c r="F4" s="640">
        <f t="shared" ref="F4:F11" si="4">COUNTIF($H$15:$H$70, B4)</f>
        <v>2</v>
      </c>
      <c r="G4" s="640">
        <f t="shared" ref="G4:G11" si="5">COUNTIF($I$15:$I$70, B4)</f>
        <v>4</v>
      </c>
      <c r="H4" s="664">
        <f t="shared" ref="H4:H11" si="6">COUNTIF($J$15:$J$70, B4)</f>
        <v>2</v>
      </c>
      <c r="I4" s="640">
        <f t="shared" ref="I4:I11" si="7">SUMIFS($D$15:$D$70,$C$15:$C$70,B4)+SUMIFS($E$15:$E$70,$F$15:$F$70,B4)</f>
        <v>20</v>
      </c>
      <c r="J4" s="663">
        <f t="shared" ref="J4:J11" si="8">SUMIFS($D$15:$D$70,$F$15:$F$70,B4)+SUMIFS($E$15:$E$70,$C$15:$C$70,B4)</f>
        <v>14</v>
      </c>
      <c r="K4" s="715">
        <f t="shared" ref="K4:K11" si="9">I4-J4</f>
        <v>6</v>
      </c>
      <c r="L4" s="712"/>
      <c r="M4" s="61"/>
      <c r="N4" s="22"/>
      <c r="O4" s="22"/>
      <c r="P4" s="22"/>
      <c r="Q4" s="22"/>
      <c r="R4" s="61"/>
      <c r="S4" s="93"/>
      <c r="T4" s="22"/>
      <c r="U4" s="22"/>
      <c r="V4" s="22"/>
      <c r="W4" s="93"/>
      <c r="X4" s="712"/>
      <c r="Y4" s="61"/>
      <c r="Z4" s="22"/>
      <c r="AA4" s="22"/>
      <c r="AB4" s="22"/>
      <c r="AC4" s="22"/>
      <c r="AD4" s="61"/>
      <c r="AE4" s="93"/>
      <c r="AF4" s="61"/>
      <c r="AG4" s="22"/>
      <c r="AH4" s="22"/>
      <c r="AI4" s="93"/>
      <c r="AJ4" s="712"/>
      <c r="AK4" s="61"/>
      <c r="AL4" s="22"/>
      <c r="AM4" s="22"/>
      <c r="AN4" s="22"/>
      <c r="AO4" s="22"/>
      <c r="AP4" s="61"/>
      <c r="AQ4" s="93"/>
      <c r="AR4" s="22"/>
      <c r="AS4" s="22"/>
      <c r="AT4" s="22"/>
      <c r="AU4" s="93"/>
      <c r="AV4" s="712"/>
      <c r="AW4" s="61"/>
      <c r="AX4" s="22"/>
      <c r="AY4" s="22"/>
      <c r="AZ4" s="22"/>
      <c r="BA4" s="22"/>
      <c r="BB4" s="61"/>
      <c r="BC4" s="93"/>
      <c r="BD4" s="22"/>
      <c r="BE4" s="22"/>
      <c r="BF4" s="22"/>
      <c r="BG4" s="93"/>
      <c r="BH4" s="712"/>
      <c r="BI4" s="61"/>
      <c r="BJ4" s="22"/>
      <c r="BK4" s="22"/>
      <c r="BL4" s="22"/>
      <c r="BM4" s="22"/>
      <c r="BN4" s="61"/>
      <c r="BO4" s="93"/>
      <c r="BP4" s="22"/>
      <c r="BQ4" s="22"/>
      <c r="BR4" s="22"/>
      <c r="BS4" s="93"/>
      <c r="BT4" s="712"/>
      <c r="BU4" s="61"/>
      <c r="BV4" s="22"/>
      <c r="BW4" s="22"/>
      <c r="BX4" s="22"/>
      <c r="BY4" s="22"/>
      <c r="BZ4" s="61"/>
      <c r="CA4" s="93"/>
      <c r="CB4" s="22"/>
      <c r="CC4" s="22"/>
      <c r="CD4" s="22"/>
      <c r="CE4" s="93"/>
      <c r="CF4" s="712"/>
      <c r="CG4" s="61"/>
      <c r="CH4" s="22"/>
      <c r="CI4" s="22"/>
      <c r="CJ4" s="22"/>
      <c r="CK4" s="22"/>
      <c r="CL4" s="61"/>
      <c r="CM4" s="93"/>
      <c r="CN4" s="22"/>
      <c r="CO4" s="22"/>
      <c r="CP4" s="22"/>
      <c r="CQ4" s="93"/>
      <c r="CR4" s="712"/>
      <c r="CS4" s="61"/>
      <c r="CT4" s="22"/>
      <c r="CU4" s="22"/>
      <c r="CV4" s="22"/>
      <c r="CW4" s="22"/>
      <c r="CX4" s="61"/>
      <c r="CY4" s="93"/>
      <c r="CZ4" s="22"/>
      <c r="DA4" s="22"/>
      <c r="DB4" s="22"/>
      <c r="DC4" s="93"/>
      <c r="DD4" s="712"/>
      <c r="DE4" s="61"/>
      <c r="DF4" s="22"/>
      <c r="DG4" s="22"/>
      <c r="DH4" s="22"/>
      <c r="DI4" s="22"/>
      <c r="DJ4" s="61"/>
      <c r="DK4" s="93"/>
      <c r="DL4" s="22"/>
      <c r="DM4" s="22"/>
      <c r="DN4" s="22"/>
      <c r="DO4" s="93"/>
      <c r="DP4" s="712"/>
      <c r="DQ4" s="61"/>
      <c r="DR4" s="22"/>
      <c r="DS4" s="22"/>
      <c r="DT4" s="22"/>
      <c r="DU4" s="22"/>
      <c r="DV4" s="61"/>
      <c r="DW4" s="93"/>
      <c r="DX4" s="22"/>
      <c r="DY4" s="22"/>
      <c r="DZ4" s="22"/>
      <c r="EA4" s="93"/>
      <c r="EB4" s="712"/>
      <c r="EC4" s="61"/>
      <c r="ED4" s="22"/>
      <c r="EE4" s="22"/>
      <c r="EF4" s="22"/>
      <c r="EG4" s="22"/>
      <c r="EH4" s="61"/>
      <c r="EI4" s="93"/>
      <c r="EJ4" s="22"/>
      <c r="EK4" s="22"/>
      <c r="EL4" s="22"/>
      <c r="EM4" s="93"/>
      <c r="EN4" s="712"/>
      <c r="EO4" s="61"/>
      <c r="EP4" s="22"/>
      <c r="EQ4" s="22"/>
      <c r="ER4" s="22"/>
      <c r="ES4" s="22"/>
      <c r="ET4" s="61"/>
      <c r="EU4" s="93"/>
      <c r="EV4" s="22"/>
      <c r="EW4" s="22"/>
      <c r="EX4" s="22"/>
      <c r="EY4" s="93"/>
      <c r="EZ4" s="712"/>
      <c r="FA4" s="61"/>
      <c r="FB4" s="22"/>
      <c r="FC4" s="22"/>
      <c r="FD4" s="22"/>
      <c r="FE4" s="22"/>
      <c r="FF4" s="61"/>
      <c r="FG4" s="93"/>
      <c r="FH4" s="22"/>
      <c r="FI4" s="22"/>
      <c r="FJ4" s="22"/>
      <c r="FK4" s="93"/>
      <c r="FL4" s="712"/>
      <c r="FM4" s="61"/>
      <c r="FN4" s="22"/>
      <c r="FO4" s="22"/>
      <c r="FP4" s="22"/>
      <c r="FQ4" s="22"/>
      <c r="FR4" s="61"/>
      <c r="FS4" s="93"/>
      <c r="FT4" s="22"/>
      <c r="FU4" s="22"/>
      <c r="FV4" s="22"/>
      <c r="FW4" s="93"/>
      <c r="FX4" s="712"/>
    </row>
    <row r="5">
      <c r="A5" s="537">
        <v>2.0</v>
      </c>
      <c r="B5" s="659" t="str">
        <f>'Schedule | 2 Division'!B3</f>
        <v>HARD GRIND</v>
      </c>
      <c r="C5" s="716">
        <f t="shared" si="1"/>
        <v>25</v>
      </c>
      <c r="D5" s="659">
        <f t="shared" si="2"/>
        <v>14</v>
      </c>
      <c r="E5" s="640">
        <f t="shared" si="3"/>
        <v>6</v>
      </c>
      <c r="F5" s="640">
        <f t="shared" si="4"/>
        <v>2</v>
      </c>
      <c r="G5" s="640">
        <f t="shared" si="5"/>
        <v>3</v>
      </c>
      <c r="H5" s="664">
        <f t="shared" si="6"/>
        <v>3</v>
      </c>
      <c r="I5" s="640">
        <f t="shared" si="7"/>
        <v>19</v>
      </c>
      <c r="J5" s="663">
        <f t="shared" si="8"/>
        <v>14</v>
      </c>
      <c r="K5" s="715">
        <f t="shared" si="9"/>
        <v>5</v>
      </c>
      <c r="L5" s="712"/>
      <c r="M5" s="356" t="s">
        <v>307</v>
      </c>
      <c r="N5" s="365" t="s">
        <v>308</v>
      </c>
      <c r="O5" s="358" t="s">
        <v>309</v>
      </c>
      <c r="P5" s="363" t="s">
        <v>310</v>
      </c>
      <c r="Q5" s="366" t="s">
        <v>311</v>
      </c>
      <c r="R5" s="360" t="s">
        <v>259</v>
      </c>
      <c r="S5" s="100"/>
      <c r="T5" s="360" t="s">
        <v>311</v>
      </c>
      <c r="U5" s="363" t="s">
        <v>312</v>
      </c>
      <c r="V5" s="358" t="s">
        <v>313</v>
      </c>
      <c r="W5" s="364" t="s">
        <v>314</v>
      </c>
      <c r="X5" s="712"/>
      <c r="Y5" s="356" t="s">
        <v>307</v>
      </c>
      <c r="Z5" s="365" t="s">
        <v>308</v>
      </c>
      <c r="AA5" s="363" t="s">
        <v>309</v>
      </c>
      <c r="AB5" s="363" t="s">
        <v>310</v>
      </c>
      <c r="AC5" s="366" t="s">
        <v>311</v>
      </c>
      <c r="AD5" s="360" t="s">
        <v>259</v>
      </c>
      <c r="AE5" s="100"/>
      <c r="AF5" s="360" t="s">
        <v>311</v>
      </c>
      <c r="AG5" s="363" t="s">
        <v>312</v>
      </c>
      <c r="AH5" s="358" t="s">
        <v>313</v>
      </c>
      <c r="AI5" s="364" t="s">
        <v>314</v>
      </c>
      <c r="AJ5" s="712"/>
      <c r="AK5" s="356" t="s">
        <v>307</v>
      </c>
      <c r="AL5" s="365" t="s">
        <v>308</v>
      </c>
      <c r="AM5" s="363" t="s">
        <v>309</v>
      </c>
      <c r="AN5" s="363" t="s">
        <v>310</v>
      </c>
      <c r="AO5" s="366" t="s">
        <v>311</v>
      </c>
      <c r="AP5" s="360" t="s">
        <v>259</v>
      </c>
      <c r="AQ5" s="100"/>
      <c r="AR5" s="360" t="s">
        <v>311</v>
      </c>
      <c r="AS5" s="363" t="s">
        <v>312</v>
      </c>
      <c r="AT5" s="363" t="s">
        <v>313</v>
      </c>
      <c r="AU5" s="364" t="s">
        <v>314</v>
      </c>
      <c r="AV5" s="712"/>
      <c r="AW5" s="356" t="s">
        <v>307</v>
      </c>
      <c r="AX5" s="365" t="s">
        <v>308</v>
      </c>
      <c r="AY5" s="358" t="s">
        <v>309</v>
      </c>
      <c r="AZ5" s="363" t="s">
        <v>310</v>
      </c>
      <c r="BA5" s="366" t="s">
        <v>311</v>
      </c>
      <c r="BB5" s="360" t="s">
        <v>259</v>
      </c>
      <c r="BC5" s="100"/>
      <c r="BD5" s="361" t="s">
        <v>311</v>
      </c>
      <c r="BE5" s="358" t="s">
        <v>312</v>
      </c>
      <c r="BF5" s="358" t="s">
        <v>313</v>
      </c>
      <c r="BG5" s="362" t="s">
        <v>314</v>
      </c>
      <c r="BH5" s="712"/>
      <c r="BI5" s="356" t="s">
        <v>307</v>
      </c>
      <c r="BJ5" s="365" t="s">
        <v>308</v>
      </c>
      <c r="BK5" s="363" t="s">
        <v>309</v>
      </c>
      <c r="BL5" s="363" t="s">
        <v>310</v>
      </c>
      <c r="BM5" s="366" t="s">
        <v>311</v>
      </c>
      <c r="BN5" s="360" t="s">
        <v>259</v>
      </c>
      <c r="BO5" s="100"/>
      <c r="BP5" s="360" t="s">
        <v>311</v>
      </c>
      <c r="BQ5" s="363" t="s">
        <v>312</v>
      </c>
      <c r="BR5" s="363" t="s">
        <v>313</v>
      </c>
      <c r="BS5" s="364" t="s">
        <v>314</v>
      </c>
      <c r="BT5" s="712"/>
      <c r="BU5" s="356" t="s">
        <v>307</v>
      </c>
      <c r="BV5" s="365" t="s">
        <v>308</v>
      </c>
      <c r="BW5" s="363" t="s">
        <v>309</v>
      </c>
      <c r="BX5" s="363" t="s">
        <v>310</v>
      </c>
      <c r="BY5" s="366" t="s">
        <v>311</v>
      </c>
      <c r="BZ5" s="360" t="s">
        <v>259</v>
      </c>
      <c r="CA5" s="100"/>
      <c r="CB5" s="360" t="s">
        <v>311</v>
      </c>
      <c r="CC5" s="363" t="s">
        <v>312</v>
      </c>
      <c r="CD5" s="363" t="s">
        <v>313</v>
      </c>
      <c r="CE5" s="364" t="s">
        <v>314</v>
      </c>
      <c r="CF5" s="712"/>
      <c r="CG5" s="356" t="s">
        <v>307</v>
      </c>
      <c r="CH5" s="365" t="s">
        <v>308</v>
      </c>
      <c r="CI5" s="363" t="s">
        <v>309</v>
      </c>
      <c r="CJ5" s="363" t="s">
        <v>310</v>
      </c>
      <c r="CK5" s="366" t="s">
        <v>311</v>
      </c>
      <c r="CL5" s="360" t="s">
        <v>259</v>
      </c>
      <c r="CM5" s="100"/>
      <c r="CN5" s="360" t="s">
        <v>311</v>
      </c>
      <c r="CO5" s="363" t="s">
        <v>312</v>
      </c>
      <c r="CP5" s="363" t="s">
        <v>313</v>
      </c>
      <c r="CQ5" s="364" t="s">
        <v>314</v>
      </c>
      <c r="CR5" s="712"/>
      <c r="CS5" s="356" t="s">
        <v>307</v>
      </c>
      <c r="CT5" s="365" t="s">
        <v>308</v>
      </c>
      <c r="CU5" s="363" t="s">
        <v>309</v>
      </c>
      <c r="CV5" s="363" t="s">
        <v>310</v>
      </c>
      <c r="CW5" s="366" t="s">
        <v>311</v>
      </c>
      <c r="CX5" s="360" t="s">
        <v>259</v>
      </c>
      <c r="CY5" s="100"/>
      <c r="CZ5" s="361" t="s">
        <v>311</v>
      </c>
      <c r="DA5" s="358" t="s">
        <v>312</v>
      </c>
      <c r="DB5" s="358" t="s">
        <v>313</v>
      </c>
      <c r="DC5" s="362" t="s">
        <v>314</v>
      </c>
      <c r="DD5" s="712"/>
      <c r="DE5" s="356" t="s">
        <v>307</v>
      </c>
      <c r="DF5" s="365" t="s">
        <v>308</v>
      </c>
      <c r="DG5" s="363" t="s">
        <v>309</v>
      </c>
      <c r="DH5" s="363" t="s">
        <v>310</v>
      </c>
      <c r="DI5" s="366" t="s">
        <v>311</v>
      </c>
      <c r="DJ5" s="360" t="s">
        <v>259</v>
      </c>
      <c r="DK5" s="100"/>
      <c r="DL5" s="361" t="s">
        <v>311</v>
      </c>
      <c r="DM5" s="358" t="s">
        <v>312</v>
      </c>
      <c r="DN5" s="358" t="s">
        <v>313</v>
      </c>
      <c r="DO5" s="362" t="s">
        <v>314</v>
      </c>
      <c r="DP5" s="712"/>
      <c r="DQ5" s="356" t="s">
        <v>307</v>
      </c>
      <c r="DR5" s="365" t="s">
        <v>308</v>
      </c>
      <c r="DS5" s="363" t="s">
        <v>309</v>
      </c>
      <c r="DT5" s="363" t="s">
        <v>310</v>
      </c>
      <c r="DU5" s="366" t="s">
        <v>311</v>
      </c>
      <c r="DV5" s="360" t="s">
        <v>259</v>
      </c>
      <c r="DW5" s="100"/>
      <c r="DX5" s="360" t="s">
        <v>311</v>
      </c>
      <c r="DY5" s="363" t="s">
        <v>312</v>
      </c>
      <c r="DZ5" s="363" t="s">
        <v>313</v>
      </c>
      <c r="EA5" s="364" t="s">
        <v>314</v>
      </c>
      <c r="EB5" s="712"/>
      <c r="EC5" s="356" t="s">
        <v>307</v>
      </c>
      <c r="ED5" s="365" t="s">
        <v>308</v>
      </c>
      <c r="EE5" s="363" t="s">
        <v>309</v>
      </c>
      <c r="EF5" s="363" t="s">
        <v>310</v>
      </c>
      <c r="EG5" s="366" t="s">
        <v>311</v>
      </c>
      <c r="EH5" s="360" t="s">
        <v>259</v>
      </c>
      <c r="EI5" s="100"/>
      <c r="EJ5" s="360" t="s">
        <v>311</v>
      </c>
      <c r="EK5" s="363" t="s">
        <v>312</v>
      </c>
      <c r="EL5" s="363" t="s">
        <v>313</v>
      </c>
      <c r="EM5" s="364" t="s">
        <v>314</v>
      </c>
      <c r="EN5" s="712"/>
      <c r="EO5" s="356" t="s">
        <v>307</v>
      </c>
      <c r="EP5" s="365" t="s">
        <v>308</v>
      </c>
      <c r="EQ5" s="363" t="s">
        <v>309</v>
      </c>
      <c r="ER5" s="363" t="s">
        <v>310</v>
      </c>
      <c r="ES5" s="366" t="s">
        <v>311</v>
      </c>
      <c r="ET5" s="360" t="s">
        <v>259</v>
      </c>
      <c r="EU5" s="100"/>
      <c r="EV5" s="360" t="s">
        <v>311</v>
      </c>
      <c r="EW5" s="363" t="s">
        <v>312</v>
      </c>
      <c r="EX5" s="363" t="s">
        <v>313</v>
      </c>
      <c r="EY5" s="364" t="s">
        <v>314</v>
      </c>
      <c r="EZ5" s="712"/>
      <c r="FA5" s="356" t="s">
        <v>307</v>
      </c>
      <c r="FB5" s="365" t="s">
        <v>308</v>
      </c>
      <c r="FC5" s="363" t="s">
        <v>309</v>
      </c>
      <c r="FD5" s="363" t="s">
        <v>310</v>
      </c>
      <c r="FE5" s="366" t="s">
        <v>311</v>
      </c>
      <c r="FF5" s="360" t="s">
        <v>259</v>
      </c>
      <c r="FG5" s="100"/>
      <c r="FH5" s="360" t="s">
        <v>311</v>
      </c>
      <c r="FI5" s="363" t="s">
        <v>312</v>
      </c>
      <c r="FJ5" s="363" t="s">
        <v>313</v>
      </c>
      <c r="FK5" s="364" t="s">
        <v>314</v>
      </c>
      <c r="FL5" s="712"/>
      <c r="FM5" s="356" t="s">
        <v>307</v>
      </c>
      <c r="FN5" s="365" t="s">
        <v>308</v>
      </c>
      <c r="FO5" s="363" t="s">
        <v>309</v>
      </c>
      <c r="FP5" s="363" t="s">
        <v>310</v>
      </c>
      <c r="FQ5" s="366" t="s">
        <v>311</v>
      </c>
      <c r="FR5" s="360" t="s">
        <v>259</v>
      </c>
      <c r="FS5" s="100"/>
      <c r="FT5" s="361" t="s">
        <v>311</v>
      </c>
      <c r="FU5" s="358" t="s">
        <v>312</v>
      </c>
      <c r="FV5" s="358" t="s">
        <v>313</v>
      </c>
      <c r="FW5" s="362" t="s">
        <v>314</v>
      </c>
      <c r="FX5" s="712"/>
    </row>
    <row r="6">
      <c r="A6" s="537">
        <v>3.0</v>
      </c>
      <c r="B6" s="659" t="str">
        <f>'Schedule | 2 Division'!B5</f>
        <v>TSA White</v>
      </c>
      <c r="C6" s="716">
        <f t="shared" si="1"/>
        <v>24</v>
      </c>
      <c r="D6" s="659">
        <f t="shared" si="2"/>
        <v>14</v>
      </c>
      <c r="E6" s="640">
        <f t="shared" si="3"/>
        <v>5</v>
      </c>
      <c r="F6" s="640">
        <f t="shared" si="4"/>
        <v>4</v>
      </c>
      <c r="G6" s="640">
        <f t="shared" si="5"/>
        <v>1</v>
      </c>
      <c r="H6" s="664">
        <f t="shared" si="6"/>
        <v>4</v>
      </c>
      <c r="I6" s="640">
        <f t="shared" si="7"/>
        <v>19</v>
      </c>
      <c r="J6" s="663">
        <f t="shared" si="8"/>
        <v>14</v>
      </c>
      <c r="K6" s="664">
        <f t="shared" si="9"/>
        <v>5</v>
      </c>
      <c r="L6" s="717"/>
      <c r="M6" s="656">
        <v>1.0</v>
      </c>
      <c r="N6" s="357" t="s">
        <v>369</v>
      </c>
      <c r="O6" s="718" t="s">
        <v>767</v>
      </c>
      <c r="P6" s="358" t="s">
        <v>400</v>
      </c>
      <c r="Q6" s="362" t="s">
        <v>318</v>
      </c>
      <c r="R6" s="719" t="s">
        <v>319</v>
      </c>
      <c r="S6" s="720" t="s">
        <v>320</v>
      </c>
      <c r="T6" s="358" t="s">
        <v>321</v>
      </c>
      <c r="U6" s="358" t="s">
        <v>352</v>
      </c>
      <c r="V6" s="718" t="s">
        <v>481</v>
      </c>
      <c r="W6" s="362" t="s">
        <v>324</v>
      </c>
      <c r="X6" s="717"/>
      <c r="Y6" s="656">
        <v>1.0</v>
      </c>
      <c r="Z6" s="357" t="s">
        <v>327</v>
      </c>
      <c r="AA6" s="718" t="s">
        <v>480</v>
      </c>
      <c r="AB6" s="358" t="s">
        <v>396</v>
      </c>
      <c r="AC6" s="362" t="s">
        <v>318</v>
      </c>
      <c r="AD6" s="719" t="s">
        <v>320</v>
      </c>
      <c r="AE6" s="720" t="s">
        <v>319</v>
      </c>
      <c r="AF6" s="358" t="s">
        <v>321</v>
      </c>
      <c r="AG6" s="358" t="s">
        <v>389</v>
      </c>
      <c r="AH6" s="718" t="s">
        <v>768</v>
      </c>
      <c r="AI6" s="362" t="s">
        <v>342</v>
      </c>
      <c r="AJ6" s="717"/>
      <c r="AK6" s="656">
        <v>1.0</v>
      </c>
      <c r="AL6" s="357" t="s">
        <v>331</v>
      </c>
      <c r="AM6" s="718" t="s">
        <v>426</v>
      </c>
      <c r="AN6" s="358" t="s">
        <v>315</v>
      </c>
      <c r="AO6" s="362" t="s">
        <v>318</v>
      </c>
      <c r="AP6" s="719" t="s">
        <v>319</v>
      </c>
      <c r="AQ6" s="720" t="s">
        <v>320</v>
      </c>
      <c r="AR6" s="358" t="s">
        <v>321</v>
      </c>
      <c r="AS6" s="358" t="s">
        <v>343</v>
      </c>
      <c r="AT6" s="718" t="s">
        <v>769</v>
      </c>
      <c r="AU6" s="721" t="s">
        <v>327</v>
      </c>
      <c r="AV6" s="717"/>
      <c r="AW6" s="656">
        <v>1.0</v>
      </c>
      <c r="AX6" s="357" t="s">
        <v>354</v>
      </c>
      <c r="AY6" s="718" t="s">
        <v>473</v>
      </c>
      <c r="AZ6" s="358" t="s">
        <v>361</v>
      </c>
      <c r="BA6" s="362" t="s">
        <v>318</v>
      </c>
      <c r="BB6" s="719" t="s">
        <v>319</v>
      </c>
      <c r="BC6" s="719" t="s">
        <v>320</v>
      </c>
      <c r="BD6" s="357" t="s">
        <v>321</v>
      </c>
      <c r="BE6" s="358" t="s">
        <v>342</v>
      </c>
      <c r="BF6" s="718" t="s">
        <v>770</v>
      </c>
      <c r="BG6" s="362" t="s">
        <v>324</v>
      </c>
      <c r="BH6" s="717"/>
      <c r="BI6" s="656">
        <v>1.0</v>
      </c>
      <c r="BJ6" s="357" t="s">
        <v>342</v>
      </c>
      <c r="BK6" s="718" t="s">
        <v>479</v>
      </c>
      <c r="BL6" s="358" t="s">
        <v>328</v>
      </c>
      <c r="BM6" s="362" t="s">
        <v>318</v>
      </c>
      <c r="BN6" s="719" t="s">
        <v>320</v>
      </c>
      <c r="BO6" s="720" t="s">
        <v>319</v>
      </c>
      <c r="BP6" s="358" t="s">
        <v>321</v>
      </c>
      <c r="BQ6" s="358" t="s">
        <v>400</v>
      </c>
      <c r="BR6" s="718" t="s">
        <v>441</v>
      </c>
      <c r="BS6" s="721" t="s">
        <v>324</v>
      </c>
      <c r="BT6" s="717"/>
      <c r="BU6" s="656">
        <v>1.0</v>
      </c>
      <c r="BV6" s="357" t="s">
        <v>369</v>
      </c>
      <c r="BW6" s="718" t="s">
        <v>425</v>
      </c>
      <c r="BX6" s="358" t="s">
        <v>327</v>
      </c>
      <c r="BY6" s="362" t="s">
        <v>318</v>
      </c>
      <c r="BZ6" s="719" t="s">
        <v>319</v>
      </c>
      <c r="CA6" s="720" t="s">
        <v>320</v>
      </c>
      <c r="CB6" s="358" t="s">
        <v>321</v>
      </c>
      <c r="CC6" s="358" t="s">
        <v>384</v>
      </c>
      <c r="CD6" s="718" t="s">
        <v>390</v>
      </c>
      <c r="CE6" s="721" t="s">
        <v>317</v>
      </c>
      <c r="CF6" s="717"/>
      <c r="CG6" s="656">
        <v>1.0</v>
      </c>
      <c r="CH6" s="357" t="s">
        <v>327</v>
      </c>
      <c r="CI6" s="718" t="s">
        <v>441</v>
      </c>
      <c r="CJ6" s="358" t="s">
        <v>331</v>
      </c>
      <c r="CK6" s="362" t="s">
        <v>318</v>
      </c>
      <c r="CL6" s="719" t="s">
        <v>320</v>
      </c>
      <c r="CM6" s="720" t="s">
        <v>319</v>
      </c>
      <c r="CN6" s="358" t="s">
        <v>321</v>
      </c>
      <c r="CO6" s="358" t="s">
        <v>384</v>
      </c>
      <c r="CP6" s="718" t="s">
        <v>390</v>
      </c>
      <c r="CQ6" s="721" t="s">
        <v>342</v>
      </c>
      <c r="CR6" s="717"/>
      <c r="CS6" s="656">
        <v>1.0</v>
      </c>
      <c r="CT6" s="357" t="s">
        <v>315</v>
      </c>
      <c r="CU6" s="718" t="s">
        <v>771</v>
      </c>
      <c r="CV6" s="358" t="s">
        <v>328</v>
      </c>
      <c r="CW6" s="362" t="s">
        <v>318</v>
      </c>
      <c r="CX6" s="719" t="s">
        <v>320</v>
      </c>
      <c r="CY6" s="719" t="s">
        <v>319</v>
      </c>
      <c r="CZ6" s="357" t="s">
        <v>321</v>
      </c>
      <c r="DA6" s="358" t="s">
        <v>384</v>
      </c>
      <c r="DB6" s="718" t="s">
        <v>316</v>
      </c>
      <c r="DC6" s="362" t="s">
        <v>325</v>
      </c>
      <c r="DD6" s="717"/>
      <c r="DE6" s="656">
        <v>1.0</v>
      </c>
      <c r="DF6" s="357" t="s">
        <v>315</v>
      </c>
      <c r="DG6" s="718" t="s">
        <v>435</v>
      </c>
      <c r="DH6" s="358" t="s">
        <v>342</v>
      </c>
      <c r="DI6" s="362" t="s">
        <v>318</v>
      </c>
      <c r="DJ6" s="719" t="s">
        <v>320</v>
      </c>
      <c r="DK6" s="719" t="s">
        <v>319</v>
      </c>
      <c r="DL6" s="357" t="s">
        <v>321</v>
      </c>
      <c r="DM6" s="358" t="s">
        <v>362</v>
      </c>
      <c r="DN6" s="718" t="s">
        <v>459</v>
      </c>
      <c r="DO6" s="362" t="s">
        <v>324</v>
      </c>
      <c r="DP6" s="717"/>
      <c r="DQ6" s="656">
        <v>1.0</v>
      </c>
      <c r="DR6" s="357" t="s">
        <v>324</v>
      </c>
      <c r="DS6" s="718" t="s">
        <v>772</v>
      </c>
      <c r="DT6" s="358" t="s">
        <v>361</v>
      </c>
      <c r="DU6" s="362" t="s">
        <v>318</v>
      </c>
      <c r="DV6" s="719" t="s">
        <v>319</v>
      </c>
      <c r="DW6" s="719" t="s">
        <v>320</v>
      </c>
      <c r="DX6" s="357" t="s">
        <v>321</v>
      </c>
      <c r="DY6" s="358" t="s">
        <v>369</v>
      </c>
      <c r="DZ6" s="718" t="s">
        <v>480</v>
      </c>
      <c r="EA6" s="362" t="s">
        <v>396</v>
      </c>
      <c r="EB6" s="717"/>
      <c r="EC6" s="656">
        <v>1.0</v>
      </c>
      <c r="ED6" s="357" t="s">
        <v>434</v>
      </c>
      <c r="EE6" s="234" t="s">
        <v>461</v>
      </c>
      <c r="EF6" s="358" t="s">
        <v>325</v>
      </c>
      <c r="EG6" s="362" t="s">
        <v>318</v>
      </c>
      <c r="EH6" s="719" t="s">
        <v>319</v>
      </c>
      <c r="EI6" s="719" t="s">
        <v>320</v>
      </c>
      <c r="EJ6" s="357" t="s">
        <v>321</v>
      </c>
      <c r="EK6" s="358" t="s">
        <v>400</v>
      </c>
      <c r="EL6" s="718" t="s">
        <v>773</v>
      </c>
      <c r="EM6" s="362" t="s">
        <v>342</v>
      </c>
      <c r="EN6" s="717"/>
      <c r="EO6" s="656">
        <v>1.0</v>
      </c>
      <c r="EP6" s="357" t="s">
        <v>369</v>
      </c>
      <c r="EQ6" s="718" t="s">
        <v>659</v>
      </c>
      <c r="ER6" s="358" t="s">
        <v>331</v>
      </c>
      <c r="ES6" s="362" t="s">
        <v>318</v>
      </c>
      <c r="ET6" s="719" t="s">
        <v>320</v>
      </c>
      <c r="EU6" s="719" t="s">
        <v>319</v>
      </c>
      <c r="EV6" s="357" t="s">
        <v>321</v>
      </c>
      <c r="EW6" s="358" t="s">
        <v>328</v>
      </c>
      <c r="EX6" s="718" t="s">
        <v>605</v>
      </c>
      <c r="EY6" s="362" t="s">
        <v>324</v>
      </c>
      <c r="EZ6" s="717"/>
      <c r="FA6" s="656">
        <v>1.0</v>
      </c>
      <c r="FB6" s="357" t="s">
        <v>337</v>
      </c>
      <c r="FC6" s="718" t="s">
        <v>473</v>
      </c>
      <c r="FD6" s="358" t="s">
        <v>395</v>
      </c>
      <c r="FE6" s="362" t="s">
        <v>318</v>
      </c>
      <c r="FF6" s="719" t="s">
        <v>320</v>
      </c>
      <c r="FG6" s="719" t="s">
        <v>319</v>
      </c>
      <c r="FH6" s="357" t="s">
        <v>321</v>
      </c>
      <c r="FI6" s="358" t="s">
        <v>317</v>
      </c>
      <c r="FJ6" s="718" t="s">
        <v>360</v>
      </c>
      <c r="FK6" s="362" t="s">
        <v>324</v>
      </c>
      <c r="FL6" s="717"/>
      <c r="FM6" s="656">
        <v>1.0</v>
      </c>
      <c r="FN6" s="357" t="s">
        <v>327</v>
      </c>
      <c r="FO6" s="718" t="s">
        <v>419</v>
      </c>
      <c r="FP6" s="358" t="s">
        <v>343</v>
      </c>
      <c r="FQ6" s="362" t="s">
        <v>318</v>
      </c>
      <c r="FR6" s="719" t="s">
        <v>320</v>
      </c>
      <c r="FS6" s="719" t="s">
        <v>319</v>
      </c>
      <c r="FT6" s="357" t="s">
        <v>321</v>
      </c>
      <c r="FU6" s="358" t="s">
        <v>382</v>
      </c>
      <c r="FV6" s="718" t="s">
        <v>473</v>
      </c>
      <c r="FW6" s="362" t="s">
        <v>342</v>
      </c>
      <c r="FX6" s="717"/>
    </row>
    <row r="7">
      <c r="A7" s="537">
        <v>4.0</v>
      </c>
      <c r="B7" s="659" t="str">
        <f>'Schedule | 2 Division'!B7</f>
        <v>INVISION</v>
      </c>
      <c r="C7" s="716">
        <f t="shared" si="1"/>
        <v>23</v>
      </c>
      <c r="D7" s="659">
        <f t="shared" si="2"/>
        <v>14</v>
      </c>
      <c r="E7" s="640">
        <f t="shared" si="3"/>
        <v>3</v>
      </c>
      <c r="F7" s="640">
        <f t="shared" si="4"/>
        <v>5</v>
      </c>
      <c r="G7" s="640">
        <f t="shared" si="5"/>
        <v>4</v>
      </c>
      <c r="H7" s="664">
        <f t="shared" si="6"/>
        <v>2</v>
      </c>
      <c r="I7" s="640">
        <f t="shared" si="7"/>
        <v>20</v>
      </c>
      <c r="J7" s="663">
        <f t="shared" si="8"/>
        <v>17</v>
      </c>
      <c r="K7" s="664">
        <f t="shared" si="9"/>
        <v>3</v>
      </c>
      <c r="L7" s="717"/>
      <c r="M7" s="66"/>
      <c r="N7" s="645" t="s">
        <v>328</v>
      </c>
      <c r="O7" s="722" t="s">
        <v>417</v>
      </c>
      <c r="P7" s="405" t="s">
        <v>382</v>
      </c>
      <c r="Q7" s="92"/>
      <c r="S7" s="92"/>
      <c r="U7" s="405" t="s">
        <v>389</v>
      </c>
      <c r="V7" s="722" t="s">
        <v>480</v>
      </c>
      <c r="W7" s="682" t="s">
        <v>342</v>
      </c>
      <c r="X7" s="717"/>
      <c r="Y7" s="66"/>
      <c r="Z7" s="645" t="s">
        <v>369</v>
      </c>
      <c r="AA7" s="722" t="s">
        <v>476</v>
      </c>
      <c r="AB7" s="405" t="s">
        <v>317</v>
      </c>
      <c r="AC7" s="92"/>
      <c r="AE7" s="92"/>
      <c r="AG7" s="405" t="s">
        <v>411</v>
      </c>
      <c r="AH7" s="722" t="s">
        <v>772</v>
      </c>
      <c r="AI7" s="682" t="s">
        <v>324</v>
      </c>
      <c r="AJ7" s="717"/>
      <c r="AK7" s="66"/>
      <c r="AL7" s="645" t="s">
        <v>328</v>
      </c>
      <c r="AM7" s="722" t="s">
        <v>774</v>
      </c>
      <c r="AN7" s="405" t="s">
        <v>337</v>
      </c>
      <c r="AO7" s="92"/>
      <c r="AQ7" s="92"/>
      <c r="AS7" s="405" t="s">
        <v>342</v>
      </c>
      <c r="AT7" s="722" t="s">
        <v>775</v>
      </c>
      <c r="AU7" s="656" t="s">
        <v>325</v>
      </c>
      <c r="AV7" s="717"/>
      <c r="AW7" s="66"/>
      <c r="AX7" s="645" t="s">
        <v>325</v>
      </c>
      <c r="AY7" s="722" t="s">
        <v>475</v>
      </c>
      <c r="AZ7" s="405" t="s">
        <v>400</v>
      </c>
      <c r="BA7" s="92"/>
      <c r="BD7" s="55"/>
      <c r="BE7" s="405" t="s">
        <v>373</v>
      </c>
      <c r="BF7" s="722" t="s">
        <v>425</v>
      </c>
      <c r="BG7" s="682" t="s">
        <v>317</v>
      </c>
      <c r="BH7" s="717"/>
      <c r="BI7" s="66"/>
      <c r="BJ7" s="645" t="s">
        <v>325</v>
      </c>
      <c r="BK7" s="722" t="s">
        <v>477</v>
      </c>
      <c r="BL7" s="405" t="s">
        <v>470</v>
      </c>
      <c r="BM7" s="92"/>
      <c r="BO7" s="92"/>
      <c r="BQ7" s="405" t="s">
        <v>315</v>
      </c>
      <c r="BR7" s="722" t="s">
        <v>776</v>
      </c>
      <c r="BS7" s="656" t="s">
        <v>317</v>
      </c>
      <c r="BT7" s="717"/>
      <c r="BU7" s="66"/>
      <c r="BV7" s="645" t="s">
        <v>434</v>
      </c>
      <c r="BW7" s="722" t="s">
        <v>767</v>
      </c>
      <c r="BX7" s="405" t="s">
        <v>411</v>
      </c>
      <c r="BY7" s="92"/>
      <c r="CA7" s="92"/>
      <c r="CC7" s="405" t="s">
        <v>315</v>
      </c>
      <c r="CD7" s="722" t="s">
        <v>345</v>
      </c>
      <c r="CE7" s="656" t="s">
        <v>324</v>
      </c>
      <c r="CF7" s="717"/>
      <c r="CG7" s="66"/>
      <c r="CH7" s="645" t="s">
        <v>328</v>
      </c>
      <c r="CI7" s="722" t="s">
        <v>775</v>
      </c>
      <c r="CJ7" s="405" t="s">
        <v>337</v>
      </c>
      <c r="CK7" s="92"/>
      <c r="CM7" s="92"/>
      <c r="CO7" s="405" t="s">
        <v>315</v>
      </c>
      <c r="CP7" s="722" t="s">
        <v>345</v>
      </c>
      <c r="CQ7" s="656" t="s">
        <v>324</v>
      </c>
      <c r="CR7" s="717"/>
      <c r="CS7" s="66"/>
      <c r="CT7" s="645" t="s">
        <v>327</v>
      </c>
      <c r="CU7" s="722" t="s">
        <v>474</v>
      </c>
      <c r="CV7" s="405" t="s">
        <v>373</v>
      </c>
      <c r="CW7" s="92"/>
      <c r="CZ7" s="55"/>
      <c r="DA7" s="405" t="s">
        <v>342</v>
      </c>
      <c r="DB7" s="722" t="s">
        <v>344</v>
      </c>
      <c r="DC7" s="682" t="s">
        <v>317</v>
      </c>
      <c r="DD7" s="717"/>
      <c r="DE7" s="66"/>
      <c r="DF7" s="645" t="s">
        <v>337</v>
      </c>
      <c r="DG7" s="722" t="s">
        <v>441</v>
      </c>
      <c r="DH7" s="405" t="s">
        <v>400</v>
      </c>
      <c r="DI7" s="92"/>
      <c r="DL7" s="55"/>
      <c r="DM7" s="405" t="s">
        <v>369</v>
      </c>
      <c r="DN7" s="722" t="s">
        <v>457</v>
      </c>
      <c r="DO7" s="682" t="s">
        <v>328</v>
      </c>
      <c r="DP7" s="717"/>
      <c r="DQ7" s="66"/>
      <c r="DR7" s="645" t="s">
        <v>327</v>
      </c>
      <c r="DS7" s="722" t="s">
        <v>419</v>
      </c>
      <c r="DT7" s="405" t="s">
        <v>325</v>
      </c>
      <c r="DU7" s="92"/>
      <c r="DX7" s="55"/>
      <c r="DY7" s="405" t="s">
        <v>400</v>
      </c>
      <c r="DZ7" s="722" t="s">
        <v>476</v>
      </c>
      <c r="EA7" s="682" t="s">
        <v>342</v>
      </c>
      <c r="EB7" s="717"/>
      <c r="EC7" s="66"/>
      <c r="ED7" s="645" t="s">
        <v>334</v>
      </c>
      <c r="EE7" s="242" t="s">
        <v>459</v>
      </c>
      <c r="EF7" s="405" t="s">
        <v>341</v>
      </c>
      <c r="EG7" s="92"/>
      <c r="EJ7" s="55"/>
      <c r="EK7" s="405" t="s">
        <v>327</v>
      </c>
      <c r="EL7" s="722" t="s">
        <v>345</v>
      </c>
      <c r="EM7" s="682" t="s">
        <v>324</v>
      </c>
      <c r="EN7" s="717"/>
      <c r="EO7" s="66"/>
      <c r="EP7" s="645" t="s">
        <v>325</v>
      </c>
      <c r="EQ7" s="722" t="s">
        <v>345</v>
      </c>
      <c r="ER7" s="405" t="s">
        <v>341</v>
      </c>
      <c r="ES7" s="92"/>
      <c r="EV7" s="55"/>
      <c r="EW7" s="405" t="s">
        <v>343</v>
      </c>
      <c r="EX7" s="722" t="s">
        <v>777</v>
      </c>
      <c r="EY7" s="682" t="s">
        <v>317</v>
      </c>
      <c r="EZ7" s="717"/>
      <c r="FA7" s="66"/>
      <c r="FB7" s="645" t="s">
        <v>315</v>
      </c>
      <c r="FC7" s="722" t="s">
        <v>475</v>
      </c>
      <c r="FD7" s="405" t="s">
        <v>343</v>
      </c>
      <c r="FE7" s="92"/>
      <c r="FH7" s="55"/>
      <c r="FI7" s="405" t="s">
        <v>377</v>
      </c>
      <c r="FJ7" s="722" t="s">
        <v>390</v>
      </c>
      <c r="FK7" s="682" t="s">
        <v>342</v>
      </c>
      <c r="FL7" s="717"/>
      <c r="FM7" s="66"/>
      <c r="FN7" s="645" t="s">
        <v>341</v>
      </c>
      <c r="FO7" s="722" t="s">
        <v>768</v>
      </c>
      <c r="FP7" s="405" t="s">
        <v>396</v>
      </c>
      <c r="FQ7" s="92"/>
      <c r="FT7" s="55"/>
      <c r="FU7" s="405" t="s">
        <v>400</v>
      </c>
      <c r="FV7" s="722" t="s">
        <v>475</v>
      </c>
      <c r="FW7" s="682" t="s">
        <v>384</v>
      </c>
      <c r="FX7" s="717"/>
    </row>
    <row r="8">
      <c r="A8" s="537">
        <v>5.0</v>
      </c>
      <c r="B8" s="659" t="str">
        <f>'Schedule | 2 Division'!B6</f>
        <v>Aterion Esports</v>
      </c>
      <c r="C8" s="716">
        <f t="shared" si="1"/>
        <v>21</v>
      </c>
      <c r="D8" s="659">
        <f t="shared" si="2"/>
        <v>14</v>
      </c>
      <c r="E8" s="640">
        <f t="shared" si="3"/>
        <v>3</v>
      </c>
      <c r="F8" s="640">
        <f t="shared" si="4"/>
        <v>5</v>
      </c>
      <c r="G8" s="640">
        <f t="shared" si="5"/>
        <v>2</v>
      </c>
      <c r="H8" s="664">
        <f t="shared" si="6"/>
        <v>4</v>
      </c>
      <c r="I8" s="640">
        <f t="shared" si="7"/>
        <v>18</v>
      </c>
      <c r="J8" s="663">
        <f t="shared" si="8"/>
        <v>17</v>
      </c>
      <c r="K8" s="664">
        <f t="shared" si="9"/>
        <v>1</v>
      </c>
      <c r="L8" s="717"/>
      <c r="M8" s="66"/>
      <c r="N8" s="645" t="s">
        <v>325</v>
      </c>
      <c r="O8" s="722" t="s">
        <v>770</v>
      </c>
      <c r="P8" s="405" t="s">
        <v>337</v>
      </c>
      <c r="Q8" s="92"/>
      <c r="S8" s="92"/>
      <c r="U8" s="405" t="s">
        <v>411</v>
      </c>
      <c r="V8" s="722" t="s">
        <v>476</v>
      </c>
      <c r="W8" s="682" t="s">
        <v>317</v>
      </c>
      <c r="X8" s="717"/>
      <c r="Y8" s="66"/>
      <c r="Z8" s="645" t="s">
        <v>328</v>
      </c>
      <c r="AA8" s="722" t="s">
        <v>771</v>
      </c>
      <c r="AB8" s="405" t="s">
        <v>375</v>
      </c>
      <c r="AC8" s="92"/>
      <c r="AE8" s="92"/>
      <c r="AG8" s="405" t="s">
        <v>400</v>
      </c>
      <c r="AH8" s="722" t="s">
        <v>419</v>
      </c>
      <c r="AI8" s="682" t="s">
        <v>331</v>
      </c>
      <c r="AJ8" s="717"/>
      <c r="AK8" s="66"/>
      <c r="AL8" s="645" t="s">
        <v>317</v>
      </c>
      <c r="AM8" s="722" t="s">
        <v>457</v>
      </c>
      <c r="AN8" s="405" t="s">
        <v>389</v>
      </c>
      <c r="AO8" s="92"/>
      <c r="AQ8" s="92"/>
      <c r="AS8" s="405" t="s">
        <v>375</v>
      </c>
      <c r="AT8" s="722" t="s">
        <v>778</v>
      </c>
      <c r="AU8" s="656" t="s">
        <v>324</v>
      </c>
      <c r="AV8" s="717"/>
      <c r="AW8" s="66"/>
      <c r="AX8" s="645" t="s">
        <v>331</v>
      </c>
      <c r="AY8" s="722" t="s">
        <v>477</v>
      </c>
      <c r="AZ8" s="405" t="s">
        <v>315</v>
      </c>
      <c r="BA8" s="92"/>
      <c r="BD8" s="55"/>
      <c r="BE8" s="405" t="s">
        <v>343</v>
      </c>
      <c r="BF8" s="722" t="s">
        <v>767</v>
      </c>
      <c r="BG8" s="682" t="s">
        <v>369</v>
      </c>
      <c r="BH8" s="717"/>
      <c r="BI8" s="66"/>
      <c r="BJ8" s="645" t="s">
        <v>331</v>
      </c>
      <c r="BK8" s="722" t="s">
        <v>473</v>
      </c>
      <c r="BL8" s="405" t="s">
        <v>361</v>
      </c>
      <c r="BM8" s="92"/>
      <c r="BO8" s="92"/>
      <c r="BQ8" s="405" t="s">
        <v>396</v>
      </c>
      <c r="BR8" s="722" t="s">
        <v>435</v>
      </c>
      <c r="BS8" s="656" t="s">
        <v>369</v>
      </c>
      <c r="BT8" s="717"/>
      <c r="BU8" s="66"/>
      <c r="BV8" s="645" t="s">
        <v>342</v>
      </c>
      <c r="BW8" s="722" t="s">
        <v>770</v>
      </c>
      <c r="BX8" s="405" t="s">
        <v>387</v>
      </c>
      <c r="BY8" s="92"/>
      <c r="CA8" s="92"/>
      <c r="CC8" s="405" t="s">
        <v>400</v>
      </c>
      <c r="CD8" s="722" t="s">
        <v>773</v>
      </c>
      <c r="CE8" s="656" t="s">
        <v>328</v>
      </c>
      <c r="CF8" s="717"/>
      <c r="CG8" s="66"/>
      <c r="CH8" s="645" t="s">
        <v>400</v>
      </c>
      <c r="CI8" s="722" t="s">
        <v>435</v>
      </c>
      <c r="CJ8" s="405" t="s">
        <v>395</v>
      </c>
      <c r="CK8" s="92"/>
      <c r="CM8" s="92"/>
      <c r="CO8" s="405" t="s">
        <v>434</v>
      </c>
      <c r="CP8" s="722" t="s">
        <v>779</v>
      </c>
      <c r="CQ8" s="656" t="s">
        <v>317</v>
      </c>
      <c r="CR8" s="717"/>
      <c r="CS8" s="66"/>
      <c r="CT8" s="645" t="s">
        <v>334</v>
      </c>
      <c r="CU8" s="722" t="s">
        <v>476</v>
      </c>
      <c r="CV8" s="405" t="s">
        <v>343</v>
      </c>
      <c r="CW8" s="92"/>
      <c r="CZ8" s="55"/>
      <c r="DA8" s="405" t="s">
        <v>352</v>
      </c>
      <c r="DB8" s="722" t="s">
        <v>780</v>
      </c>
      <c r="DC8" s="682" t="s">
        <v>324</v>
      </c>
      <c r="DD8" s="717"/>
      <c r="DE8" s="66"/>
      <c r="DF8" s="645" t="s">
        <v>325</v>
      </c>
      <c r="DG8" s="722" t="s">
        <v>430</v>
      </c>
      <c r="DH8" s="405" t="s">
        <v>322</v>
      </c>
      <c r="DI8" s="92"/>
      <c r="DL8" s="55"/>
      <c r="DM8" s="405" t="s">
        <v>439</v>
      </c>
      <c r="DN8" s="722" t="s">
        <v>774</v>
      </c>
      <c r="DO8" s="682" t="s">
        <v>384</v>
      </c>
      <c r="DP8" s="717"/>
      <c r="DQ8" s="66"/>
      <c r="DR8" s="645" t="s">
        <v>317</v>
      </c>
      <c r="DS8" s="722" t="s">
        <v>627</v>
      </c>
      <c r="DT8" s="405" t="s">
        <v>348</v>
      </c>
      <c r="DU8" s="92"/>
      <c r="DX8" s="55"/>
      <c r="DY8" s="405" t="s">
        <v>377</v>
      </c>
      <c r="DZ8" s="722" t="s">
        <v>431</v>
      </c>
      <c r="EA8" s="682" t="s">
        <v>328</v>
      </c>
      <c r="EB8" s="717"/>
      <c r="EC8" s="66"/>
      <c r="ED8" s="645" t="s">
        <v>315</v>
      </c>
      <c r="EE8" s="242" t="s">
        <v>463</v>
      </c>
      <c r="EF8" s="405" t="s">
        <v>328</v>
      </c>
      <c r="EG8" s="92"/>
      <c r="EJ8" s="55"/>
      <c r="EK8" s="405" t="s">
        <v>346</v>
      </c>
      <c r="EL8" s="722" t="s">
        <v>372</v>
      </c>
      <c r="EM8" s="682" t="s">
        <v>317</v>
      </c>
      <c r="EN8" s="717"/>
      <c r="EO8" s="66"/>
      <c r="EP8" s="645" t="s">
        <v>327</v>
      </c>
      <c r="EQ8" s="722" t="s">
        <v>372</v>
      </c>
      <c r="ER8" s="405" t="s">
        <v>342</v>
      </c>
      <c r="ES8" s="92"/>
      <c r="EV8" s="55"/>
      <c r="EW8" s="405" t="s">
        <v>337</v>
      </c>
      <c r="EX8" s="722" t="s">
        <v>781</v>
      </c>
      <c r="EY8" s="682" t="s">
        <v>400</v>
      </c>
      <c r="EZ8" s="717"/>
      <c r="FA8" s="66"/>
      <c r="FB8" s="645" t="s">
        <v>328</v>
      </c>
      <c r="FC8" s="722" t="s">
        <v>477</v>
      </c>
      <c r="FD8" s="405" t="s">
        <v>341</v>
      </c>
      <c r="FE8" s="92"/>
      <c r="FH8" s="55"/>
      <c r="FI8" s="405" t="s">
        <v>332</v>
      </c>
      <c r="FJ8" s="722" t="s">
        <v>323</v>
      </c>
      <c r="FK8" s="682" t="s">
        <v>327</v>
      </c>
      <c r="FL8" s="717"/>
      <c r="FM8" s="66"/>
      <c r="FN8" s="645" t="s">
        <v>324</v>
      </c>
      <c r="FO8" s="722" t="s">
        <v>627</v>
      </c>
      <c r="FP8" s="405" t="s">
        <v>374</v>
      </c>
      <c r="FQ8" s="92"/>
      <c r="FT8" s="55"/>
      <c r="FU8" s="405" t="s">
        <v>373</v>
      </c>
      <c r="FV8" s="722" t="s">
        <v>477</v>
      </c>
      <c r="FW8" s="682" t="s">
        <v>325</v>
      </c>
      <c r="FX8" s="717"/>
    </row>
    <row r="9">
      <c r="A9" s="537">
        <v>6.0</v>
      </c>
      <c r="B9" s="659" t="str">
        <f>'Schedule | 2 Division'!B9</f>
        <v>Omnix</v>
      </c>
      <c r="C9" s="716">
        <f t="shared" si="1"/>
        <v>21</v>
      </c>
      <c r="D9" s="659">
        <f t="shared" si="2"/>
        <v>14</v>
      </c>
      <c r="E9" s="640">
        <f t="shared" si="3"/>
        <v>5</v>
      </c>
      <c r="F9" s="640">
        <f t="shared" si="4"/>
        <v>2</v>
      </c>
      <c r="G9" s="640">
        <f t="shared" si="5"/>
        <v>2</v>
      </c>
      <c r="H9" s="664">
        <f t="shared" si="6"/>
        <v>5</v>
      </c>
      <c r="I9" s="640">
        <f t="shared" si="7"/>
        <v>16</v>
      </c>
      <c r="J9" s="663">
        <f t="shared" si="8"/>
        <v>16</v>
      </c>
      <c r="K9" s="664">
        <f t="shared" si="9"/>
        <v>0</v>
      </c>
      <c r="L9" s="717"/>
      <c r="M9" s="66"/>
      <c r="N9" s="645" t="s">
        <v>331</v>
      </c>
      <c r="O9" s="722" t="s">
        <v>425</v>
      </c>
      <c r="P9" s="405" t="s">
        <v>354</v>
      </c>
      <c r="Q9" s="92"/>
      <c r="S9" s="92"/>
      <c r="U9" s="405" t="s">
        <v>327</v>
      </c>
      <c r="V9" s="722" t="s">
        <v>771</v>
      </c>
      <c r="W9" s="682" t="s">
        <v>384</v>
      </c>
      <c r="X9" s="717"/>
      <c r="Y9" s="66"/>
      <c r="Z9" s="645" t="s">
        <v>374</v>
      </c>
      <c r="AA9" s="722" t="s">
        <v>481</v>
      </c>
      <c r="AB9" s="405" t="s">
        <v>352</v>
      </c>
      <c r="AC9" s="92"/>
      <c r="AE9" s="92"/>
      <c r="AG9" s="405" t="s">
        <v>408</v>
      </c>
      <c r="AH9" s="722" t="s">
        <v>627</v>
      </c>
      <c r="AI9" s="682" t="s">
        <v>384</v>
      </c>
      <c r="AJ9" s="717"/>
      <c r="AK9" s="66"/>
      <c r="AL9" s="645" t="s">
        <v>384</v>
      </c>
      <c r="AM9" s="722" t="s">
        <v>461</v>
      </c>
      <c r="AN9" s="405" t="s">
        <v>400</v>
      </c>
      <c r="AO9" s="92"/>
      <c r="AQ9" s="92"/>
      <c r="AS9" s="405" t="s">
        <v>369</v>
      </c>
      <c r="AT9" s="722" t="s">
        <v>435</v>
      </c>
      <c r="AU9" s="656" t="s">
        <v>334</v>
      </c>
      <c r="AV9" s="717"/>
      <c r="AW9" s="66"/>
      <c r="AX9" s="645" t="s">
        <v>384</v>
      </c>
      <c r="AY9" s="722" t="s">
        <v>479</v>
      </c>
      <c r="AZ9" s="405" t="s">
        <v>328</v>
      </c>
      <c r="BA9" s="92"/>
      <c r="BD9" s="55"/>
      <c r="BE9" s="405" t="s">
        <v>396</v>
      </c>
      <c r="BF9" s="722" t="s">
        <v>417</v>
      </c>
      <c r="BG9" s="682" t="s">
        <v>337</v>
      </c>
      <c r="BH9" s="717"/>
      <c r="BI9" s="66"/>
      <c r="BJ9" s="645" t="s">
        <v>414</v>
      </c>
      <c r="BK9" s="722" t="s">
        <v>477</v>
      </c>
      <c r="BL9" s="405" t="s">
        <v>416</v>
      </c>
      <c r="BM9" s="92"/>
      <c r="BO9" s="92"/>
      <c r="BQ9" s="405" t="s">
        <v>377</v>
      </c>
      <c r="BR9" s="722" t="s">
        <v>778</v>
      </c>
      <c r="BS9" s="656" t="s">
        <v>343</v>
      </c>
      <c r="BT9" s="717"/>
      <c r="BU9" s="66"/>
      <c r="BV9" s="645" t="s">
        <v>389</v>
      </c>
      <c r="BW9" s="722" t="s">
        <v>417</v>
      </c>
      <c r="BX9" s="405" t="s">
        <v>361</v>
      </c>
      <c r="BY9" s="92"/>
      <c r="CA9" s="92"/>
      <c r="CC9" s="405" t="s">
        <v>337</v>
      </c>
      <c r="CD9" s="722" t="s">
        <v>372</v>
      </c>
      <c r="CE9" s="656" t="s">
        <v>325</v>
      </c>
      <c r="CF9" s="717"/>
      <c r="CG9" s="66"/>
      <c r="CH9" s="645" t="s">
        <v>387</v>
      </c>
      <c r="CI9" s="722" t="s">
        <v>778</v>
      </c>
      <c r="CJ9" s="405" t="s">
        <v>401</v>
      </c>
      <c r="CK9" s="92"/>
      <c r="CM9" s="92"/>
      <c r="CO9" s="405" t="s">
        <v>747</v>
      </c>
      <c r="CP9" s="722" t="s">
        <v>773</v>
      </c>
      <c r="CQ9" s="656" t="s">
        <v>348</v>
      </c>
      <c r="CR9" s="717"/>
      <c r="CS9" s="66"/>
      <c r="CT9" s="645" t="s">
        <v>400</v>
      </c>
      <c r="CU9" s="722" t="s">
        <v>481</v>
      </c>
      <c r="CV9" s="405" t="s">
        <v>346</v>
      </c>
      <c r="CW9" s="92"/>
      <c r="CZ9" s="55"/>
      <c r="DA9" s="405" t="s">
        <v>389</v>
      </c>
      <c r="DB9" s="722" t="s">
        <v>370</v>
      </c>
      <c r="DC9" s="682" t="s">
        <v>19</v>
      </c>
      <c r="DD9" s="717"/>
      <c r="DE9" s="66"/>
      <c r="DF9" s="645" t="s">
        <v>385</v>
      </c>
      <c r="DG9" s="722" t="s">
        <v>639</v>
      </c>
      <c r="DH9" s="405" t="s">
        <v>408</v>
      </c>
      <c r="DI9" s="92"/>
      <c r="DL9" s="55"/>
      <c r="DM9" s="405" t="s">
        <v>327</v>
      </c>
      <c r="DN9" s="722" t="s">
        <v>782</v>
      </c>
      <c r="DO9" s="682" t="s">
        <v>377</v>
      </c>
      <c r="DP9" s="717"/>
      <c r="DQ9" s="66"/>
      <c r="DR9" s="645" t="s">
        <v>337</v>
      </c>
      <c r="DS9" s="722" t="s">
        <v>428</v>
      </c>
      <c r="DT9" s="405" t="s">
        <v>384</v>
      </c>
      <c r="DU9" s="92"/>
      <c r="DX9" s="55"/>
      <c r="DY9" s="405" t="s">
        <v>405</v>
      </c>
      <c r="DZ9" s="722" t="s">
        <v>481</v>
      </c>
      <c r="EA9" s="682" t="s">
        <v>382</v>
      </c>
      <c r="EB9" s="717"/>
      <c r="EC9" s="66"/>
      <c r="ED9" s="645" t="s">
        <v>389</v>
      </c>
      <c r="EE9" s="242" t="s">
        <v>457</v>
      </c>
      <c r="EF9" s="405" t="s">
        <v>332</v>
      </c>
      <c r="EG9" s="92"/>
      <c r="EJ9" s="55"/>
      <c r="EK9" s="405" t="s">
        <v>399</v>
      </c>
      <c r="EL9" s="722" t="s">
        <v>779</v>
      </c>
      <c r="EM9" s="682" t="s">
        <v>369</v>
      </c>
      <c r="EN9" s="717"/>
      <c r="EO9" s="66"/>
      <c r="EP9" s="645" t="s">
        <v>322</v>
      </c>
      <c r="EQ9" s="722" t="s">
        <v>657</v>
      </c>
      <c r="ER9" s="405" t="s">
        <v>382</v>
      </c>
      <c r="ES9" s="92"/>
      <c r="EV9" s="55"/>
      <c r="EW9" s="405" t="s">
        <v>315</v>
      </c>
      <c r="EX9" s="722" t="s">
        <v>427</v>
      </c>
      <c r="EY9" s="682" t="s">
        <v>377</v>
      </c>
      <c r="EZ9" s="717"/>
      <c r="FA9" s="66"/>
      <c r="FB9" s="645" t="s">
        <v>346</v>
      </c>
      <c r="FC9" s="722" t="s">
        <v>479</v>
      </c>
      <c r="FD9" s="405" t="s">
        <v>401</v>
      </c>
      <c r="FE9" s="92"/>
      <c r="FH9" s="55"/>
      <c r="FI9" s="405" t="s">
        <v>348</v>
      </c>
      <c r="FJ9" s="722" t="s">
        <v>345</v>
      </c>
      <c r="FK9" s="682" t="s">
        <v>369</v>
      </c>
      <c r="FL9" s="717"/>
      <c r="FM9" s="66"/>
      <c r="FN9" s="645" t="s">
        <v>352</v>
      </c>
      <c r="FO9" s="722" t="s">
        <v>428</v>
      </c>
      <c r="FP9" s="405" t="s">
        <v>377</v>
      </c>
      <c r="FQ9" s="92"/>
      <c r="FT9" s="55"/>
      <c r="FU9" s="405" t="s">
        <v>328</v>
      </c>
      <c r="FV9" s="722" t="s">
        <v>479</v>
      </c>
      <c r="FW9" s="682" t="s">
        <v>402</v>
      </c>
      <c r="FX9" s="717"/>
    </row>
    <row r="10">
      <c r="A10" s="537">
        <v>7.0</v>
      </c>
      <c r="B10" s="659" t="str">
        <f>'Schedule | 2 Division'!B8</f>
        <v>Dark Phoenix</v>
      </c>
      <c r="C10" s="716">
        <f t="shared" si="1"/>
        <v>20</v>
      </c>
      <c r="D10" s="659">
        <f t="shared" si="2"/>
        <v>14</v>
      </c>
      <c r="E10" s="640">
        <f t="shared" si="3"/>
        <v>4</v>
      </c>
      <c r="F10" s="640">
        <f t="shared" si="4"/>
        <v>3</v>
      </c>
      <c r="G10" s="640">
        <f t="shared" si="5"/>
        <v>2</v>
      </c>
      <c r="H10" s="664">
        <f t="shared" si="6"/>
        <v>5</v>
      </c>
      <c r="I10" s="640">
        <f t="shared" si="7"/>
        <v>16</v>
      </c>
      <c r="J10" s="663">
        <f t="shared" si="8"/>
        <v>17</v>
      </c>
      <c r="K10" s="664">
        <f t="shared" si="9"/>
        <v>-1</v>
      </c>
      <c r="L10" s="717"/>
      <c r="M10" s="66"/>
      <c r="N10" s="645" t="s">
        <v>343</v>
      </c>
      <c r="O10" s="722" t="s">
        <v>463</v>
      </c>
      <c r="P10" s="405" t="s">
        <v>401</v>
      </c>
      <c r="Q10" s="92"/>
      <c r="R10" s="374"/>
      <c r="S10" s="375"/>
      <c r="T10" s="374"/>
      <c r="U10" s="405" t="s">
        <v>368</v>
      </c>
      <c r="V10" s="722" t="s">
        <v>474</v>
      </c>
      <c r="W10" s="682" t="s">
        <v>741</v>
      </c>
      <c r="X10" s="717"/>
      <c r="Y10" s="66"/>
      <c r="Z10" s="645" t="s">
        <v>373</v>
      </c>
      <c r="AA10" s="722" t="s">
        <v>474</v>
      </c>
      <c r="AB10" s="405" t="s">
        <v>391</v>
      </c>
      <c r="AC10" s="92"/>
      <c r="AD10" s="374"/>
      <c r="AE10" s="375"/>
      <c r="AF10" s="374"/>
      <c r="AG10" s="405" t="s">
        <v>407</v>
      </c>
      <c r="AH10" s="722" t="s">
        <v>783</v>
      </c>
      <c r="AI10" s="682" t="s">
        <v>315</v>
      </c>
      <c r="AJ10" s="717"/>
      <c r="AK10" s="66"/>
      <c r="AL10" s="645" t="s">
        <v>373</v>
      </c>
      <c r="AM10" s="723" t="s">
        <v>782</v>
      </c>
      <c r="AN10" s="405" t="s">
        <v>414</v>
      </c>
      <c r="AO10" s="92"/>
      <c r="AP10" s="374"/>
      <c r="AQ10" s="375"/>
      <c r="AR10" s="374"/>
      <c r="AS10" s="405" t="s">
        <v>348</v>
      </c>
      <c r="AT10" s="722" t="s">
        <v>784</v>
      </c>
      <c r="AU10" s="656" t="s">
        <v>411</v>
      </c>
      <c r="AV10" s="717"/>
      <c r="AW10" s="66"/>
      <c r="AX10" s="645" t="s">
        <v>414</v>
      </c>
      <c r="AY10" s="722" t="s">
        <v>482</v>
      </c>
      <c r="AZ10" s="405" t="s">
        <v>346</v>
      </c>
      <c r="BA10" s="92"/>
      <c r="BB10" s="374"/>
      <c r="BC10" s="374"/>
      <c r="BD10" s="55"/>
      <c r="BE10" s="405" t="s">
        <v>375</v>
      </c>
      <c r="BF10" s="722" t="s">
        <v>463</v>
      </c>
      <c r="BG10" s="682" t="s">
        <v>385</v>
      </c>
      <c r="BH10" s="717"/>
      <c r="BI10" s="66"/>
      <c r="BJ10" s="645" t="s">
        <v>404</v>
      </c>
      <c r="BK10" s="722" t="s">
        <v>482</v>
      </c>
      <c r="BL10" s="405" t="s">
        <v>346</v>
      </c>
      <c r="BM10" s="92"/>
      <c r="BN10" s="374"/>
      <c r="BO10" s="375"/>
      <c r="BP10" s="374"/>
      <c r="BQ10" s="405" t="s">
        <v>337</v>
      </c>
      <c r="BR10" s="722" t="s">
        <v>775</v>
      </c>
      <c r="BS10" s="656" t="s">
        <v>445</v>
      </c>
      <c r="BT10" s="717"/>
      <c r="BU10" s="66"/>
      <c r="BV10" s="645" t="s">
        <v>352</v>
      </c>
      <c r="BW10" s="722" t="s">
        <v>463</v>
      </c>
      <c r="BX10" s="405" t="s">
        <v>375</v>
      </c>
      <c r="BY10" s="92"/>
      <c r="BZ10" s="374"/>
      <c r="CA10" s="375"/>
      <c r="CB10" s="374"/>
      <c r="CC10" s="405" t="s">
        <v>396</v>
      </c>
      <c r="CD10" s="722" t="s">
        <v>779</v>
      </c>
      <c r="CE10" s="656" t="s">
        <v>343</v>
      </c>
      <c r="CF10" s="717"/>
      <c r="CG10" s="66"/>
      <c r="CH10" s="645" t="s">
        <v>325</v>
      </c>
      <c r="CI10" s="722" t="s">
        <v>776</v>
      </c>
      <c r="CJ10" s="405" t="s">
        <v>19</v>
      </c>
      <c r="CK10" s="92"/>
      <c r="CL10" s="374"/>
      <c r="CM10" s="375"/>
      <c r="CN10" s="374"/>
      <c r="CO10" s="405" t="s">
        <v>404</v>
      </c>
      <c r="CP10" s="722" t="s">
        <v>372</v>
      </c>
      <c r="CQ10" s="656" t="s">
        <v>391</v>
      </c>
      <c r="CR10" s="717"/>
      <c r="CS10" s="66"/>
      <c r="CT10" s="645" t="s">
        <v>742</v>
      </c>
      <c r="CU10" s="722" t="s">
        <v>480</v>
      </c>
      <c r="CV10" s="405" t="s">
        <v>382</v>
      </c>
      <c r="CW10" s="92"/>
      <c r="CX10" s="374"/>
      <c r="CY10" s="374"/>
      <c r="CZ10" s="55"/>
      <c r="DA10" s="405" t="s">
        <v>432</v>
      </c>
      <c r="DB10" s="722" t="s">
        <v>460</v>
      </c>
      <c r="DC10" s="682" t="s">
        <v>369</v>
      </c>
      <c r="DD10" s="717"/>
      <c r="DE10" s="66"/>
      <c r="DF10" s="645" t="s">
        <v>346</v>
      </c>
      <c r="DG10" s="722" t="s">
        <v>778</v>
      </c>
      <c r="DH10" s="405" t="s">
        <v>401</v>
      </c>
      <c r="DI10" s="92"/>
      <c r="DJ10" s="374"/>
      <c r="DK10" s="374"/>
      <c r="DL10" s="55"/>
      <c r="DM10" s="405" t="s">
        <v>317</v>
      </c>
      <c r="DN10" s="723" t="s">
        <v>461</v>
      </c>
      <c r="DO10" s="682" t="s">
        <v>380</v>
      </c>
      <c r="DP10" s="717"/>
      <c r="DQ10" s="66"/>
      <c r="DR10" s="645" t="s">
        <v>346</v>
      </c>
      <c r="DS10" s="722" t="s">
        <v>785</v>
      </c>
      <c r="DT10" s="405" t="s">
        <v>387</v>
      </c>
      <c r="DU10" s="92"/>
      <c r="DV10" s="374"/>
      <c r="DW10" s="374"/>
      <c r="DX10" s="55"/>
      <c r="DY10" s="405" t="s">
        <v>341</v>
      </c>
      <c r="DZ10" s="722" t="s">
        <v>474</v>
      </c>
      <c r="EA10" s="682" t="s">
        <v>374</v>
      </c>
      <c r="EB10" s="717"/>
      <c r="EC10" s="66"/>
      <c r="ED10" s="645" t="s">
        <v>382</v>
      </c>
      <c r="EE10" s="242" t="s">
        <v>774</v>
      </c>
      <c r="EF10" s="405" t="s">
        <v>352</v>
      </c>
      <c r="EG10" s="92"/>
      <c r="EH10" s="374"/>
      <c r="EI10" s="374"/>
      <c r="EJ10" s="55"/>
      <c r="EK10" s="405" t="s">
        <v>384</v>
      </c>
      <c r="EL10" s="722" t="s">
        <v>390</v>
      </c>
      <c r="EM10" s="682" t="s">
        <v>322</v>
      </c>
      <c r="EN10" s="717"/>
      <c r="EO10" s="66"/>
      <c r="EP10" s="645" t="s">
        <v>389</v>
      </c>
      <c r="EQ10" s="722" t="s">
        <v>390</v>
      </c>
      <c r="ER10" s="405" t="s">
        <v>384</v>
      </c>
      <c r="ES10" s="92"/>
      <c r="ET10" s="374"/>
      <c r="EU10" s="374"/>
      <c r="EV10" s="55"/>
      <c r="EW10" s="405" t="s">
        <v>376</v>
      </c>
      <c r="EX10" s="723" t="s">
        <v>417</v>
      </c>
      <c r="EY10" s="682" t="s">
        <v>401</v>
      </c>
      <c r="EZ10" s="717"/>
      <c r="FA10" s="66"/>
      <c r="FB10" s="645" t="s">
        <v>362</v>
      </c>
      <c r="FC10" s="722" t="s">
        <v>482</v>
      </c>
      <c r="FD10" s="405" t="s">
        <v>352</v>
      </c>
      <c r="FE10" s="92"/>
      <c r="FF10" s="374"/>
      <c r="FG10" s="374"/>
      <c r="FH10" s="55"/>
      <c r="FI10" s="405" t="s">
        <v>404</v>
      </c>
      <c r="FJ10" s="722" t="s">
        <v>372</v>
      </c>
      <c r="FK10" s="682" t="s">
        <v>322</v>
      </c>
      <c r="FL10" s="717"/>
      <c r="FM10" s="66"/>
      <c r="FN10" s="645" t="s">
        <v>346</v>
      </c>
      <c r="FO10" s="722" t="s">
        <v>785</v>
      </c>
      <c r="FP10" s="405" t="s">
        <v>404</v>
      </c>
      <c r="FQ10" s="92"/>
      <c r="FR10" s="374"/>
      <c r="FS10" s="374"/>
      <c r="FT10" s="55"/>
      <c r="FU10" s="405" t="s">
        <v>405</v>
      </c>
      <c r="FV10" s="722" t="s">
        <v>482</v>
      </c>
      <c r="FW10" s="682" t="s">
        <v>414</v>
      </c>
      <c r="FX10" s="717"/>
    </row>
    <row r="11">
      <c r="A11" s="547">
        <v>8.0</v>
      </c>
      <c r="B11" s="665" t="str">
        <f>'Schedule | 2 Division'!B10</f>
        <v>Suplex team</v>
      </c>
      <c r="C11" s="724">
        <f t="shared" si="1"/>
        <v>8</v>
      </c>
      <c r="D11" s="665">
        <f t="shared" si="2"/>
        <v>14</v>
      </c>
      <c r="E11" s="668">
        <f t="shared" si="3"/>
        <v>1</v>
      </c>
      <c r="F11" s="668">
        <f t="shared" si="4"/>
        <v>0</v>
      </c>
      <c r="G11" s="668">
        <f t="shared" si="5"/>
        <v>5</v>
      </c>
      <c r="H11" s="671">
        <f t="shared" si="6"/>
        <v>8</v>
      </c>
      <c r="I11" s="668">
        <f t="shared" si="7"/>
        <v>7</v>
      </c>
      <c r="J11" s="670">
        <f t="shared" si="8"/>
        <v>26</v>
      </c>
      <c r="K11" s="671">
        <f t="shared" si="9"/>
        <v>-19</v>
      </c>
      <c r="L11" s="717"/>
      <c r="M11" s="725">
        <v>2.0</v>
      </c>
      <c r="N11" s="726" t="s">
        <v>369</v>
      </c>
      <c r="O11" s="727" t="s">
        <v>767</v>
      </c>
      <c r="P11" s="728" t="s">
        <v>317</v>
      </c>
      <c r="Q11" s="729" t="s">
        <v>318</v>
      </c>
      <c r="R11" s="730" t="s">
        <v>319</v>
      </c>
      <c r="S11" s="731" t="s">
        <v>320</v>
      </c>
      <c r="T11" s="728" t="s">
        <v>321</v>
      </c>
      <c r="U11" s="728" t="s">
        <v>373</v>
      </c>
      <c r="V11" s="727" t="s">
        <v>474</v>
      </c>
      <c r="W11" s="729" t="s">
        <v>324</v>
      </c>
      <c r="X11" s="717"/>
      <c r="Y11" s="725">
        <v>2.0</v>
      </c>
      <c r="Z11" s="726" t="s">
        <v>331</v>
      </c>
      <c r="AA11" s="727" t="s">
        <v>480</v>
      </c>
      <c r="AB11" s="728" t="s">
        <v>389</v>
      </c>
      <c r="AC11" s="729" t="s">
        <v>318</v>
      </c>
      <c r="AD11" s="730" t="s">
        <v>319</v>
      </c>
      <c r="AE11" s="731" t="s">
        <v>320</v>
      </c>
      <c r="AF11" s="728" t="s">
        <v>321</v>
      </c>
      <c r="AG11" s="728" t="s">
        <v>395</v>
      </c>
      <c r="AH11" s="727" t="s">
        <v>768</v>
      </c>
      <c r="AI11" s="729" t="s">
        <v>342</v>
      </c>
      <c r="AJ11" s="717"/>
      <c r="AK11" s="725">
        <v>2.0</v>
      </c>
      <c r="AL11" s="726" t="s">
        <v>324</v>
      </c>
      <c r="AM11" s="722" t="s">
        <v>461</v>
      </c>
      <c r="AN11" s="728" t="s">
        <v>317</v>
      </c>
      <c r="AO11" s="729" t="s">
        <v>321</v>
      </c>
      <c r="AP11" s="730" t="s">
        <v>319</v>
      </c>
      <c r="AQ11" s="731" t="s">
        <v>320</v>
      </c>
      <c r="AR11" s="728" t="s">
        <v>318</v>
      </c>
      <c r="AS11" s="728" t="s">
        <v>400</v>
      </c>
      <c r="AT11" s="727" t="s">
        <v>769</v>
      </c>
      <c r="AU11" s="725" t="s">
        <v>325</v>
      </c>
      <c r="AV11" s="717"/>
      <c r="AW11" s="725">
        <v>2.0</v>
      </c>
      <c r="AX11" s="726" t="s">
        <v>317</v>
      </c>
      <c r="AY11" s="727" t="s">
        <v>473</v>
      </c>
      <c r="AZ11" s="728" t="s">
        <v>396</v>
      </c>
      <c r="BA11" s="729" t="s">
        <v>321</v>
      </c>
      <c r="BB11" s="730" t="s">
        <v>320</v>
      </c>
      <c r="BC11" s="730" t="s">
        <v>319</v>
      </c>
      <c r="BD11" s="726" t="s">
        <v>318</v>
      </c>
      <c r="BE11" s="728" t="s">
        <v>327</v>
      </c>
      <c r="BF11" s="727" t="s">
        <v>425</v>
      </c>
      <c r="BG11" s="729" t="s">
        <v>369</v>
      </c>
      <c r="BH11" s="717"/>
      <c r="BI11" s="725">
        <v>2.0</v>
      </c>
      <c r="BJ11" s="726" t="s">
        <v>337</v>
      </c>
      <c r="BK11" s="727" t="s">
        <v>475</v>
      </c>
      <c r="BL11" s="728" t="s">
        <v>317</v>
      </c>
      <c r="BM11" s="729" t="s">
        <v>318</v>
      </c>
      <c r="BN11" s="730" t="s">
        <v>319</v>
      </c>
      <c r="BO11" s="731" t="s">
        <v>320</v>
      </c>
      <c r="BP11" s="728" t="s">
        <v>321</v>
      </c>
      <c r="BQ11" s="728" t="s">
        <v>369</v>
      </c>
      <c r="BR11" s="727" t="s">
        <v>435</v>
      </c>
      <c r="BS11" s="725" t="s">
        <v>324</v>
      </c>
      <c r="BT11" s="717"/>
      <c r="BU11" s="725">
        <v>2.0</v>
      </c>
      <c r="BV11" s="726" t="s">
        <v>384</v>
      </c>
      <c r="BW11" s="727" t="s">
        <v>417</v>
      </c>
      <c r="BX11" s="728" t="s">
        <v>324</v>
      </c>
      <c r="BY11" s="729" t="s">
        <v>321</v>
      </c>
      <c r="BZ11" s="730" t="s">
        <v>320</v>
      </c>
      <c r="CA11" s="731" t="s">
        <v>319</v>
      </c>
      <c r="CB11" s="728" t="s">
        <v>318</v>
      </c>
      <c r="CC11" s="728" t="s">
        <v>342</v>
      </c>
      <c r="CD11" s="727" t="s">
        <v>372</v>
      </c>
      <c r="CE11" s="725" t="s">
        <v>317</v>
      </c>
      <c r="CF11" s="717"/>
      <c r="CG11" s="725">
        <v>2.0</v>
      </c>
      <c r="CH11" s="726" t="s">
        <v>327</v>
      </c>
      <c r="CI11" s="727" t="s">
        <v>778</v>
      </c>
      <c r="CJ11" s="728" t="s">
        <v>328</v>
      </c>
      <c r="CK11" s="729" t="s">
        <v>318</v>
      </c>
      <c r="CL11" s="730" t="s">
        <v>320</v>
      </c>
      <c r="CM11" s="731" t="s">
        <v>319</v>
      </c>
      <c r="CN11" s="728" t="s">
        <v>321</v>
      </c>
      <c r="CO11" s="728" t="s">
        <v>400</v>
      </c>
      <c r="CP11" s="727" t="s">
        <v>773</v>
      </c>
      <c r="CQ11" s="725" t="s">
        <v>342</v>
      </c>
      <c r="CR11" s="717"/>
      <c r="CS11" s="725">
        <v>2.0</v>
      </c>
      <c r="CT11" s="726" t="s">
        <v>315</v>
      </c>
      <c r="CU11" s="727" t="s">
        <v>481</v>
      </c>
      <c r="CV11" s="728" t="s">
        <v>342</v>
      </c>
      <c r="CW11" s="729" t="s">
        <v>318</v>
      </c>
      <c r="CX11" s="730" t="s">
        <v>319</v>
      </c>
      <c r="CY11" s="730" t="s">
        <v>320</v>
      </c>
      <c r="CZ11" s="726" t="s">
        <v>321</v>
      </c>
      <c r="DA11" s="728" t="s">
        <v>328</v>
      </c>
      <c r="DB11" s="727" t="s">
        <v>316</v>
      </c>
      <c r="DC11" s="729" t="s">
        <v>325</v>
      </c>
      <c r="DD11" s="717"/>
      <c r="DE11" s="725">
        <v>2.0</v>
      </c>
      <c r="DF11" s="726" t="s">
        <v>327</v>
      </c>
      <c r="DG11" s="727" t="s">
        <v>430</v>
      </c>
      <c r="DH11" s="728" t="s">
        <v>369</v>
      </c>
      <c r="DI11" s="729" t="s">
        <v>321</v>
      </c>
      <c r="DJ11" s="730" t="s">
        <v>319</v>
      </c>
      <c r="DK11" s="730" t="s">
        <v>320</v>
      </c>
      <c r="DL11" s="726" t="s">
        <v>318</v>
      </c>
      <c r="DM11" s="728" t="s">
        <v>374</v>
      </c>
      <c r="DN11" s="722" t="s">
        <v>459</v>
      </c>
      <c r="DO11" s="729" t="s">
        <v>328</v>
      </c>
      <c r="DP11" s="717"/>
      <c r="DQ11" s="725">
        <v>2.0</v>
      </c>
      <c r="DR11" s="726" t="s">
        <v>315</v>
      </c>
      <c r="DS11" s="727" t="s">
        <v>768</v>
      </c>
      <c r="DT11" s="728" t="s">
        <v>434</v>
      </c>
      <c r="DU11" s="729" t="s">
        <v>321</v>
      </c>
      <c r="DV11" s="730" t="s">
        <v>319</v>
      </c>
      <c r="DW11" s="730" t="s">
        <v>320</v>
      </c>
      <c r="DX11" s="726" t="s">
        <v>318</v>
      </c>
      <c r="DY11" s="728" t="s">
        <v>322</v>
      </c>
      <c r="DZ11" s="727" t="s">
        <v>480</v>
      </c>
      <c r="EA11" s="729" t="s">
        <v>396</v>
      </c>
      <c r="EB11" s="717"/>
      <c r="EC11" s="725">
        <v>2.0</v>
      </c>
      <c r="ED11" s="726" t="s">
        <v>434</v>
      </c>
      <c r="EE11" s="384" t="s">
        <v>461</v>
      </c>
      <c r="EF11" s="728" t="s">
        <v>400</v>
      </c>
      <c r="EG11" s="729" t="s">
        <v>321</v>
      </c>
      <c r="EH11" s="730" t="s">
        <v>319</v>
      </c>
      <c r="EI11" s="730" t="s">
        <v>320</v>
      </c>
      <c r="EJ11" s="726" t="s">
        <v>318</v>
      </c>
      <c r="EK11" s="728" t="s">
        <v>328</v>
      </c>
      <c r="EL11" s="727" t="s">
        <v>390</v>
      </c>
      <c r="EM11" s="729" t="s">
        <v>369</v>
      </c>
      <c r="EN11" s="717"/>
      <c r="EO11" s="725">
        <v>2.0</v>
      </c>
      <c r="EP11" s="726" t="s">
        <v>342</v>
      </c>
      <c r="EQ11" s="727" t="s">
        <v>390</v>
      </c>
      <c r="ER11" s="728" t="s">
        <v>414</v>
      </c>
      <c r="ES11" s="729" t="s">
        <v>321</v>
      </c>
      <c r="ET11" s="730" t="s">
        <v>320</v>
      </c>
      <c r="EU11" s="730" t="s">
        <v>319</v>
      </c>
      <c r="EV11" s="726" t="s">
        <v>318</v>
      </c>
      <c r="EW11" s="728" t="s">
        <v>328</v>
      </c>
      <c r="EX11" s="722" t="s">
        <v>605</v>
      </c>
      <c r="EY11" s="729" t="s">
        <v>317</v>
      </c>
      <c r="EZ11" s="717"/>
      <c r="FA11" s="725">
        <v>2.0</v>
      </c>
      <c r="FB11" s="726" t="s">
        <v>337</v>
      </c>
      <c r="FC11" s="727" t="s">
        <v>473</v>
      </c>
      <c r="FD11" s="728" t="s">
        <v>382</v>
      </c>
      <c r="FE11" s="729" t="s">
        <v>318</v>
      </c>
      <c r="FF11" s="730" t="s">
        <v>319</v>
      </c>
      <c r="FG11" s="730" t="s">
        <v>320</v>
      </c>
      <c r="FH11" s="726" t="s">
        <v>321</v>
      </c>
      <c r="FI11" s="728" t="s">
        <v>343</v>
      </c>
      <c r="FJ11" s="727" t="s">
        <v>360</v>
      </c>
      <c r="FK11" s="729" t="s">
        <v>342</v>
      </c>
      <c r="FL11" s="717"/>
      <c r="FM11" s="725">
        <v>2.0</v>
      </c>
      <c r="FN11" s="726" t="s">
        <v>327</v>
      </c>
      <c r="FO11" s="727" t="s">
        <v>419</v>
      </c>
      <c r="FP11" s="728" t="s">
        <v>317</v>
      </c>
      <c r="FQ11" s="729" t="s">
        <v>321</v>
      </c>
      <c r="FR11" s="730" t="s">
        <v>320</v>
      </c>
      <c r="FS11" s="730" t="s">
        <v>319</v>
      </c>
      <c r="FT11" s="726" t="s">
        <v>318</v>
      </c>
      <c r="FU11" s="728" t="s">
        <v>19</v>
      </c>
      <c r="FV11" s="727" t="s">
        <v>473</v>
      </c>
      <c r="FW11" s="729" t="s">
        <v>384</v>
      </c>
      <c r="FX11" s="717"/>
    </row>
    <row r="12">
      <c r="A12" s="732"/>
      <c r="B12" s="732"/>
      <c r="C12" s="732"/>
      <c r="D12" s="732"/>
      <c r="E12" s="732"/>
      <c r="F12" s="732"/>
      <c r="G12" s="732"/>
      <c r="H12" s="732"/>
      <c r="I12" s="732"/>
      <c r="J12" s="733"/>
      <c r="K12" s="733"/>
      <c r="L12" s="717"/>
      <c r="M12" s="66"/>
      <c r="N12" s="645" t="s">
        <v>328</v>
      </c>
      <c r="O12" s="722" t="s">
        <v>770</v>
      </c>
      <c r="P12" s="405" t="s">
        <v>337</v>
      </c>
      <c r="Q12" s="92"/>
      <c r="S12" s="92"/>
      <c r="U12" s="405" t="s">
        <v>389</v>
      </c>
      <c r="V12" s="722" t="s">
        <v>480</v>
      </c>
      <c r="W12" s="682" t="s">
        <v>342</v>
      </c>
      <c r="X12" s="717"/>
      <c r="Y12" s="66"/>
      <c r="Z12" s="645" t="s">
        <v>391</v>
      </c>
      <c r="AA12" s="722" t="s">
        <v>476</v>
      </c>
      <c r="AB12" s="405" t="s">
        <v>400</v>
      </c>
      <c r="AC12" s="92"/>
      <c r="AE12" s="92"/>
      <c r="AG12" s="405" t="s">
        <v>328</v>
      </c>
      <c r="AH12" s="722" t="s">
        <v>772</v>
      </c>
      <c r="AI12" s="682" t="s">
        <v>324</v>
      </c>
      <c r="AJ12" s="717"/>
      <c r="AK12" s="66"/>
      <c r="AL12" s="645" t="s">
        <v>331</v>
      </c>
      <c r="AM12" s="722" t="s">
        <v>426</v>
      </c>
      <c r="AN12" s="405" t="s">
        <v>373</v>
      </c>
      <c r="AO12" s="92"/>
      <c r="AQ12" s="92"/>
      <c r="AS12" s="405" t="s">
        <v>405</v>
      </c>
      <c r="AT12" s="722" t="s">
        <v>775</v>
      </c>
      <c r="AU12" s="656" t="s">
        <v>337</v>
      </c>
      <c r="AV12" s="717"/>
      <c r="AW12" s="66"/>
      <c r="AX12" s="645" t="s">
        <v>324</v>
      </c>
      <c r="AY12" s="722" t="s">
        <v>475</v>
      </c>
      <c r="AZ12" s="405" t="s">
        <v>325</v>
      </c>
      <c r="BA12" s="92"/>
      <c r="BD12" s="55"/>
      <c r="BE12" s="405" t="s">
        <v>387</v>
      </c>
      <c r="BF12" s="722" t="s">
        <v>770</v>
      </c>
      <c r="BG12" s="682" t="s">
        <v>331</v>
      </c>
      <c r="BH12" s="717"/>
      <c r="BI12" s="66"/>
      <c r="BJ12" s="645" t="s">
        <v>325</v>
      </c>
      <c r="BK12" s="722" t="s">
        <v>482</v>
      </c>
      <c r="BL12" s="405" t="s">
        <v>387</v>
      </c>
      <c r="BM12" s="92"/>
      <c r="BO12" s="92"/>
      <c r="BQ12" s="405" t="s">
        <v>328</v>
      </c>
      <c r="BR12" s="722" t="s">
        <v>778</v>
      </c>
      <c r="BS12" s="656" t="s">
        <v>342</v>
      </c>
      <c r="BT12" s="717"/>
      <c r="BU12" s="66"/>
      <c r="BV12" s="645" t="s">
        <v>400</v>
      </c>
      <c r="BW12" s="722" t="s">
        <v>767</v>
      </c>
      <c r="BX12" s="405" t="s">
        <v>325</v>
      </c>
      <c r="BY12" s="92"/>
      <c r="CA12" s="92"/>
      <c r="CC12" s="405" t="s">
        <v>327</v>
      </c>
      <c r="CD12" s="722" t="s">
        <v>345</v>
      </c>
      <c r="CE12" s="656" t="s">
        <v>328</v>
      </c>
      <c r="CF12" s="717"/>
      <c r="CG12" s="66"/>
      <c r="CH12" s="645" t="s">
        <v>434</v>
      </c>
      <c r="CI12" s="722" t="s">
        <v>435</v>
      </c>
      <c r="CJ12" s="405" t="s">
        <v>399</v>
      </c>
      <c r="CK12" s="92"/>
      <c r="CM12" s="92"/>
      <c r="CO12" s="405" t="s">
        <v>315</v>
      </c>
      <c r="CP12" s="722" t="s">
        <v>345</v>
      </c>
      <c r="CQ12" s="656" t="s">
        <v>317</v>
      </c>
      <c r="CR12" s="717"/>
      <c r="CS12" s="66"/>
      <c r="CT12" s="645" t="s">
        <v>327</v>
      </c>
      <c r="CU12" s="722" t="s">
        <v>480</v>
      </c>
      <c r="CV12" s="405" t="s">
        <v>389</v>
      </c>
      <c r="CW12" s="92"/>
      <c r="CZ12" s="55"/>
      <c r="DA12" s="405" t="s">
        <v>346</v>
      </c>
      <c r="DB12" s="722" t="s">
        <v>344</v>
      </c>
      <c r="DC12" s="682" t="s">
        <v>324</v>
      </c>
      <c r="DD12" s="717"/>
      <c r="DE12" s="66"/>
      <c r="DF12" s="645" t="s">
        <v>324</v>
      </c>
      <c r="DG12" s="722" t="s">
        <v>639</v>
      </c>
      <c r="DH12" s="405" t="s">
        <v>408</v>
      </c>
      <c r="DI12" s="92"/>
      <c r="DL12" s="55"/>
      <c r="DM12" s="405" t="s">
        <v>387</v>
      </c>
      <c r="DN12" s="722" t="s">
        <v>774</v>
      </c>
      <c r="DO12" s="682" t="s">
        <v>325</v>
      </c>
      <c r="DP12" s="717"/>
      <c r="DQ12" s="66"/>
      <c r="DR12" s="645" t="s">
        <v>337</v>
      </c>
      <c r="DS12" s="722" t="s">
        <v>627</v>
      </c>
      <c r="DT12" s="405" t="s">
        <v>374</v>
      </c>
      <c r="DU12" s="92"/>
      <c r="DX12" s="55"/>
      <c r="DY12" s="405" t="s">
        <v>400</v>
      </c>
      <c r="DZ12" s="722" t="s">
        <v>476</v>
      </c>
      <c r="EA12" s="682" t="s">
        <v>325</v>
      </c>
      <c r="EB12" s="717"/>
      <c r="EC12" s="66"/>
      <c r="ED12" s="645" t="s">
        <v>324</v>
      </c>
      <c r="EE12" s="242" t="s">
        <v>459</v>
      </c>
      <c r="EF12" s="405" t="s">
        <v>315</v>
      </c>
      <c r="EG12" s="92"/>
      <c r="EJ12" s="55"/>
      <c r="EK12" s="405" t="s">
        <v>389</v>
      </c>
      <c r="EL12" s="722" t="s">
        <v>779</v>
      </c>
      <c r="EM12" s="682" t="s">
        <v>331</v>
      </c>
      <c r="EN12" s="717"/>
      <c r="EO12" s="66"/>
      <c r="EP12" s="645" t="s">
        <v>324</v>
      </c>
      <c r="EQ12" s="722" t="s">
        <v>657</v>
      </c>
      <c r="ER12" s="405" t="s">
        <v>322</v>
      </c>
      <c r="ES12" s="92"/>
      <c r="EV12" s="55"/>
      <c r="EW12" s="405" t="s">
        <v>446</v>
      </c>
      <c r="EX12" s="722" t="s">
        <v>777</v>
      </c>
      <c r="EY12" s="682" t="s">
        <v>377</v>
      </c>
      <c r="EZ12" s="717"/>
      <c r="FA12" s="66"/>
      <c r="FB12" s="645" t="s">
        <v>315</v>
      </c>
      <c r="FC12" s="722" t="s">
        <v>475</v>
      </c>
      <c r="FD12" s="405" t="s">
        <v>400</v>
      </c>
      <c r="FE12" s="92"/>
      <c r="FH12" s="55"/>
      <c r="FI12" s="405" t="s">
        <v>341</v>
      </c>
      <c r="FJ12" s="722" t="s">
        <v>345</v>
      </c>
      <c r="FK12" s="682" t="s">
        <v>324</v>
      </c>
      <c r="FL12" s="717"/>
      <c r="FM12" s="66"/>
      <c r="FN12" s="645" t="s">
        <v>342</v>
      </c>
      <c r="FO12" s="722" t="s">
        <v>785</v>
      </c>
      <c r="FP12" s="405" t="s">
        <v>352</v>
      </c>
      <c r="FQ12" s="92"/>
      <c r="FT12" s="55"/>
      <c r="FU12" s="405" t="s">
        <v>400</v>
      </c>
      <c r="FV12" s="722" t="s">
        <v>475</v>
      </c>
      <c r="FW12" s="682" t="s">
        <v>337</v>
      </c>
      <c r="FX12" s="717"/>
    </row>
    <row r="13">
      <c r="A13" s="734" t="s">
        <v>731</v>
      </c>
      <c r="B13" s="97"/>
      <c r="C13" s="97"/>
      <c r="D13" s="97"/>
      <c r="E13" s="97"/>
      <c r="F13" s="97"/>
      <c r="G13" s="97"/>
      <c r="H13" s="97"/>
      <c r="I13" s="97"/>
      <c r="J13" s="100"/>
      <c r="K13" s="733"/>
      <c r="L13" s="717"/>
      <c r="M13" s="66"/>
      <c r="N13" s="645" t="s">
        <v>352</v>
      </c>
      <c r="O13" s="722" t="s">
        <v>425</v>
      </c>
      <c r="P13" s="405" t="s">
        <v>315</v>
      </c>
      <c r="Q13" s="92"/>
      <c r="S13" s="92"/>
      <c r="U13" s="405" t="s">
        <v>379</v>
      </c>
      <c r="V13" s="722" t="s">
        <v>481</v>
      </c>
      <c r="W13" s="682" t="s">
        <v>354</v>
      </c>
      <c r="X13" s="717"/>
      <c r="Y13" s="66"/>
      <c r="Z13" s="645" t="s">
        <v>317</v>
      </c>
      <c r="AA13" s="722" t="s">
        <v>771</v>
      </c>
      <c r="AB13" s="405" t="s">
        <v>377</v>
      </c>
      <c r="AC13" s="92"/>
      <c r="AE13" s="92"/>
      <c r="AG13" s="405" t="s">
        <v>432</v>
      </c>
      <c r="AH13" s="722" t="s">
        <v>419</v>
      </c>
      <c r="AI13" s="682" t="s">
        <v>369</v>
      </c>
      <c r="AJ13" s="717"/>
      <c r="AK13" s="66"/>
      <c r="AL13" s="645" t="s">
        <v>342</v>
      </c>
      <c r="AM13" s="722" t="s">
        <v>782</v>
      </c>
      <c r="AN13" s="405" t="s">
        <v>414</v>
      </c>
      <c r="AO13" s="92"/>
      <c r="AQ13" s="92"/>
      <c r="AS13" s="405" t="s">
        <v>328</v>
      </c>
      <c r="AT13" s="722" t="s">
        <v>778</v>
      </c>
      <c r="AU13" s="656" t="s">
        <v>315</v>
      </c>
      <c r="AV13" s="717"/>
      <c r="AW13" s="66"/>
      <c r="AX13" s="645" t="s">
        <v>354</v>
      </c>
      <c r="AY13" s="722" t="s">
        <v>477</v>
      </c>
      <c r="AZ13" s="405" t="s">
        <v>391</v>
      </c>
      <c r="BA13" s="92"/>
      <c r="BD13" s="55"/>
      <c r="BE13" s="405" t="s">
        <v>411</v>
      </c>
      <c r="BF13" s="722" t="s">
        <v>767</v>
      </c>
      <c r="BG13" s="682" t="s">
        <v>328</v>
      </c>
      <c r="BH13" s="717"/>
      <c r="BI13" s="66"/>
      <c r="BJ13" s="645" t="s">
        <v>315</v>
      </c>
      <c r="BK13" s="722" t="s">
        <v>473</v>
      </c>
      <c r="BL13" s="405" t="s">
        <v>389</v>
      </c>
      <c r="BM13" s="92"/>
      <c r="BO13" s="92"/>
      <c r="BQ13" s="405" t="s">
        <v>408</v>
      </c>
      <c r="BR13" s="722" t="s">
        <v>776</v>
      </c>
      <c r="BS13" s="656" t="s">
        <v>331</v>
      </c>
      <c r="BT13" s="717"/>
      <c r="BU13" s="66"/>
      <c r="BV13" s="645" t="s">
        <v>401</v>
      </c>
      <c r="BW13" s="722" t="s">
        <v>770</v>
      </c>
      <c r="BX13" s="405" t="s">
        <v>385</v>
      </c>
      <c r="BY13" s="92"/>
      <c r="CA13" s="92"/>
      <c r="CC13" s="405" t="s">
        <v>434</v>
      </c>
      <c r="CD13" s="722" t="s">
        <v>779</v>
      </c>
      <c r="CE13" s="656" t="s">
        <v>337</v>
      </c>
      <c r="CF13" s="717"/>
      <c r="CG13" s="66"/>
      <c r="CH13" s="645" t="s">
        <v>325</v>
      </c>
      <c r="CI13" s="722" t="s">
        <v>775</v>
      </c>
      <c r="CJ13" s="405" t="s">
        <v>337</v>
      </c>
      <c r="CK13" s="92"/>
      <c r="CM13" s="92"/>
      <c r="CO13" s="405" t="s">
        <v>384</v>
      </c>
      <c r="CP13" s="722" t="s">
        <v>390</v>
      </c>
      <c r="CQ13" s="656" t="s">
        <v>324</v>
      </c>
      <c r="CR13" s="717"/>
      <c r="CS13" s="66"/>
      <c r="CT13" s="645" t="s">
        <v>334</v>
      </c>
      <c r="CU13" s="722" t="s">
        <v>476</v>
      </c>
      <c r="CV13" s="405" t="s">
        <v>400</v>
      </c>
      <c r="CW13" s="92"/>
      <c r="CZ13" s="55"/>
      <c r="DA13" s="405" t="s">
        <v>373</v>
      </c>
      <c r="DB13" s="722" t="s">
        <v>780</v>
      </c>
      <c r="DC13" s="682" t="s">
        <v>317</v>
      </c>
      <c r="DD13" s="717"/>
      <c r="DE13" s="66"/>
      <c r="DF13" s="645" t="s">
        <v>342</v>
      </c>
      <c r="DG13" s="722" t="s">
        <v>435</v>
      </c>
      <c r="DH13" s="405" t="s">
        <v>346</v>
      </c>
      <c r="DI13" s="92"/>
      <c r="DL13" s="55"/>
      <c r="DM13" s="405" t="s">
        <v>322</v>
      </c>
      <c r="DN13" s="722" t="s">
        <v>457</v>
      </c>
      <c r="DO13" s="682" t="s">
        <v>331</v>
      </c>
      <c r="DP13" s="717"/>
      <c r="DQ13" s="66"/>
      <c r="DR13" s="645" t="s">
        <v>317</v>
      </c>
      <c r="DS13" s="722" t="s">
        <v>428</v>
      </c>
      <c r="DT13" s="405" t="s">
        <v>384</v>
      </c>
      <c r="DU13" s="92"/>
      <c r="DX13" s="55"/>
      <c r="DY13" s="405" t="s">
        <v>328</v>
      </c>
      <c r="DZ13" s="722" t="s">
        <v>431</v>
      </c>
      <c r="EA13" s="682" t="s">
        <v>327</v>
      </c>
      <c r="EB13" s="717"/>
      <c r="EC13" s="66"/>
      <c r="ED13" s="645" t="s">
        <v>342</v>
      </c>
      <c r="EE13" s="242" t="s">
        <v>463</v>
      </c>
      <c r="EF13" s="405" t="s">
        <v>377</v>
      </c>
      <c r="EG13" s="92"/>
      <c r="EJ13" s="55"/>
      <c r="EK13" s="405" t="s">
        <v>317</v>
      </c>
      <c r="EL13" s="722" t="s">
        <v>773</v>
      </c>
      <c r="EM13" s="682" t="s">
        <v>352</v>
      </c>
      <c r="EN13" s="717"/>
      <c r="EO13" s="66"/>
      <c r="EP13" s="645" t="s">
        <v>325</v>
      </c>
      <c r="EQ13" s="722" t="s">
        <v>659</v>
      </c>
      <c r="ER13" s="405" t="s">
        <v>400</v>
      </c>
      <c r="ES13" s="92"/>
      <c r="EV13" s="55"/>
      <c r="EW13" s="405" t="s">
        <v>315</v>
      </c>
      <c r="EX13" s="722" t="s">
        <v>427</v>
      </c>
      <c r="EY13" s="682" t="s">
        <v>327</v>
      </c>
      <c r="EZ13" s="717"/>
      <c r="FA13" s="66"/>
      <c r="FB13" s="645" t="s">
        <v>317</v>
      </c>
      <c r="FC13" s="722" t="s">
        <v>477</v>
      </c>
      <c r="FD13" s="405" t="s">
        <v>327</v>
      </c>
      <c r="FE13" s="92"/>
      <c r="FH13" s="55"/>
      <c r="FI13" s="405" t="s">
        <v>377</v>
      </c>
      <c r="FJ13" s="722" t="s">
        <v>390</v>
      </c>
      <c r="FK13" s="682" t="s">
        <v>325</v>
      </c>
      <c r="FL13" s="717"/>
      <c r="FM13" s="66"/>
      <c r="FN13" s="645" t="s">
        <v>324</v>
      </c>
      <c r="FO13" s="722" t="s">
        <v>627</v>
      </c>
      <c r="FP13" s="405" t="s">
        <v>348</v>
      </c>
      <c r="FQ13" s="92"/>
      <c r="FT13" s="55"/>
      <c r="FU13" s="405" t="s">
        <v>341</v>
      </c>
      <c r="FV13" s="722" t="s">
        <v>477</v>
      </c>
      <c r="FW13" s="682" t="s">
        <v>325</v>
      </c>
      <c r="FX13" s="717"/>
    </row>
    <row r="14" ht="18.0" customHeight="1">
      <c r="A14" s="734" t="s">
        <v>732</v>
      </c>
      <c r="B14" s="735" t="s">
        <v>263</v>
      </c>
      <c r="C14" s="707" t="s">
        <v>258</v>
      </c>
      <c r="D14" s="736" t="s">
        <v>733</v>
      </c>
      <c r="E14" s="736" t="s">
        <v>734</v>
      </c>
      <c r="F14" s="707" t="s">
        <v>261</v>
      </c>
      <c r="G14" s="737" t="s">
        <v>718</v>
      </c>
      <c r="H14" s="738" t="s">
        <v>719</v>
      </c>
      <c r="I14" s="738" t="s">
        <v>720</v>
      </c>
      <c r="J14" s="739" t="s">
        <v>721</v>
      </c>
      <c r="K14" s="732"/>
      <c r="L14" s="712"/>
      <c r="M14" s="66"/>
      <c r="N14" s="645" t="s">
        <v>325</v>
      </c>
      <c r="O14" s="722" t="s">
        <v>463</v>
      </c>
      <c r="P14" s="405" t="s">
        <v>375</v>
      </c>
      <c r="Q14" s="92"/>
      <c r="S14" s="92"/>
      <c r="U14" s="405" t="s">
        <v>377</v>
      </c>
      <c r="V14" s="722" t="s">
        <v>771</v>
      </c>
      <c r="W14" s="682" t="s">
        <v>401</v>
      </c>
      <c r="X14" s="712"/>
      <c r="Y14" s="66"/>
      <c r="Z14" s="645" t="s">
        <v>325</v>
      </c>
      <c r="AA14" s="722" t="s">
        <v>481</v>
      </c>
      <c r="AB14" s="405" t="s">
        <v>352</v>
      </c>
      <c r="AC14" s="92"/>
      <c r="AE14" s="92"/>
      <c r="AG14" s="405" t="s">
        <v>374</v>
      </c>
      <c r="AH14" s="722" t="s">
        <v>627</v>
      </c>
      <c r="AI14" s="682" t="s">
        <v>405</v>
      </c>
      <c r="AJ14" s="712"/>
      <c r="AK14" s="66"/>
      <c r="AL14" s="645" t="s">
        <v>369</v>
      </c>
      <c r="AM14" s="722" t="s">
        <v>457</v>
      </c>
      <c r="AN14" s="405" t="s">
        <v>322</v>
      </c>
      <c r="AO14" s="92"/>
      <c r="AQ14" s="92"/>
      <c r="AS14" s="405" t="s">
        <v>361</v>
      </c>
      <c r="AT14" s="722" t="s">
        <v>435</v>
      </c>
      <c r="AU14" s="656" t="s">
        <v>389</v>
      </c>
      <c r="AV14" s="712"/>
      <c r="AW14" s="66"/>
      <c r="AX14" s="645" t="s">
        <v>408</v>
      </c>
      <c r="AY14" s="722" t="s">
        <v>479</v>
      </c>
      <c r="AZ14" s="405" t="s">
        <v>384</v>
      </c>
      <c r="BA14" s="92"/>
      <c r="BD14" s="55"/>
      <c r="BE14" s="405" t="s">
        <v>414</v>
      </c>
      <c r="BF14" s="722" t="s">
        <v>463</v>
      </c>
      <c r="BG14" s="682" t="s">
        <v>389</v>
      </c>
      <c r="BH14" s="712"/>
      <c r="BI14" s="66"/>
      <c r="BJ14" s="645" t="s">
        <v>400</v>
      </c>
      <c r="BK14" s="722" t="s">
        <v>477</v>
      </c>
      <c r="BL14" s="405" t="s">
        <v>362</v>
      </c>
      <c r="BM14" s="92"/>
      <c r="BO14" s="92"/>
      <c r="BQ14" s="405" t="s">
        <v>352</v>
      </c>
      <c r="BR14" s="722" t="s">
        <v>775</v>
      </c>
      <c r="BS14" s="656" t="s">
        <v>391</v>
      </c>
      <c r="BT14" s="712"/>
      <c r="BU14" s="66"/>
      <c r="BV14" s="645" t="s">
        <v>331</v>
      </c>
      <c r="BW14" s="722" t="s">
        <v>463</v>
      </c>
      <c r="BX14" s="405" t="s">
        <v>380</v>
      </c>
      <c r="BY14" s="92"/>
      <c r="CA14" s="92"/>
      <c r="CC14" s="405" t="s">
        <v>414</v>
      </c>
      <c r="CD14" s="722" t="s">
        <v>390</v>
      </c>
      <c r="CE14" s="656" t="s">
        <v>315</v>
      </c>
      <c r="CF14" s="712"/>
      <c r="CG14" s="66"/>
      <c r="CH14" s="645" t="s">
        <v>387</v>
      </c>
      <c r="CI14" s="722" t="s">
        <v>776</v>
      </c>
      <c r="CJ14" s="405" t="s">
        <v>368</v>
      </c>
      <c r="CK14" s="92"/>
      <c r="CM14" s="92"/>
      <c r="CO14" s="405" t="s">
        <v>379</v>
      </c>
      <c r="CP14" s="722" t="s">
        <v>372</v>
      </c>
      <c r="CQ14" s="656" t="s">
        <v>348</v>
      </c>
      <c r="CR14" s="712"/>
      <c r="CS14" s="66"/>
      <c r="CT14" s="645" t="s">
        <v>369</v>
      </c>
      <c r="CU14" s="722" t="s">
        <v>771</v>
      </c>
      <c r="CV14" s="405" t="s">
        <v>377</v>
      </c>
      <c r="CW14" s="92"/>
      <c r="CZ14" s="55"/>
      <c r="DA14" s="405" t="s">
        <v>434</v>
      </c>
      <c r="DB14" s="722" t="s">
        <v>370</v>
      </c>
      <c r="DC14" s="682" t="s">
        <v>408</v>
      </c>
      <c r="DD14" s="712"/>
      <c r="DE14" s="66"/>
      <c r="DF14" s="645" t="s">
        <v>384</v>
      </c>
      <c r="DG14" s="722" t="s">
        <v>441</v>
      </c>
      <c r="DH14" s="405" t="s">
        <v>15</v>
      </c>
      <c r="DI14" s="92"/>
      <c r="DL14" s="55"/>
      <c r="DM14" s="405" t="s">
        <v>377</v>
      </c>
      <c r="DN14" s="722" t="s">
        <v>782</v>
      </c>
      <c r="DO14" s="682" t="s">
        <v>343</v>
      </c>
      <c r="DP14" s="712"/>
      <c r="DQ14" s="66"/>
      <c r="DR14" s="645" t="s">
        <v>324</v>
      </c>
      <c r="DS14" s="722" t="s">
        <v>785</v>
      </c>
      <c r="DT14" s="405" t="s">
        <v>387</v>
      </c>
      <c r="DU14" s="92"/>
      <c r="DX14" s="55"/>
      <c r="DY14" s="405" t="s">
        <v>352</v>
      </c>
      <c r="DZ14" s="722" t="s">
        <v>481</v>
      </c>
      <c r="EA14" s="682" t="s">
        <v>369</v>
      </c>
      <c r="EB14" s="712"/>
      <c r="EC14" s="66"/>
      <c r="ED14" s="645" t="s">
        <v>362</v>
      </c>
      <c r="EE14" s="242" t="s">
        <v>457</v>
      </c>
      <c r="EF14" s="405" t="s">
        <v>361</v>
      </c>
      <c r="EG14" s="92"/>
      <c r="EJ14" s="55"/>
      <c r="EK14" s="405" t="s">
        <v>387</v>
      </c>
      <c r="EL14" s="722" t="s">
        <v>372</v>
      </c>
      <c r="EM14" s="682" t="s">
        <v>325</v>
      </c>
      <c r="EN14" s="712"/>
      <c r="EO14" s="66"/>
      <c r="EP14" s="645" t="s">
        <v>369</v>
      </c>
      <c r="EQ14" s="722" t="s">
        <v>372</v>
      </c>
      <c r="ER14" s="405" t="s">
        <v>407</v>
      </c>
      <c r="ES14" s="92"/>
      <c r="EV14" s="55"/>
      <c r="EW14" s="405" t="s">
        <v>439</v>
      </c>
      <c r="EX14" s="722" t="s">
        <v>781</v>
      </c>
      <c r="EY14" s="682" t="s">
        <v>346</v>
      </c>
      <c r="EZ14" s="712"/>
      <c r="FA14" s="66"/>
      <c r="FB14" s="645" t="s">
        <v>19</v>
      </c>
      <c r="FC14" s="722" t="s">
        <v>479</v>
      </c>
      <c r="FD14" s="405" t="s">
        <v>328</v>
      </c>
      <c r="FE14" s="92"/>
      <c r="FH14" s="55"/>
      <c r="FI14" s="405" t="s">
        <v>387</v>
      </c>
      <c r="FJ14" s="722" t="s">
        <v>372</v>
      </c>
      <c r="FK14" s="682" t="s">
        <v>352</v>
      </c>
      <c r="FL14" s="712"/>
      <c r="FM14" s="66"/>
      <c r="FN14" s="645" t="s">
        <v>369</v>
      </c>
      <c r="FO14" s="722" t="s">
        <v>428</v>
      </c>
      <c r="FP14" s="405" t="s">
        <v>401</v>
      </c>
      <c r="FQ14" s="92"/>
      <c r="FT14" s="55"/>
      <c r="FU14" s="405" t="s">
        <v>328</v>
      </c>
      <c r="FV14" s="722" t="s">
        <v>479</v>
      </c>
      <c r="FW14" s="682" t="s">
        <v>402</v>
      </c>
      <c r="FX14" s="712"/>
    </row>
    <row r="15">
      <c r="A15" s="640">
        <v>1.0</v>
      </c>
      <c r="B15" s="740">
        <v>1.0</v>
      </c>
      <c r="C15" s="741" t="str">
        <f>'Schedule | 2 Division'!E5</f>
        <v>HARD GRIND</v>
      </c>
      <c r="D15" s="742">
        <f t="shared" ref="D15:E15" si="10">R21</f>
        <v>2</v>
      </c>
      <c r="E15" s="742">
        <f t="shared" si="10"/>
        <v>0</v>
      </c>
      <c r="F15" s="741" t="str">
        <f>'Schedule | 2 Division'!I5</f>
        <v>Aterion Esports</v>
      </c>
      <c r="G15" s="686" t="str">
        <f t="shared" ref="G15:G70" si="12">IF(AND(D15=2, E15=0), C15, IF(AND(D15=0, E15=2), F15, ""))</f>
        <v>HARD GRIND</v>
      </c>
      <c r="H15" s="687" t="str">
        <f t="shared" ref="H15:H70" si="13">IF(AND(D15=2, E15=1), C15, IF(AND(D15=1, E15=2), F15, ""))
</f>
        <v/>
      </c>
      <c r="I15" s="687" t="str">
        <f t="shared" ref="I15:I70" si="14">IF(AND(D15=1, E15=2), C15, IF(AND(D15=2, E15=1), F15, ""))
</f>
        <v/>
      </c>
      <c r="J15" s="743" t="str">
        <f t="shared" ref="J15:J70" si="15">IF(AND(D15=0, E15=2), C15, IF(AND(D15=2, E15=0), F15, ""))
</f>
        <v>Aterion Esports</v>
      </c>
      <c r="K15" s="732"/>
      <c r="L15" s="712"/>
      <c r="M15" s="134"/>
      <c r="N15" s="744" t="s">
        <v>331</v>
      </c>
      <c r="O15" s="723" t="s">
        <v>417</v>
      </c>
      <c r="P15" s="745" t="s">
        <v>434</v>
      </c>
      <c r="Q15" s="375"/>
      <c r="R15" s="374"/>
      <c r="S15" s="375"/>
      <c r="T15" s="374"/>
      <c r="U15" s="745" t="s">
        <v>400</v>
      </c>
      <c r="V15" s="723" t="s">
        <v>476</v>
      </c>
      <c r="W15" s="746" t="s">
        <v>384</v>
      </c>
      <c r="X15" s="712"/>
      <c r="Y15" s="134"/>
      <c r="Z15" s="744" t="s">
        <v>327</v>
      </c>
      <c r="AA15" s="722" t="s">
        <v>474</v>
      </c>
      <c r="AB15" s="745" t="s">
        <v>315</v>
      </c>
      <c r="AC15" s="375"/>
      <c r="AD15" s="374"/>
      <c r="AE15" s="375"/>
      <c r="AF15" s="374"/>
      <c r="AG15" s="745" t="s">
        <v>445</v>
      </c>
      <c r="AH15" s="723" t="s">
        <v>783</v>
      </c>
      <c r="AI15" s="746" t="s">
        <v>384</v>
      </c>
      <c r="AJ15" s="712"/>
      <c r="AK15" s="134"/>
      <c r="AL15" s="744" t="s">
        <v>396</v>
      </c>
      <c r="AM15" s="723" t="s">
        <v>774</v>
      </c>
      <c r="AN15" s="745" t="s">
        <v>352</v>
      </c>
      <c r="AO15" s="375"/>
      <c r="AP15" s="374"/>
      <c r="AQ15" s="375"/>
      <c r="AR15" s="374"/>
      <c r="AS15" s="745" t="s">
        <v>327</v>
      </c>
      <c r="AT15" s="723" t="s">
        <v>784</v>
      </c>
      <c r="AU15" s="747" t="s">
        <v>439</v>
      </c>
      <c r="AV15" s="712"/>
      <c r="AW15" s="134"/>
      <c r="AX15" s="744" t="s">
        <v>434</v>
      </c>
      <c r="AY15" s="723" t="s">
        <v>482</v>
      </c>
      <c r="AZ15" s="745" t="s">
        <v>342</v>
      </c>
      <c r="BA15" s="375"/>
      <c r="BB15" s="374"/>
      <c r="BC15" s="374"/>
      <c r="BD15" s="386"/>
      <c r="BE15" s="745" t="s">
        <v>382</v>
      </c>
      <c r="BF15" s="723" t="s">
        <v>417</v>
      </c>
      <c r="BG15" s="746" t="s">
        <v>361</v>
      </c>
      <c r="BH15" s="712"/>
      <c r="BI15" s="134"/>
      <c r="BJ15" s="744" t="s">
        <v>412</v>
      </c>
      <c r="BK15" s="723" t="s">
        <v>479</v>
      </c>
      <c r="BL15" s="745" t="s">
        <v>384</v>
      </c>
      <c r="BM15" s="375"/>
      <c r="BN15" s="374"/>
      <c r="BO15" s="375"/>
      <c r="BP15" s="374"/>
      <c r="BQ15" s="745" t="s">
        <v>403</v>
      </c>
      <c r="BR15" s="723" t="s">
        <v>441</v>
      </c>
      <c r="BS15" s="747" t="s">
        <v>377</v>
      </c>
      <c r="BT15" s="712"/>
      <c r="BU15" s="134"/>
      <c r="BV15" s="744" t="s">
        <v>411</v>
      </c>
      <c r="BW15" s="723" t="s">
        <v>425</v>
      </c>
      <c r="BX15" s="745" t="s">
        <v>354</v>
      </c>
      <c r="BY15" s="375"/>
      <c r="BZ15" s="374"/>
      <c r="CA15" s="375"/>
      <c r="CB15" s="374"/>
      <c r="CC15" s="745" t="s">
        <v>747</v>
      </c>
      <c r="CD15" s="723" t="s">
        <v>773</v>
      </c>
      <c r="CE15" s="747" t="s">
        <v>375</v>
      </c>
      <c r="CF15" s="712"/>
      <c r="CG15" s="134"/>
      <c r="CH15" s="744" t="s">
        <v>389</v>
      </c>
      <c r="CI15" s="723" t="s">
        <v>441</v>
      </c>
      <c r="CJ15" s="745" t="s">
        <v>411</v>
      </c>
      <c r="CK15" s="375"/>
      <c r="CL15" s="374"/>
      <c r="CM15" s="375"/>
      <c r="CN15" s="374"/>
      <c r="CO15" s="745" t="s">
        <v>376</v>
      </c>
      <c r="CP15" s="723" t="s">
        <v>779</v>
      </c>
      <c r="CQ15" s="747" t="s">
        <v>343</v>
      </c>
      <c r="CR15" s="712"/>
      <c r="CS15" s="134"/>
      <c r="CT15" s="744" t="s">
        <v>322</v>
      </c>
      <c r="CU15" s="723" t="s">
        <v>474</v>
      </c>
      <c r="CV15" s="745" t="s">
        <v>362</v>
      </c>
      <c r="CW15" s="375"/>
      <c r="CX15" s="374"/>
      <c r="CY15" s="374"/>
      <c r="CZ15" s="386"/>
      <c r="DA15" s="745" t="s">
        <v>432</v>
      </c>
      <c r="DB15" s="723" t="s">
        <v>460</v>
      </c>
      <c r="DC15" s="746" t="s">
        <v>380</v>
      </c>
      <c r="DD15" s="712"/>
      <c r="DE15" s="134"/>
      <c r="DF15" s="744" t="s">
        <v>362</v>
      </c>
      <c r="DG15" s="723" t="s">
        <v>778</v>
      </c>
      <c r="DH15" s="745" t="s">
        <v>375</v>
      </c>
      <c r="DI15" s="375"/>
      <c r="DJ15" s="374"/>
      <c r="DK15" s="374"/>
      <c r="DL15" s="386"/>
      <c r="DM15" s="745" t="s">
        <v>317</v>
      </c>
      <c r="DN15" s="723" t="s">
        <v>461</v>
      </c>
      <c r="DO15" s="746" t="s">
        <v>400</v>
      </c>
      <c r="DP15" s="712"/>
      <c r="DQ15" s="134"/>
      <c r="DR15" s="744" t="s">
        <v>342</v>
      </c>
      <c r="DS15" s="723" t="s">
        <v>419</v>
      </c>
      <c r="DT15" s="745" t="s">
        <v>343</v>
      </c>
      <c r="DU15" s="375"/>
      <c r="DV15" s="374"/>
      <c r="DW15" s="374"/>
      <c r="DX15" s="386"/>
      <c r="DY15" s="745" t="s">
        <v>391</v>
      </c>
      <c r="DZ15" s="723" t="s">
        <v>474</v>
      </c>
      <c r="EA15" s="746" t="s">
        <v>19</v>
      </c>
      <c r="EB15" s="712"/>
      <c r="EC15" s="134"/>
      <c r="ED15" s="744" t="s">
        <v>374</v>
      </c>
      <c r="EE15" s="391" t="s">
        <v>774</v>
      </c>
      <c r="EF15" s="745" t="s">
        <v>439</v>
      </c>
      <c r="EG15" s="375"/>
      <c r="EH15" s="374"/>
      <c r="EI15" s="374"/>
      <c r="EJ15" s="386"/>
      <c r="EK15" s="745" t="s">
        <v>348</v>
      </c>
      <c r="EL15" s="723" t="s">
        <v>345</v>
      </c>
      <c r="EM15" s="746" t="s">
        <v>343</v>
      </c>
      <c r="EN15" s="712"/>
      <c r="EO15" s="134"/>
      <c r="EP15" s="744" t="s">
        <v>389</v>
      </c>
      <c r="EQ15" s="723" t="s">
        <v>345</v>
      </c>
      <c r="ER15" s="745" t="s">
        <v>343</v>
      </c>
      <c r="ES15" s="375"/>
      <c r="ET15" s="374"/>
      <c r="EU15" s="374"/>
      <c r="EV15" s="386"/>
      <c r="EW15" s="745" t="s">
        <v>376</v>
      </c>
      <c r="EX15" s="723" t="s">
        <v>417</v>
      </c>
      <c r="EY15" s="746" t="s">
        <v>387</v>
      </c>
      <c r="EZ15" s="712"/>
      <c r="FA15" s="134"/>
      <c r="FB15" s="744" t="s">
        <v>332</v>
      </c>
      <c r="FC15" s="723" t="s">
        <v>482</v>
      </c>
      <c r="FD15" s="745" t="s">
        <v>346</v>
      </c>
      <c r="FE15" s="375"/>
      <c r="FF15" s="374"/>
      <c r="FG15" s="374"/>
      <c r="FH15" s="386"/>
      <c r="FI15" s="745" t="s">
        <v>361</v>
      </c>
      <c r="FJ15" s="723" t="s">
        <v>323</v>
      </c>
      <c r="FK15" s="746" t="s">
        <v>373</v>
      </c>
      <c r="FL15" s="712"/>
      <c r="FM15" s="134"/>
      <c r="FN15" s="744" t="s">
        <v>346</v>
      </c>
      <c r="FO15" s="723" t="s">
        <v>768</v>
      </c>
      <c r="FP15" s="745" t="s">
        <v>382</v>
      </c>
      <c r="FQ15" s="375"/>
      <c r="FR15" s="374"/>
      <c r="FS15" s="374"/>
      <c r="FT15" s="386"/>
      <c r="FU15" s="745" t="s">
        <v>405</v>
      </c>
      <c r="FV15" s="723" t="s">
        <v>482</v>
      </c>
      <c r="FW15" s="746" t="s">
        <v>414</v>
      </c>
      <c r="FX15" s="712"/>
    </row>
    <row r="16">
      <c r="A16" s="640">
        <v>1.0</v>
      </c>
      <c r="B16" s="740">
        <v>2.0</v>
      </c>
      <c r="C16" s="741" t="str">
        <f>'Schedule | 2 Division'!E6</f>
        <v>Suplex team</v>
      </c>
      <c r="D16" s="748">
        <f t="shared" ref="D16:E16" si="11">R41</f>
        <v>0</v>
      </c>
      <c r="E16" s="748">
        <f t="shared" si="11"/>
        <v>2</v>
      </c>
      <c r="F16" s="749" t="str">
        <f>'Schedule | 2 Division'!I6</f>
        <v>INVISION</v>
      </c>
      <c r="G16" s="750" t="str">
        <f t="shared" si="12"/>
        <v>INVISION</v>
      </c>
      <c r="H16" s="685" t="str">
        <f t="shared" si="13"/>
        <v/>
      </c>
      <c r="I16" s="688" t="str">
        <f t="shared" si="14"/>
        <v/>
      </c>
      <c r="J16" s="751" t="str">
        <f t="shared" si="15"/>
        <v>Suplex team</v>
      </c>
      <c r="K16" s="733"/>
      <c r="L16" s="717"/>
      <c r="M16" s="656">
        <v>3.0</v>
      </c>
      <c r="N16" s="645"/>
      <c r="O16" s="722"/>
      <c r="P16" s="405"/>
      <c r="Q16" s="682"/>
      <c r="R16" s="730"/>
      <c r="S16" s="731"/>
      <c r="T16" s="405"/>
      <c r="U16" s="405"/>
      <c r="V16" s="722"/>
      <c r="W16" s="682"/>
      <c r="X16" s="717"/>
      <c r="Y16" s="656">
        <v>3.0</v>
      </c>
      <c r="Z16" s="645" t="s">
        <v>342</v>
      </c>
      <c r="AA16" s="727" t="s">
        <v>480</v>
      </c>
      <c r="AB16" s="405" t="s">
        <v>389</v>
      </c>
      <c r="AC16" s="682" t="s">
        <v>321</v>
      </c>
      <c r="AD16" s="730" t="s">
        <v>319</v>
      </c>
      <c r="AE16" s="731" t="s">
        <v>320</v>
      </c>
      <c r="AF16" s="405" t="s">
        <v>318</v>
      </c>
      <c r="AG16" s="405" t="s">
        <v>369</v>
      </c>
      <c r="AH16" s="722" t="s">
        <v>768</v>
      </c>
      <c r="AI16" s="682" t="s">
        <v>315</v>
      </c>
      <c r="AJ16" s="717"/>
      <c r="AK16" s="656">
        <v>3.0</v>
      </c>
      <c r="AL16" s="645"/>
      <c r="AM16" s="722"/>
      <c r="AN16" s="405"/>
      <c r="AO16" s="682"/>
      <c r="AP16" s="730"/>
      <c r="AQ16" s="731"/>
      <c r="AR16" s="405"/>
      <c r="AS16" s="405"/>
      <c r="AT16" s="722"/>
      <c r="AU16" s="656"/>
      <c r="AV16" s="717"/>
      <c r="AW16" s="656">
        <v>3.0</v>
      </c>
      <c r="AX16" s="645" t="s">
        <v>354</v>
      </c>
      <c r="AY16" s="722" t="s">
        <v>473</v>
      </c>
      <c r="AZ16" s="405" t="s">
        <v>369</v>
      </c>
      <c r="BA16" s="682" t="s">
        <v>318</v>
      </c>
      <c r="BB16" s="730" t="s">
        <v>319</v>
      </c>
      <c r="BC16" s="730" t="s">
        <v>320</v>
      </c>
      <c r="BD16" s="645" t="s">
        <v>321</v>
      </c>
      <c r="BE16" s="405" t="s">
        <v>342</v>
      </c>
      <c r="BF16" s="722" t="s">
        <v>770</v>
      </c>
      <c r="BG16" s="682" t="s">
        <v>324</v>
      </c>
      <c r="BH16" s="717"/>
      <c r="BI16" s="656">
        <v>3.0</v>
      </c>
      <c r="BJ16" s="645" t="s">
        <v>317</v>
      </c>
      <c r="BK16" s="722" t="s">
        <v>473</v>
      </c>
      <c r="BL16" s="405" t="s">
        <v>396</v>
      </c>
      <c r="BM16" s="682" t="s">
        <v>321</v>
      </c>
      <c r="BN16" s="730" t="s">
        <v>320</v>
      </c>
      <c r="BO16" s="731" t="s">
        <v>319</v>
      </c>
      <c r="BP16" s="405" t="s">
        <v>318</v>
      </c>
      <c r="BQ16" s="405" t="s">
        <v>342</v>
      </c>
      <c r="BR16" s="727" t="s">
        <v>775</v>
      </c>
      <c r="BS16" s="656" t="s">
        <v>387</v>
      </c>
      <c r="BT16" s="717"/>
      <c r="BU16" s="656">
        <v>3.0</v>
      </c>
      <c r="BV16" s="645" t="s">
        <v>384</v>
      </c>
      <c r="BW16" s="722" t="s">
        <v>417</v>
      </c>
      <c r="BX16" s="405" t="s">
        <v>324</v>
      </c>
      <c r="BY16" s="682" t="s">
        <v>318</v>
      </c>
      <c r="BZ16" s="730" t="s">
        <v>319</v>
      </c>
      <c r="CA16" s="731" t="s">
        <v>320</v>
      </c>
      <c r="CB16" s="405" t="s">
        <v>321</v>
      </c>
      <c r="CC16" s="405" t="s">
        <v>327</v>
      </c>
      <c r="CD16" s="722" t="s">
        <v>345</v>
      </c>
      <c r="CE16" s="656" t="s">
        <v>317</v>
      </c>
      <c r="CF16" s="717"/>
      <c r="CG16" s="656">
        <v>3.0</v>
      </c>
      <c r="CH16" s="645"/>
      <c r="CI16" s="727"/>
      <c r="CJ16" s="405"/>
      <c r="CK16" s="682"/>
      <c r="CL16" s="730"/>
      <c r="CM16" s="731"/>
      <c r="CN16" s="405"/>
      <c r="CO16" s="405"/>
      <c r="CP16" s="722"/>
      <c r="CQ16" s="656"/>
      <c r="CR16" s="717"/>
      <c r="CS16" s="656">
        <v>3.0</v>
      </c>
      <c r="CT16" s="645" t="s">
        <v>342</v>
      </c>
      <c r="CU16" s="727" t="s">
        <v>771</v>
      </c>
      <c r="CV16" s="405" t="s">
        <v>328</v>
      </c>
      <c r="CW16" s="682" t="s">
        <v>321</v>
      </c>
      <c r="CX16" s="730" t="s">
        <v>320</v>
      </c>
      <c r="CY16" s="730" t="s">
        <v>319</v>
      </c>
      <c r="CZ16" s="645" t="s">
        <v>318</v>
      </c>
      <c r="DA16" s="405" t="s">
        <v>327</v>
      </c>
      <c r="DB16" s="722" t="s">
        <v>316</v>
      </c>
      <c r="DC16" s="682" t="s">
        <v>325</v>
      </c>
      <c r="DD16" s="717"/>
      <c r="DE16" s="656">
        <v>3.0</v>
      </c>
      <c r="DF16" s="645" t="s">
        <v>327</v>
      </c>
      <c r="DG16" s="727" t="s">
        <v>435</v>
      </c>
      <c r="DH16" s="405" t="s">
        <v>387</v>
      </c>
      <c r="DI16" s="682" t="s">
        <v>321</v>
      </c>
      <c r="DJ16" s="730" t="s">
        <v>320</v>
      </c>
      <c r="DK16" s="730" t="s">
        <v>319</v>
      </c>
      <c r="DL16" s="645" t="s">
        <v>318</v>
      </c>
      <c r="DM16" s="405" t="s">
        <v>391</v>
      </c>
      <c r="DN16" s="722" t="s">
        <v>459</v>
      </c>
      <c r="DO16" s="682" t="s">
        <v>328</v>
      </c>
      <c r="DP16" s="717"/>
      <c r="DQ16" s="656">
        <v>3.0</v>
      </c>
      <c r="DR16" s="645"/>
      <c r="DS16" s="722"/>
      <c r="DT16" s="405"/>
      <c r="DU16" s="682"/>
      <c r="DV16" s="730"/>
      <c r="DW16" s="730"/>
      <c r="DX16" s="645"/>
      <c r="DY16" s="405"/>
      <c r="DZ16" s="722"/>
      <c r="EA16" s="682"/>
      <c r="EB16" s="717"/>
      <c r="EC16" s="656">
        <v>3.0</v>
      </c>
      <c r="ED16" s="645"/>
      <c r="EE16" s="752"/>
      <c r="EF16" s="405"/>
      <c r="EG16" s="682"/>
      <c r="EH16" s="730"/>
      <c r="EI16" s="730"/>
      <c r="EJ16" s="645"/>
      <c r="EK16" s="405"/>
      <c r="EL16" s="722"/>
      <c r="EM16" s="682"/>
      <c r="EN16" s="717"/>
      <c r="EO16" s="656">
        <v>3.0</v>
      </c>
      <c r="EP16" s="645"/>
      <c r="EQ16" s="722"/>
      <c r="ER16" s="405"/>
      <c r="ES16" s="682"/>
      <c r="ET16" s="730"/>
      <c r="EU16" s="730"/>
      <c r="EV16" s="645"/>
      <c r="EW16" s="405"/>
      <c r="EX16" s="722"/>
      <c r="EY16" s="682"/>
      <c r="EZ16" s="717"/>
      <c r="FA16" s="656">
        <v>3.0</v>
      </c>
      <c r="FB16" s="645" t="s">
        <v>337</v>
      </c>
      <c r="FC16" s="727" t="s">
        <v>473</v>
      </c>
      <c r="FD16" s="405" t="s">
        <v>382</v>
      </c>
      <c r="FE16" s="682" t="s">
        <v>318</v>
      </c>
      <c r="FF16" s="730" t="s">
        <v>319</v>
      </c>
      <c r="FG16" s="730" t="s">
        <v>320</v>
      </c>
      <c r="FH16" s="645" t="s">
        <v>321</v>
      </c>
      <c r="FI16" s="405" t="s">
        <v>377</v>
      </c>
      <c r="FJ16" s="718" t="s">
        <v>390</v>
      </c>
      <c r="FK16" s="682" t="s">
        <v>342</v>
      </c>
      <c r="FL16" s="717"/>
      <c r="FM16" s="656">
        <v>3.0</v>
      </c>
      <c r="FN16" s="645"/>
      <c r="FO16" s="722"/>
      <c r="FP16" s="405"/>
      <c r="FQ16" s="682"/>
      <c r="FR16" s="730"/>
      <c r="FS16" s="730"/>
      <c r="FT16" s="645"/>
      <c r="FU16" s="405"/>
      <c r="FV16" s="722"/>
      <c r="FW16" s="682"/>
      <c r="FX16" s="717"/>
    </row>
    <row r="17">
      <c r="A17" s="640">
        <v>1.0</v>
      </c>
      <c r="B17" s="740">
        <v>3.0</v>
      </c>
      <c r="C17" s="741" t="str">
        <f>'Schedule | 2 Division'!E7</f>
        <v>Dark Phoenix</v>
      </c>
      <c r="D17" s="753">
        <f t="shared" ref="D17:E17" si="16">R61</f>
        <v>0</v>
      </c>
      <c r="E17" s="753">
        <f t="shared" si="16"/>
        <v>2</v>
      </c>
      <c r="F17" s="749" t="str">
        <f>'Schedule | 2 Division'!I7</f>
        <v>Omnix</v>
      </c>
      <c r="G17" s="750" t="str">
        <f t="shared" si="12"/>
        <v>Omnix</v>
      </c>
      <c r="H17" s="685" t="str">
        <f t="shared" si="13"/>
        <v/>
      </c>
      <c r="I17" s="688" t="str">
        <f t="shared" si="14"/>
        <v/>
      </c>
      <c r="J17" s="751" t="str">
        <f t="shared" si="15"/>
        <v>Dark Phoenix</v>
      </c>
      <c r="K17" s="733"/>
      <c r="L17" s="717"/>
      <c r="M17" s="66"/>
      <c r="N17" s="645"/>
      <c r="O17" s="722"/>
      <c r="P17" s="405"/>
      <c r="Q17" s="92"/>
      <c r="S17" s="92"/>
      <c r="U17" s="405"/>
      <c r="V17" s="722"/>
      <c r="W17" s="682"/>
      <c r="X17" s="717"/>
      <c r="Y17" s="66"/>
      <c r="Z17" s="645" t="s">
        <v>324</v>
      </c>
      <c r="AA17" s="722" t="s">
        <v>476</v>
      </c>
      <c r="AB17" s="405" t="s">
        <v>343</v>
      </c>
      <c r="AC17" s="92"/>
      <c r="AE17" s="92"/>
      <c r="AG17" s="405" t="s">
        <v>411</v>
      </c>
      <c r="AH17" s="722" t="s">
        <v>772</v>
      </c>
      <c r="AI17" s="682" t="s">
        <v>328</v>
      </c>
      <c r="AJ17" s="717"/>
      <c r="AK17" s="66"/>
      <c r="AL17" s="645"/>
      <c r="AM17" s="722"/>
      <c r="AN17" s="405"/>
      <c r="AO17" s="92"/>
      <c r="AQ17" s="92"/>
      <c r="AS17" s="405"/>
      <c r="AT17" s="722"/>
      <c r="AU17" s="656"/>
      <c r="AV17" s="717"/>
      <c r="AW17" s="66"/>
      <c r="AX17" s="645" t="s">
        <v>325</v>
      </c>
      <c r="AY17" s="722" t="s">
        <v>475</v>
      </c>
      <c r="AZ17" s="405" t="s">
        <v>400</v>
      </c>
      <c r="BA17" s="92"/>
      <c r="BD17" s="55"/>
      <c r="BE17" s="405" t="s">
        <v>384</v>
      </c>
      <c r="BF17" s="722" t="s">
        <v>463</v>
      </c>
      <c r="BG17" s="682" t="s">
        <v>317</v>
      </c>
      <c r="BH17" s="717"/>
      <c r="BI17" s="66"/>
      <c r="BJ17" s="645" t="s">
        <v>324</v>
      </c>
      <c r="BK17" s="722" t="s">
        <v>479</v>
      </c>
      <c r="BL17" s="405" t="s">
        <v>414</v>
      </c>
      <c r="BM17" s="92"/>
      <c r="BO17" s="92"/>
      <c r="BQ17" s="405" t="s">
        <v>343</v>
      </c>
      <c r="BR17" s="722" t="s">
        <v>441</v>
      </c>
      <c r="BS17" s="656" t="s">
        <v>369</v>
      </c>
      <c r="BT17" s="717"/>
      <c r="BU17" s="66"/>
      <c r="BV17" s="645" t="s">
        <v>400</v>
      </c>
      <c r="BW17" s="722" t="s">
        <v>767</v>
      </c>
      <c r="BX17" s="405" t="s">
        <v>331</v>
      </c>
      <c r="BY17" s="92"/>
      <c r="CA17" s="92"/>
      <c r="CC17" s="405" t="s">
        <v>325</v>
      </c>
      <c r="CD17" s="722" t="s">
        <v>773</v>
      </c>
      <c r="CE17" s="656" t="s">
        <v>342</v>
      </c>
      <c r="CF17" s="717"/>
      <c r="CG17" s="66"/>
      <c r="CH17" s="645"/>
      <c r="CI17" s="722"/>
      <c r="CJ17" s="405"/>
      <c r="CK17" s="92"/>
      <c r="CM17" s="92"/>
      <c r="CO17" s="405"/>
      <c r="CP17" s="722"/>
      <c r="CQ17" s="656"/>
      <c r="CR17" s="717"/>
      <c r="CS17" s="66"/>
      <c r="CT17" s="645" t="s">
        <v>324</v>
      </c>
      <c r="CU17" s="722" t="s">
        <v>480</v>
      </c>
      <c r="CV17" s="405" t="s">
        <v>369</v>
      </c>
      <c r="CW17" s="92"/>
      <c r="CZ17" s="55"/>
      <c r="DA17" s="405" t="s">
        <v>405</v>
      </c>
      <c r="DB17" s="722" t="s">
        <v>344</v>
      </c>
      <c r="DC17" s="682" t="s">
        <v>408</v>
      </c>
      <c r="DD17" s="717"/>
      <c r="DE17" s="66"/>
      <c r="DF17" s="645" t="s">
        <v>324</v>
      </c>
      <c r="DG17" s="722" t="s">
        <v>430</v>
      </c>
      <c r="DH17" s="405" t="s">
        <v>369</v>
      </c>
      <c r="DI17" s="92"/>
      <c r="DL17" s="55"/>
      <c r="DM17" s="405" t="s">
        <v>439</v>
      </c>
      <c r="DN17" s="722" t="s">
        <v>774</v>
      </c>
      <c r="DO17" s="682" t="s">
        <v>325</v>
      </c>
      <c r="DP17" s="717"/>
      <c r="DQ17" s="66"/>
      <c r="DR17" s="645"/>
      <c r="DS17" s="722"/>
      <c r="DT17" s="405"/>
      <c r="DU17" s="92"/>
      <c r="DX17" s="55"/>
      <c r="DY17" s="405"/>
      <c r="DZ17" s="722"/>
      <c r="EA17" s="682"/>
      <c r="EB17" s="717"/>
      <c r="EC17" s="66"/>
      <c r="ED17" s="645"/>
      <c r="EE17" s="606"/>
      <c r="EF17" s="405"/>
      <c r="EG17" s="92"/>
      <c r="EJ17" s="55"/>
      <c r="EK17" s="405"/>
      <c r="EL17" s="722"/>
      <c r="EM17" s="682"/>
      <c r="EN17" s="717"/>
      <c r="EO17" s="66"/>
      <c r="EP17" s="645"/>
      <c r="EQ17" s="722"/>
      <c r="ER17" s="405"/>
      <c r="ES17" s="92"/>
      <c r="EV17" s="55"/>
      <c r="EW17" s="405"/>
      <c r="EX17" s="722"/>
      <c r="EY17" s="682"/>
      <c r="EZ17" s="717"/>
      <c r="FA17" s="66"/>
      <c r="FB17" s="645" t="s">
        <v>317</v>
      </c>
      <c r="FC17" s="722" t="s">
        <v>475</v>
      </c>
      <c r="FD17" s="405" t="s">
        <v>400</v>
      </c>
      <c r="FE17" s="92"/>
      <c r="FH17" s="55"/>
      <c r="FI17" s="405" t="s">
        <v>341</v>
      </c>
      <c r="FJ17" s="722" t="s">
        <v>345</v>
      </c>
      <c r="FK17" s="682" t="s">
        <v>324</v>
      </c>
      <c r="FL17" s="717"/>
      <c r="FM17" s="66"/>
      <c r="FN17" s="645"/>
      <c r="FO17" s="722"/>
      <c r="FP17" s="405"/>
      <c r="FQ17" s="92"/>
      <c r="FT17" s="55"/>
      <c r="FU17" s="405"/>
      <c r="FV17" s="722"/>
      <c r="FW17" s="682"/>
      <c r="FX17" s="717"/>
    </row>
    <row r="18">
      <c r="A18" s="754">
        <v>1.0</v>
      </c>
      <c r="B18" s="755">
        <v>4.0</v>
      </c>
      <c r="C18" s="756" t="str">
        <f>'Schedule | 2 Division'!E8</f>
        <v>The Soulless Team</v>
      </c>
      <c r="D18" s="757">
        <f t="shared" ref="D18:E18" si="17">R81</f>
        <v>2</v>
      </c>
      <c r="E18" s="757">
        <f t="shared" si="17"/>
        <v>0</v>
      </c>
      <c r="F18" s="758" t="str">
        <f>'Schedule | 2 Division'!I8</f>
        <v>TSA White</v>
      </c>
      <c r="G18" s="755" t="str">
        <f t="shared" si="12"/>
        <v>The Soulless Team</v>
      </c>
      <c r="H18" s="759" t="str">
        <f t="shared" si="13"/>
        <v/>
      </c>
      <c r="I18" s="760" t="str">
        <f t="shared" si="14"/>
        <v/>
      </c>
      <c r="J18" s="761" t="str">
        <f t="shared" si="15"/>
        <v>TSA White</v>
      </c>
      <c r="K18" s="733"/>
      <c r="L18" s="717"/>
      <c r="M18" s="66"/>
      <c r="N18" s="645"/>
      <c r="O18" s="722"/>
      <c r="P18" s="405"/>
      <c r="Q18" s="92"/>
      <c r="S18" s="92"/>
      <c r="U18" s="405"/>
      <c r="V18" s="722"/>
      <c r="W18" s="682"/>
      <c r="X18" s="717"/>
      <c r="Y18" s="66"/>
      <c r="Z18" s="645" t="s">
        <v>327</v>
      </c>
      <c r="AA18" s="722" t="s">
        <v>771</v>
      </c>
      <c r="AB18" s="405" t="s">
        <v>377</v>
      </c>
      <c r="AC18" s="92"/>
      <c r="AE18" s="92"/>
      <c r="AG18" s="405" t="s">
        <v>400</v>
      </c>
      <c r="AH18" s="722" t="s">
        <v>419</v>
      </c>
      <c r="AI18" s="682" t="s">
        <v>317</v>
      </c>
      <c r="AJ18" s="717"/>
      <c r="AK18" s="66"/>
      <c r="AL18" s="645"/>
      <c r="AM18" s="722"/>
      <c r="AN18" s="405"/>
      <c r="AO18" s="92"/>
      <c r="AQ18" s="92"/>
      <c r="AS18" s="405"/>
      <c r="AT18" s="722"/>
      <c r="AU18" s="656"/>
      <c r="AV18" s="717"/>
      <c r="AW18" s="66"/>
      <c r="AX18" s="645" t="s">
        <v>331</v>
      </c>
      <c r="AY18" s="722" t="s">
        <v>477</v>
      </c>
      <c r="AZ18" s="405" t="s">
        <v>373</v>
      </c>
      <c r="BA18" s="92"/>
      <c r="BD18" s="55"/>
      <c r="BE18" s="405" t="s">
        <v>327</v>
      </c>
      <c r="BF18" s="722" t="s">
        <v>425</v>
      </c>
      <c r="BG18" s="682" t="s">
        <v>328</v>
      </c>
      <c r="BH18" s="717"/>
      <c r="BI18" s="66"/>
      <c r="BJ18" s="645" t="s">
        <v>328</v>
      </c>
      <c r="BK18" s="722" t="s">
        <v>475</v>
      </c>
      <c r="BL18" s="405" t="s">
        <v>400</v>
      </c>
      <c r="BM18" s="92"/>
      <c r="BO18" s="92"/>
      <c r="BQ18" s="405" t="s">
        <v>408</v>
      </c>
      <c r="BR18" s="722" t="s">
        <v>776</v>
      </c>
      <c r="BS18" s="656" t="s">
        <v>325</v>
      </c>
      <c r="BT18" s="717"/>
      <c r="BU18" s="66"/>
      <c r="BV18" s="645" t="s">
        <v>434</v>
      </c>
      <c r="BW18" s="722" t="s">
        <v>425</v>
      </c>
      <c r="BX18" s="405" t="s">
        <v>315</v>
      </c>
      <c r="BY18" s="92"/>
      <c r="CA18" s="92"/>
      <c r="CC18" s="405" t="s">
        <v>439</v>
      </c>
      <c r="CD18" s="722" t="s">
        <v>372</v>
      </c>
      <c r="CE18" s="656" t="s">
        <v>328</v>
      </c>
      <c r="CF18" s="717"/>
      <c r="CG18" s="66"/>
      <c r="CH18" s="645"/>
      <c r="CI18" s="722"/>
      <c r="CJ18" s="405"/>
      <c r="CK18" s="92"/>
      <c r="CM18" s="92"/>
      <c r="CO18" s="405"/>
      <c r="CP18" s="722"/>
      <c r="CQ18" s="656"/>
      <c r="CR18" s="717"/>
      <c r="CS18" s="66"/>
      <c r="CT18" s="645" t="s">
        <v>317</v>
      </c>
      <c r="CU18" s="722" t="s">
        <v>476</v>
      </c>
      <c r="CV18" s="405" t="s">
        <v>331</v>
      </c>
      <c r="CW18" s="92"/>
      <c r="CZ18" s="55"/>
      <c r="DA18" s="405" t="s">
        <v>348</v>
      </c>
      <c r="DB18" s="722" t="s">
        <v>780</v>
      </c>
      <c r="DC18" s="682" t="s">
        <v>315</v>
      </c>
      <c r="DD18" s="717"/>
      <c r="DE18" s="66"/>
      <c r="DF18" s="645" t="s">
        <v>342</v>
      </c>
      <c r="DG18" s="722" t="s">
        <v>778</v>
      </c>
      <c r="DH18" s="405" t="s">
        <v>375</v>
      </c>
      <c r="DI18" s="92"/>
      <c r="DL18" s="55"/>
      <c r="DM18" s="405" t="s">
        <v>361</v>
      </c>
      <c r="DN18" s="722" t="s">
        <v>457</v>
      </c>
      <c r="DO18" s="682" t="s">
        <v>331</v>
      </c>
      <c r="DP18" s="717"/>
      <c r="DQ18" s="66"/>
      <c r="DR18" s="645"/>
      <c r="DS18" s="722"/>
      <c r="DT18" s="405"/>
      <c r="DU18" s="92"/>
      <c r="DX18" s="55"/>
      <c r="DY18" s="405"/>
      <c r="DZ18" s="722"/>
      <c r="EA18" s="682"/>
      <c r="EB18" s="717"/>
      <c r="EC18" s="66"/>
      <c r="ED18" s="645"/>
      <c r="EE18" s="606"/>
      <c r="EF18" s="405"/>
      <c r="EG18" s="92"/>
      <c r="EJ18" s="55"/>
      <c r="EK18" s="405"/>
      <c r="EL18" s="722"/>
      <c r="EM18" s="682"/>
      <c r="EN18" s="717"/>
      <c r="EO18" s="66"/>
      <c r="EP18" s="645"/>
      <c r="EQ18" s="722"/>
      <c r="ER18" s="405"/>
      <c r="ES18" s="92"/>
      <c r="EV18" s="55"/>
      <c r="EW18" s="405"/>
      <c r="EX18" s="722"/>
      <c r="EY18" s="682"/>
      <c r="EZ18" s="717"/>
      <c r="FA18" s="66"/>
      <c r="FB18" s="645" t="s">
        <v>315</v>
      </c>
      <c r="FC18" s="722" t="s">
        <v>477</v>
      </c>
      <c r="FD18" s="405" t="s">
        <v>483</v>
      </c>
      <c r="FE18" s="92"/>
      <c r="FH18" s="55"/>
      <c r="FI18" s="405" t="s">
        <v>343</v>
      </c>
      <c r="FJ18" s="722" t="s">
        <v>360</v>
      </c>
      <c r="FK18" s="682" t="s">
        <v>328</v>
      </c>
      <c r="FL18" s="717"/>
      <c r="FM18" s="66"/>
      <c r="FN18" s="645"/>
      <c r="FO18" s="722"/>
      <c r="FP18" s="405"/>
      <c r="FQ18" s="92"/>
      <c r="FT18" s="55"/>
      <c r="FU18" s="405"/>
      <c r="FV18" s="722"/>
      <c r="FW18" s="682"/>
      <c r="FX18" s="717"/>
    </row>
    <row r="19">
      <c r="A19" s="640">
        <v>1.0</v>
      </c>
      <c r="B19" s="740">
        <v>5.0</v>
      </c>
      <c r="C19" s="741" t="str">
        <f>'Schedule | 2 Division'!E11</f>
        <v>Aterion Esports</v>
      </c>
      <c r="D19" s="762">
        <f t="shared" ref="D19:E19" si="18">AD21</f>
        <v>2</v>
      </c>
      <c r="E19" s="762">
        <f t="shared" si="18"/>
        <v>1</v>
      </c>
      <c r="F19" s="741" t="str">
        <f>'Schedule | 2 Division'!I11</f>
        <v>Dark Phoenix</v>
      </c>
      <c r="G19" s="740" t="str">
        <f t="shared" si="12"/>
        <v/>
      </c>
      <c r="H19" s="685" t="str">
        <f t="shared" si="13"/>
        <v>Aterion Esports</v>
      </c>
      <c r="I19" s="688" t="str">
        <f t="shared" si="14"/>
        <v>Dark Phoenix</v>
      </c>
      <c r="J19" s="751" t="str">
        <f t="shared" si="15"/>
        <v/>
      </c>
      <c r="K19" s="733"/>
      <c r="L19" s="717"/>
      <c r="M19" s="66"/>
      <c r="N19" s="645"/>
      <c r="O19" s="722"/>
      <c r="P19" s="405"/>
      <c r="Q19" s="92"/>
      <c r="S19" s="92"/>
      <c r="U19" s="405"/>
      <c r="V19" s="722"/>
      <c r="W19" s="682"/>
      <c r="X19" s="717"/>
      <c r="Y19" s="66"/>
      <c r="Z19" s="645" t="s">
        <v>374</v>
      </c>
      <c r="AA19" s="722" t="s">
        <v>481</v>
      </c>
      <c r="AB19" s="405" t="s">
        <v>337</v>
      </c>
      <c r="AC19" s="92"/>
      <c r="AE19" s="92"/>
      <c r="AG19" s="405" t="s">
        <v>470</v>
      </c>
      <c r="AH19" s="722" t="s">
        <v>627</v>
      </c>
      <c r="AI19" s="682" t="s">
        <v>387</v>
      </c>
      <c r="AJ19" s="717"/>
      <c r="AK19" s="66"/>
      <c r="AL19" s="645"/>
      <c r="AM19" s="722"/>
      <c r="AN19" s="405"/>
      <c r="AO19" s="92"/>
      <c r="AQ19" s="92"/>
      <c r="AS19" s="405"/>
      <c r="AT19" s="722"/>
      <c r="AU19" s="656"/>
      <c r="AV19" s="717"/>
      <c r="AW19" s="66"/>
      <c r="AX19" s="645" t="s">
        <v>434</v>
      </c>
      <c r="AY19" s="722" t="s">
        <v>479</v>
      </c>
      <c r="AZ19" s="405" t="s">
        <v>375</v>
      </c>
      <c r="BA19" s="92"/>
      <c r="BD19" s="55"/>
      <c r="BE19" s="405" t="s">
        <v>418</v>
      </c>
      <c r="BF19" s="722" t="s">
        <v>417</v>
      </c>
      <c r="BG19" s="682" t="s">
        <v>483</v>
      </c>
      <c r="BH19" s="717"/>
      <c r="BI19" s="66"/>
      <c r="BJ19" s="645" t="s">
        <v>322</v>
      </c>
      <c r="BK19" s="722" t="s">
        <v>477</v>
      </c>
      <c r="BL19" s="405" t="s">
        <v>315</v>
      </c>
      <c r="BM19" s="92"/>
      <c r="BO19" s="92"/>
      <c r="BQ19" s="405" t="s">
        <v>375</v>
      </c>
      <c r="BR19" s="722" t="s">
        <v>778</v>
      </c>
      <c r="BS19" s="656" t="s">
        <v>322</v>
      </c>
      <c r="BT19" s="717"/>
      <c r="BU19" s="66"/>
      <c r="BV19" s="645" t="s">
        <v>414</v>
      </c>
      <c r="BW19" s="722" t="s">
        <v>463</v>
      </c>
      <c r="BX19" s="405" t="s">
        <v>741</v>
      </c>
      <c r="BY19" s="92"/>
      <c r="CA19" s="92"/>
      <c r="CC19" s="405" t="s">
        <v>401</v>
      </c>
      <c r="CD19" s="722" t="s">
        <v>390</v>
      </c>
      <c r="CE19" s="656" t="s">
        <v>375</v>
      </c>
      <c r="CF19" s="717"/>
      <c r="CG19" s="66"/>
      <c r="CH19" s="645"/>
      <c r="CI19" s="722"/>
      <c r="CJ19" s="405"/>
      <c r="CK19" s="92"/>
      <c r="CM19" s="92"/>
      <c r="CO19" s="405"/>
      <c r="CP19" s="722"/>
      <c r="CQ19" s="656"/>
      <c r="CR19" s="717"/>
      <c r="CS19" s="66"/>
      <c r="CT19" s="645" t="s">
        <v>387</v>
      </c>
      <c r="CU19" s="722" t="s">
        <v>474</v>
      </c>
      <c r="CV19" s="405" t="s">
        <v>373</v>
      </c>
      <c r="CW19" s="92"/>
      <c r="CZ19" s="55"/>
      <c r="DA19" s="405" t="s">
        <v>389</v>
      </c>
      <c r="DB19" s="722" t="s">
        <v>370</v>
      </c>
      <c r="DC19" s="682" t="s">
        <v>352</v>
      </c>
      <c r="DD19" s="717"/>
      <c r="DE19" s="66"/>
      <c r="DF19" s="645" t="s">
        <v>322</v>
      </c>
      <c r="DG19" s="722" t="s">
        <v>441</v>
      </c>
      <c r="DH19" s="405" t="s">
        <v>403</v>
      </c>
      <c r="DI19" s="92"/>
      <c r="DL19" s="55"/>
      <c r="DM19" s="405" t="s">
        <v>411</v>
      </c>
      <c r="DN19" s="722" t="s">
        <v>782</v>
      </c>
      <c r="DO19" s="682" t="s">
        <v>343</v>
      </c>
      <c r="DP19" s="717"/>
      <c r="DQ19" s="66"/>
      <c r="DR19" s="645"/>
      <c r="DS19" s="722"/>
      <c r="DT19" s="405"/>
      <c r="DU19" s="92"/>
      <c r="DX19" s="55"/>
      <c r="DY19" s="405"/>
      <c r="DZ19" s="722"/>
      <c r="EA19" s="682"/>
      <c r="EB19" s="717"/>
      <c r="EC19" s="66"/>
      <c r="ED19" s="645"/>
      <c r="EE19" s="606"/>
      <c r="EF19" s="405"/>
      <c r="EG19" s="92"/>
      <c r="EJ19" s="55"/>
      <c r="EK19" s="405"/>
      <c r="EL19" s="722"/>
      <c r="EM19" s="682"/>
      <c r="EN19" s="717"/>
      <c r="EO19" s="66"/>
      <c r="EP19" s="645"/>
      <c r="EQ19" s="722"/>
      <c r="ER19" s="405"/>
      <c r="ES19" s="92"/>
      <c r="EV19" s="55"/>
      <c r="EW19" s="405"/>
      <c r="EX19" s="722"/>
      <c r="EY19" s="682"/>
      <c r="EZ19" s="717"/>
      <c r="FA19" s="66"/>
      <c r="FB19" s="645" t="s">
        <v>332</v>
      </c>
      <c r="FC19" s="722" t="s">
        <v>479</v>
      </c>
      <c r="FD19" s="405" t="s">
        <v>327</v>
      </c>
      <c r="FE19" s="92"/>
      <c r="FH19" s="55"/>
      <c r="FI19" s="405" t="s">
        <v>439</v>
      </c>
      <c r="FJ19" s="722" t="s">
        <v>372</v>
      </c>
      <c r="FK19" s="682" t="s">
        <v>352</v>
      </c>
      <c r="FL19" s="717"/>
      <c r="FM19" s="66"/>
      <c r="FN19" s="645"/>
      <c r="FO19" s="722"/>
      <c r="FP19" s="405"/>
      <c r="FQ19" s="92"/>
      <c r="FT19" s="55"/>
      <c r="FU19" s="405"/>
      <c r="FV19" s="722"/>
      <c r="FW19" s="682"/>
      <c r="FX19" s="717"/>
    </row>
    <row r="20">
      <c r="A20" s="640">
        <v>1.0</v>
      </c>
      <c r="B20" s="740">
        <v>6.0</v>
      </c>
      <c r="C20" s="741" t="str">
        <f>'Schedule | 2 Division'!E12</f>
        <v>TSA White</v>
      </c>
      <c r="D20" s="753">
        <f t="shared" ref="D20:E20" si="19">AD41</f>
        <v>2</v>
      </c>
      <c r="E20" s="753">
        <f t="shared" si="19"/>
        <v>1</v>
      </c>
      <c r="F20" s="741" t="str">
        <f>'Schedule | 2 Division'!I12</f>
        <v>INVISION</v>
      </c>
      <c r="G20" s="740" t="str">
        <f t="shared" si="12"/>
        <v/>
      </c>
      <c r="H20" s="685" t="str">
        <f t="shared" si="13"/>
        <v>TSA White</v>
      </c>
      <c r="I20" s="688" t="str">
        <f t="shared" si="14"/>
        <v>INVISION</v>
      </c>
      <c r="J20" s="751" t="str">
        <f t="shared" si="15"/>
        <v/>
      </c>
      <c r="K20" s="733"/>
      <c r="L20" s="717"/>
      <c r="M20" s="94"/>
      <c r="N20" s="672"/>
      <c r="O20" s="763"/>
      <c r="P20" s="764"/>
      <c r="Q20" s="93"/>
      <c r="R20" s="22"/>
      <c r="S20" s="93"/>
      <c r="T20" s="22"/>
      <c r="U20" s="764"/>
      <c r="V20" s="763"/>
      <c r="W20" s="683"/>
      <c r="X20" s="717"/>
      <c r="Y20" s="94"/>
      <c r="Z20" s="672" t="s">
        <v>401</v>
      </c>
      <c r="AA20" s="763" t="s">
        <v>474</v>
      </c>
      <c r="AB20" s="764" t="s">
        <v>373</v>
      </c>
      <c r="AC20" s="93"/>
      <c r="AD20" s="22"/>
      <c r="AE20" s="93"/>
      <c r="AF20" s="22"/>
      <c r="AG20" s="764" t="s">
        <v>405</v>
      </c>
      <c r="AH20" s="763" t="s">
        <v>783</v>
      </c>
      <c r="AI20" s="683" t="s">
        <v>352</v>
      </c>
      <c r="AJ20" s="717"/>
      <c r="AK20" s="94"/>
      <c r="AL20" s="672"/>
      <c r="AM20" s="763"/>
      <c r="AN20" s="764"/>
      <c r="AO20" s="93"/>
      <c r="AP20" s="22"/>
      <c r="AQ20" s="93"/>
      <c r="AR20" s="22"/>
      <c r="AS20" s="764"/>
      <c r="AT20" s="763"/>
      <c r="AU20" s="765"/>
      <c r="AV20" s="717"/>
      <c r="AW20" s="94"/>
      <c r="AX20" s="672" t="s">
        <v>361</v>
      </c>
      <c r="AY20" s="763" t="s">
        <v>482</v>
      </c>
      <c r="AZ20" s="764" t="s">
        <v>346</v>
      </c>
      <c r="BA20" s="93"/>
      <c r="BB20" s="22"/>
      <c r="BC20" s="22"/>
      <c r="BD20" s="61"/>
      <c r="BE20" s="764" t="s">
        <v>334</v>
      </c>
      <c r="BF20" s="763" t="s">
        <v>767</v>
      </c>
      <c r="BG20" s="683" t="s">
        <v>315</v>
      </c>
      <c r="BH20" s="717"/>
      <c r="BI20" s="94"/>
      <c r="BJ20" s="672" t="s">
        <v>361</v>
      </c>
      <c r="BK20" s="763" t="s">
        <v>482</v>
      </c>
      <c r="BL20" s="764" t="s">
        <v>346</v>
      </c>
      <c r="BM20" s="93"/>
      <c r="BN20" s="22"/>
      <c r="BO20" s="93"/>
      <c r="BP20" s="22"/>
      <c r="BQ20" s="764" t="s">
        <v>399</v>
      </c>
      <c r="BR20" s="763" t="s">
        <v>435</v>
      </c>
      <c r="BS20" s="765" t="s">
        <v>361</v>
      </c>
      <c r="BT20" s="717"/>
      <c r="BU20" s="94"/>
      <c r="BV20" s="672" t="s">
        <v>389</v>
      </c>
      <c r="BW20" s="763" t="s">
        <v>770</v>
      </c>
      <c r="BX20" s="764" t="s">
        <v>405</v>
      </c>
      <c r="BY20" s="93"/>
      <c r="BZ20" s="22"/>
      <c r="CA20" s="93"/>
      <c r="CB20" s="22"/>
      <c r="CC20" s="764" t="s">
        <v>361</v>
      </c>
      <c r="CD20" s="763" t="s">
        <v>779</v>
      </c>
      <c r="CE20" s="765" t="s">
        <v>337</v>
      </c>
      <c r="CF20" s="717"/>
      <c r="CG20" s="94"/>
      <c r="CH20" s="672"/>
      <c r="CI20" s="763"/>
      <c r="CJ20" s="764"/>
      <c r="CK20" s="93"/>
      <c r="CL20" s="22"/>
      <c r="CM20" s="93"/>
      <c r="CN20" s="22"/>
      <c r="CO20" s="764"/>
      <c r="CP20" s="763"/>
      <c r="CQ20" s="765"/>
      <c r="CR20" s="717"/>
      <c r="CS20" s="94"/>
      <c r="CT20" s="672" t="s">
        <v>337</v>
      </c>
      <c r="CU20" s="763" t="s">
        <v>481</v>
      </c>
      <c r="CV20" s="764" t="s">
        <v>346</v>
      </c>
      <c r="CW20" s="93"/>
      <c r="CX20" s="22"/>
      <c r="CY20" s="22"/>
      <c r="CZ20" s="61"/>
      <c r="DA20" s="764" t="s">
        <v>400</v>
      </c>
      <c r="DB20" s="763" t="s">
        <v>460</v>
      </c>
      <c r="DC20" s="683" t="s">
        <v>354</v>
      </c>
      <c r="DD20" s="717"/>
      <c r="DE20" s="94"/>
      <c r="DF20" s="672" t="s">
        <v>389</v>
      </c>
      <c r="DG20" s="763" t="s">
        <v>639</v>
      </c>
      <c r="DH20" s="764" t="s">
        <v>368</v>
      </c>
      <c r="DI20" s="93"/>
      <c r="DJ20" s="22"/>
      <c r="DK20" s="22"/>
      <c r="DL20" s="61"/>
      <c r="DM20" s="764" t="s">
        <v>317</v>
      </c>
      <c r="DN20" s="763" t="s">
        <v>461</v>
      </c>
      <c r="DO20" s="683" t="s">
        <v>400</v>
      </c>
      <c r="DP20" s="717"/>
      <c r="DQ20" s="94"/>
      <c r="DR20" s="672"/>
      <c r="DS20" s="763"/>
      <c r="DT20" s="764"/>
      <c r="DU20" s="93"/>
      <c r="DV20" s="22"/>
      <c r="DW20" s="22"/>
      <c r="DX20" s="61"/>
      <c r="DY20" s="764"/>
      <c r="DZ20" s="763"/>
      <c r="EA20" s="683"/>
      <c r="EB20" s="717"/>
      <c r="EC20" s="94"/>
      <c r="ED20" s="672"/>
      <c r="EE20" s="766"/>
      <c r="EF20" s="764"/>
      <c r="EG20" s="93"/>
      <c r="EH20" s="22"/>
      <c r="EI20" s="22"/>
      <c r="EJ20" s="61"/>
      <c r="EK20" s="764"/>
      <c r="EL20" s="763"/>
      <c r="EM20" s="683"/>
      <c r="EN20" s="717"/>
      <c r="EO20" s="94"/>
      <c r="EP20" s="672"/>
      <c r="EQ20" s="763"/>
      <c r="ER20" s="764"/>
      <c r="ES20" s="93"/>
      <c r="ET20" s="22"/>
      <c r="EU20" s="22"/>
      <c r="EV20" s="61"/>
      <c r="EW20" s="764"/>
      <c r="EX20" s="763"/>
      <c r="EY20" s="683"/>
      <c r="EZ20" s="717"/>
      <c r="FA20" s="94"/>
      <c r="FB20" s="672" t="s">
        <v>322</v>
      </c>
      <c r="FC20" s="763" t="s">
        <v>482</v>
      </c>
      <c r="FD20" s="764" t="s">
        <v>346</v>
      </c>
      <c r="FE20" s="93"/>
      <c r="FF20" s="22"/>
      <c r="FG20" s="22"/>
      <c r="FH20" s="61"/>
      <c r="FI20" s="764" t="s">
        <v>19</v>
      </c>
      <c r="FJ20" s="722" t="s">
        <v>323</v>
      </c>
      <c r="FK20" s="683" t="s">
        <v>373</v>
      </c>
      <c r="FL20" s="717"/>
      <c r="FM20" s="94"/>
      <c r="FN20" s="672"/>
      <c r="FO20" s="763"/>
      <c r="FP20" s="764"/>
      <c r="FQ20" s="93"/>
      <c r="FR20" s="22"/>
      <c r="FS20" s="22"/>
      <c r="FT20" s="61"/>
      <c r="FU20" s="764"/>
      <c r="FV20" s="763"/>
      <c r="FW20" s="683"/>
      <c r="FX20" s="717"/>
    </row>
    <row r="21">
      <c r="A21" s="640">
        <v>1.0</v>
      </c>
      <c r="B21" s="740">
        <v>7.0</v>
      </c>
      <c r="C21" s="741" t="str">
        <f>'Schedule | 2 Division'!E13</f>
        <v>The Soulless Team</v>
      </c>
      <c r="D21" s="742">
        <f t="shared" ref="D21:E21" si="20">AD61</f>
        <v>2</v>
      </c>
      <c r="E21" s="742">
        <f t="shared" si="20"/>
        <v>0</v>
      </c>
      <c r="F21" s="741" t="str">
        <f>'Schedule | 2 Division'!I13</f>
        <v>Suplex team</v>
      </c>
      <c r="G21" s="740" t="str">
        <f t="shared" si="12"/>
        <v>The Soulless Team</v>
      </c>
      <c r="H21" s="685" t="str">
        <f t="shared" si="13"/>
        <v/>
      </c>
      <c r="I21" s="688" t="str">
        <f t="shared" si="14"/>
        <v/>
      </c>
      <c r="J21" s="751" t="str">
        <f t="shared" si="15"/>
        <v>Suplex team</v>
      </c>
      <c r="K21" s="733"/>
      <c r="L21" s="717"/>
      <c r="M21" s="767"/>
      <c r="N21" s="767"/>
      <c r="O21" s="767"/>
      <c r="P21" s="767"/>
      <c r="Q21" s="732"/>
      <c r="R21" s="768">
        <f t="shared" ref="R21:S21" si="21">COUNTIF(R6:R20, "W")</f>
        <v>2</v>
      </c>
      <c r="S21" s="769">
        <f t="shared" si="21"/>
        <v>0</v>
      </c>
      <c r="T21" s="732"/>
      <c r="U21" s="767"/>
      <c r="V21" s="767"/>
      <c r="W21" s="767"/>
      <c r="X21" s="717"/>
      <c r="Y21" s="767"/>
      <c r="Z21" s="767"/>
      <c r="AA21" s="767"/>
      <c r="AB21" s="767"/>
      <c r="AC21" s="732"/>
      <c r="AD21" s="768">
        <f t="shared" ref="AD21:AE21" si="22">COUNTIF(AD6:AD20, "W")</f>
        <v>2</v>
      </c>
      <c r="AE21" s="769">
        <f t="shared" si="22"/>
        <v>1</v>
      </c>
      <c r="AF21" s="732"/>
      <c r="AG21" s="767"/>
      <c r="AH21" s="767"/>
      <c r="AI21" s="767"/>
      <c r="AJ21" s="717"/>
      <c r="AK21" s="767"/>
      <c r="AL21" s="767"/>
      <c r="AM21" s="767"/>
      <c r="AN21" s="767"/>
      <c r="AO21" s="732"/>
      <c r="AP21" s="768">
        <f t="shared" ref="AP21:AQ21" si="23">COUNTIF(AP6:AP20, "W")</f>
        <v>2</v>
      </c>
      <c r="AQ21" s="769">
        <f t="shared" si="23"/>
        <v>0</v>
      </c>
      <c r="AR21" s="732"/>
      <c r="AS21" s="767"/>
      <c r="AT21" s="767"/>
      <c r="AU21" s="767"/>
      <c r="AV21" s="717"/>
      <c r="AW21" s="767"/>
      <c r="AX21" s="767"/>
      <c r="AY21" s="767"/>
      <c r="AZ21" s="767"/>
      <c r="BA21" s="732"/>
      <c r="BB21" s="768">
        <f t="shared" ref="BB21:BC21" si="24">COUNTIF(BB6:BB20, "W")</f>
        <v>2</v>
      </c>
      <c r="BC21" s="769">
        <f t="shared" si="24"/>
        <v>1</v>
      </c>
      <c r="BD21" s="732"/>
      <c r="BE21" s="767"/>
      <c r="BF21" s="767"/>
      <c r="BG21" s="767"/>
      <c r="BH21" s="717"/>
      <c r="BI21" s="767"/>
      <c r="BJ21" s="767"/>
      <c r="BK21" s="767"/>
      <c r="BL21" s="767"/>
      <c r="BM21" s="732"/>
      <c r="BN21" s="768">
        <f t="shared" ref="BN21:BO21" si="25">COUNTIF(BN6:BN20, "W")</f>
        <v>1</v>
      </c>
      <c r="BO21" s="769">
        <f t="shared" si="25"/>
        <v>2</v>
      </c>
      <c r="BP21" s="732"/>
      <c r="BQ21" s="767"/>
      <c r="BR21" s="767"/>
      <c r="BS21" s="767"/>
      <c r="BT21" s="717"/>
      <c r="BU21" s="767"/>
      <c r="BV21" s="767"/>
      <c r="BW21" s="767"/>
      <c r="BX21" s="767"/>
      <c r="BY21" s="732"/>
      <c r="BZ21" s="768">
        <f t="shared" ref="BZ21:CA21" si="26">COUNTIF(BZ6:BZ20, "W")</f>
        <v>2</v>
      </c>
      <c r="CA21" s="769">
        <f t="shared" si="26"/>
        <v>1</v>
      </c>
      <c r="CB21" s="732"/>
      <c r="CC21" s="767"/>
      <c r="CD21" s="767"/>
      <c r="CE21" s="767"/>
      <c r="CF21" s="717"/>
      <c r="CG21" s="767"/>
      <c r="CH21" s="767"/>
      <c r="CI21" s="767"/>
      <c r="CJ21" s="767"/>
      <c r="CK21" s="732"/>
      <c r="CL21" s="768">
        <f t="shared" ref="CL21:CM21" si="27">COUNTIF(CL6:CL20, "W")</f>
        <v>0</v>
      </c>
      <c r="CM21" s="769">
        <f t="shared" si="27"/>
        <v>2</v>
      </c>
      <c r="CN21" s="732"/>
      <c r="CO21" s="767"/>
      <c r="CP21" s="767"/>
      <c r="CQ21" s="767"/>
      <c r="CR21" s="717"/>
      <c r="CS21" s="767"/>
      <c r="CT21" s="767"/>
      <c r="CU21" s="767"/>
      <c r="CV21" s="767"/>
      <c r="CW21" s="732"/>
      <c r="CX21" s="768">
        <f t="shared" ref="CX21:CY21" si="28">COUNTIF(CX6:CX20, "W")</f>
        <v>1</v>
      </c>
      <c r="CY21" s="769">
        <f t="shared" si="28"/>
        <v>2</v>
      </c>
      <c r="CZ21" s="732"/>
      <c r="DA21" s="767"/>
      <c r="DB21" s="767"/>
      <c r="DC21" s="767"/>
      <c r="DD21" s="717"/>
      <c r="DE21" s="767"/>
      <c r="DF21" s="767"/>
      <c r="DG21" s="767"/>
      <c r="DH21" s="767"/>
      <c r="DI21" s="732"/>
      <c r="DJ21" s="768">
        <f t="shared" ref="DJ21:DK21" si="29">COUNTIF(DJ6:DJ20, "W")</f>
        <v>1</v>
      </c>
      <c r="DK21" s="769">
        <f t="shared" si="29"/>
        <v>2</v>
      </c>
      <c r="DL21" s="732"/>
      <c r="DM21" s="767"/>
      <c r="DN21" s="767"/>
      <c r="DO21" s="767"/>
      <c r="DP21" s="717"/>
      <c r="DQ21" s="767"/>
      <c r="DR21" s="767"/>
      <c r="DS21" s="767"/>
      <c r="DT21" s="767"/>
      <c r="DU21" s="732"/>
      <c r="DV21" s="768">
        <f t="shared" ref="DV21:DW21" si="30">COUNTIF(DV6:DV20, "W")</f>
        <v>2</v>
      </c>
      <c r="DW21" s="769">
        <f t="shared" si="30"/>
        <v>0</v>
      </c>
      <c r="DX21" s="732"/>
      <c r="DY21" s="767"/>
      <c r="DZ21" s="767"/>
      <c r="EA21" s="767"/>
      <c r="EB21" s="717"/>
      <c r="EC21" s="767"/>
      <c r="ED21" s="767"/>
      <c r="EE21" s="767"/>
      <c r="EF21" s="767"/>
      <c r="EG21" s="732"/>
      <c r="EH21" s="768">
        <f t="shared" ref="EH21:EI21" si="31">COUNTIF(EH6:EH20, "W")</f>
        <v>2</v>
      </c>
      <c r="EI21" s="769">
        <f t="shared" si="31"/>
        <v>0</v>
      </c>
      <c r="EJ21" s="732"/>
      <c r="EK21" s="767"/>
      <c r="EL21" s="767"/>
      <c r="EM21" s="767"/>
      <c r="EN21" s="717"/>
      <c r="EO21" s="767"/>
      <c r="EP21" s="767"/>
      <c r="EQ21" s="767"/>
      <c r="ER21" s="767"/>
      <c r="ES21" s="732"/>
      <c r="ET21" s="768">
        <f t="shared" ref="ET21:EU21" si="32">COUNTIF(ET6:ET20, "W")</f>
        <v>0</v>
      </c>
      <c r="EU21" s="769">
        <f t="shared" si="32"/>
        <v>2</v>
      </c>
      <c r="EV21" s="732"/>
      <c r="EW21" s="767"/>
      <c r="EX21" s="767"/>
      <c r="EY21" s="767"/>
      <c r="EZ21" s="717"/>
      <c r="FA21" s="767"/>
      <c r="FB21" s="767"/>
      <c r="FC21" s="767"/>
      <c r="FD21" s="767"/>
      <c r="FE21" s="732"/>
      <c r="FF21" s="768">
        <f t="shared" ref="FF21:FG21" si="33">COUNTIF(FF6:FF20, "W")</f>
        <v>2</v>
      </c>
      <c r="FG21" s="769">
        <f t="shared" si="33"/>
        <v>1</v>
      </c>
      <c r="FH21" s="732"/>
      <c r="FI21" s="767"/>
      <c r="FJ21" s="767"/>
      <c r="FK21" s="767"/>
      <c r="FL21" s="717"/>
      <c r="FM21" s="767"/>
      <c r="FN21" s="767"/>
      <c r="FO21" s="767"/>
      <c r="FP21" s="767"/>
      <c r="FQ21" s="732"/>
      <c r="FR21" s="768">
        <f t="shared" ref="FR21:FS21" si="34">COUNTIF(FR6:FR20, "W")</f>
        <v>0</v>
      </c>
      <c r="FS21" s="769">
        <f t="shared" si="34"/>
        <v>2</v>
      </c>
      <c r="FT21" s="732"/>
      <c r="FU21" s="767"/>
      <c r="FV21" s="767"/>
      <c r="FW21" s="767"/>
      <c r="FX21" s="717"/>
    </row>
    <row r="22">
      <c r="A22" s="754">
        <v>1.0</v>
      </c>
      <c r="B22" s="755">
        <v>8.0</v>
      </c>
      <c r="C22" s="756" t="str">
        <f>'Schedule | 2 Division'!E14</f>
        <v>Omnix</v>
      </c>
      <c r="D22" s="770">
        <f t="shared" ref="D22:E22" si="35">AD81</f>
        <v>0</v>
      </c>
      <c r="E22" s="770">
        <f t="shared" si="35"/>
        <v>2</v>
      </c>
      <c r="F22" s="756" t="str">
        <f>'Schedule | 2 Division'!I14</f>
        <v>HARD GRIND</v>
      </c>
      <c r="G22" s="755" t="str">
        <f t="shared" si="12"/>
        <v>HARD GRIND</v>
      </c>
      <c r="H22" s="759" t="str">
        <f t="shared" si="13"/>
        <v/>
      </c>
      <c r="I22" s="760" t="str">
        <f t="shared" si="14"/>
        <v/>
      </c>
      <c r="J22" s="771" t="str">
        <f t="shared" si="15"/>
        <v>Omnix</v>
      </c>
      <c r="K22" s="733"/>
      <c r="L22" s="717"/>
      <c r="M22" s="767"/>
      <c r="N22" s="767"/>
      <c r="O22" s="767"/>
      <c r="P22" s="767"/>
      <c r="Q22" s="732"/>
      <c r="R22" s="767"/>
      <c r="S22" s="767"/>
      <c r="T22" s="767"/>
      <c r="U22" s="767"/>
      <c r="V22" s="767"/>
      <c r="W22" s="767"/>
      <c r="X22" s="717"/>
      <c r="Y22" s="767"/>
      <c r="Z22" s="767"/>
      <c r="AA22" s="767"/>
      <c r="AB22" s="767"/>
      <c r="AC22" s="732"/>
      <c r="AD22" s="767"/>
      <c r="AE22" s="767"/>
      <c r="AF22" s="767"/>
      <c r="AG22" s="767"/>
      <c r="AH22" s="767"/>
      <c r="AI22" s="767"/>
      <c r="AJ22" s="717"/>
      <c r="AK22" s="767"/>
      <c r="AL22" s="767"/>
      <c r="AM22" s="767"/>
      <c r="AN22" s="767"/>
      <c r="AO22" s="732"/>
      <c r="AP22" s="767"/>
      <c r="AQ22" s="767"/>
      <c r="AR22" s="767"/>
      <c r="AS22" s="767"/>
      <c r="AT22" s="767"/>
      <c r="AU22" s="767"/>
      <c r="AV22" s="717"/>
      <c r="AW22" s="767"/>
      <c r="AX22" s="767"/>
      <c r="AY22" s="767"/>
      <c r="AZ22" s="767"/>
      <c r="BA22" s="732"/>
      <c r="BB22" s="767"/>
      <c r="BC22" s="767"/>
      <c r="BD22" s="767"/>
      <c r="BE22" s="767"/>
      <c r="BF22" s="767"/>
      <c r="BG22" s="767"/>
      <c r="BH22" s="717"/>
      <c r="BI22" s="767"/>
      <c r="BJ22" s="767"/>
      <c r="BK22" s="767"/>
      <c r="BL22" s="767"/>
      <c r="BM22" s="732"/>
      <c r="BN22" s="767"/>
      <c r="BO22" s="767"/>
      <c r="BP22" s="767"/>
      <c r="BQ22" s="767"/>
      <c r="BR22" s="767"/>
      <c r="BS22" s="767"/>
      <c r="BT22" s="717"/>
      <c r="BU22" s="767"/>
      <c r="BV22" s="767"/>
      <c r="BW22" s="767"/>
      <c r="BX22" s="767"/>
      <c r="BY22" s="732"/>
      <c r="BZ22" s="767"/>
      <c r="CA22" s="767"/>
      <c r="CB22" s="767"/>
      <c r="CC22" s="767"/>
      <c r="CD22" s="767"/>
      <c r="CE22" s="767"/>
      <c r="CF22" s="717"/>
      <c r="CG22" s="767"/>
      <c r="CH22" s="767"/>
      <c r="CI22" s="767"/>
      <c r="CJ22" s="767"/>
      <c r="CK22" s="732"/>
      <c r="CL22" s="767"/>
      <c r="CM22" s="767"/>
      <c r="CN22" s="767"/>
      <c r="CO22" s="767"/>
      <c r="CP22" s="767"/>
      <c r="CQ22" s="767"/>
      <c r="CR22" s="717"/>
      <c r="CS22" s="767"/>
      <c r="CT22" s="767"/>
      <c r="CU22" s="767"/>
      <c r="CV22" s="767"/>
      <c r="CW22" s="732"/>
      <c r="CX22" s="767"/>
      <c r="CY22" s="767"/>
      <c r="CZ22" s="767"/>
      <c r="DA22" s="767"/>
      <c r="DB22" s="767"/>
      <c r="DC22" s="767"/>
      <c r="DD22" s="717"/>
      <c r="DE22" s="767"/>
      <c r="DF22" s="767"/>
      <c r="DG22" s="767"/>
      <c r="DH22" s="767"/>
      <c r="DI22" s="732"/>
      <c r="DJ22" s="767"/>
      <c r="DK22" s="767"/>
      <c r="DL22" s="767"/>
      <c r="DM22" s="767"/>
      <c r="DN22" s="767"/>
      <c r="DO22" s="767"/>
      <c r="DP22" s="717"/>
      <c r="DQ22" s="767"/>
      <c r="DR22" s="767"/>
      <c r="DS22" s="767"/>
      <c r="DT22" s="767"/>
      <c r="DU22" s="732"/>
      <c r="DV22" s="767"/>
      <c r="DW22" s="767"/>
      <c r="DX22" s="767"/>
      <c r="DY22" s="767"/>
      <c r="DZ22" s="767"/>
      <c r="EA22" s="767"/>
      <c r="EB22" s="717"/>
      <c r="EC22" s="767"/>
      <c r="ED22" s="767"/>
      <c r="EE22" s="767"/>
      <c r="EF22" s="767"/>
      <c r="EG22" s="732"/>
      <c r="EH22" s="767"/>
      <c r="EI22" s="767"/>
      <c r="EJ22" s="767"/>
      <c r="EK22" s="767"/>
      <c r="EL22" s="767"/>
      <c r="EM22" s="767"/>
      <c r="EN22" s="717"/>
      <c r="EO22" s="767"/>
      <c r="EP22" s="767"/>
      <c r="EQ22" s="767"/>
      <c r="ER22" s="767"/>
      <c r="ES22" s="732"/>
      <c r="ET22" s="767"/>
      <c r="EU22" s="767"/>
      <c r="EV22" s="767"/>
      <c r="EW22" s="767"/>
      <c r="EX22" s="767"/>
      <c r="EY22" s="767"/>
      <c r="EZ22" s="717"/>
      <c r="FA22" s="767"/>
      <c r="FB22" s="767"/>
      <c r="FC22" s="767"/>
      <c r="FD22" s="767"/>
      <c r="FE22" s="732"/>
      <c r="FF22" s="767"/>
      <c r="FG22" s="767"/>
      <c r="FH22" s="767"/>
      <c r="FI22" s="767"/>
      <c r="FJ22" s="767"/>
      <c r="FK22" s="767"/>
      <c r="FL22" s="717"/>
      <c r="FM22" s="767"/>
      <c r="FN22" s="767"/>
      <c r="FO22" s="767"/>
      <c r="FP22" s="767"/>
      <c r="FQ22" s="732"/>
      <c r="FR22" s="767"/>
      <c r="FS22" s="767"/>
      <c r="FT22" s="767"/>
      <c r="FU22" s="767"/>
      <c r="FV22" s="767"/>
      <c r="FW22" s="767"/>
      <c r="FX22" s="717"/>
    </row>
    <row r="23">
      <c r="A23" s="640">
        <v>1.0</v>
      </c>
      <c r="B23" s="740">
        <v>9.0</v>
      </c>
      <c r="C23" s="741" t="str">
        <f>'Schedule | 2 Division'!E17</f>
        <v>TSA White</v>
      </c>
      <c r="D23" s="753">
        <f t="shared" ref="D23:E23" si="36">AP21</f>
        <v>2</v>
      </c>
      <c r="E23" s="753">
        <f t="shared" si="36"/>
        <v>0</v>
      </c>
      <c r="F23" s="741" t="str">
        <f>'Schedule | 2 Division'!I17</f>
        <v>Omnix</v>
      </c>
      <c r="G23" s="740" t="str">
        <f t="shared" si="12"/>
        <v>TSA White</v>
      </c>
      <c r="H23" s="685" t="str">
        <f t="shared" si="13"/>
        <v/>
      </c>
      <c r="I23" s="688" t="str">
        <f t="shared" si="14"/>
        <v/>
      </c>
      <c r="J23" s="751" t="str">
        <f t="shared" si="15"/>
        <v>Omnix</v>
      </c>
      <c r="K23" s="733"/>
      <c r="L23" s="717"/>
      <c r="M23" s="351" t="str">
        <f>'Schedule | 2 Division'!E6</f>
        <v>Suplex team</v>
      </c>
      <c r="N23" s="8"/>
      <c r="O23" s="8"/>
      <c r="P23" s="8"/>
      <c r="Q23" s="8"/>
      <c r="R23" s="351" t="str">
        <f>'Schedule | 2 Division'!J6</f>
        <v>Match 2</v>
      </c>
      <c r="S23" s="68"/>
      <c r="T23" s="401" t="str">
        <f>'Schedule | 2 Division'!I6</f>
        <v>INVISION</v>
      </c>
      <c r="U23" s="8"/>
      <c r="V23" s="8"/>
      <c r="W23" s="68"/>
      <c r="X23" s="717"/>
      <c r="Y23" s="351" t="str">
        <f>'Schedule | 2 Division'!E12</f>
        <v>TSA White</v>
      </c>
      <c r="Z23" s="8"/>
      <c r="AA23" s="8"/>
      <c r="AB23" s="8"/>
      <c r="AC23" s="8"/>
      <c r="AD23" s="351" t="str">
        <f>'Schedule | 2 Division'!J12</f>
        <v>Match 6</v>
      </c>
      <c r="AE23" s="68"/>
      <c r="AF23" s="772" t="str">
        <f>'Schedule | 2 Division'!I12</f>
        <v>INVISION</v>
      </c>
      <c r="AG23" s="8"/>
      <c r="AH23" s="8"/>
      <c r="AI23" s="68"/>
      <c r="AJ23" s="717"/>
      <c r="AK23" s="351" t="str">
        <f>'Schedule | 2 Division'!E18</f>
        <v>Aterion Esports</v>
      </c>
      <c r="AL23" s="8"/>
      <c r="AM23" s="8"/>
      <c r="AN23" s="8"/>
      <c r="AO23" s="8"/>
      <c r="AP23" s="351" t="str">
        <f>'Schedule | 2 Division'!J18</f>
        <v>Match 10</v>
      </c>
      <c r="AQ23" s="68"/>
      <c r="AR23" s="402" t="str">
        <f>'Schedule | 2 Division'!I18</f>
        <v>Suplex team</v>
      </c>
      <c r="AS23" s="8"/>
      <c r="AT23" s="8"/>
      <c r="AU23" s="68"/>
      <c r="AV23" s="717"/>
      <c r="AW23" s="351" t="str">
        <f>'Schedule | 2 Division'!E24</f>
        <v>Aterion Esports</v>
      </c>
      <c r="AX23" s="8"/>
      <c r="AY23" s="8"/>
      <c r="AZ23" s="8"/>
      <c r="BA23" s="8"/>
      <c r="BB23" s="354" t="str">
        <f>'Schedule | 2 Division'!J24</f>
        <v>Match 14</v>
      </c>
      <c r="BC23" s="68"/>
      <c r="BD23" s="402" t="str">
        <f>'Schedule | 2 Division'!I24</f>
        <v>Omnix</v>
      </c>
      <c r="BE23" s="8"/>
      <c r="BF23" s="8"/>
      <c r="BG23" s="68"/>
      <c r="BH23" s="717"/>
      <c r="BI23" s="351" t="str">
        <f>'Schedule | 2 Division'!E30</f>
        <v>Dark Phoenix</v>
      </c>
      <c r="BJ23" s="8"/>
      <c r="BK23" s="8"/>
      <c r="BL23" s="8"/>
      <c r="BM23" s="8"/>
      <c r="BN23" s="351" t="str">
        <f>'Schedule | 2 Division'!J30</f>
        <v>Match 18</v>
      </c>
      <c r="BO23" s="68"/>
      <c r="BP23" s="402" t="str">
        <f>'Schedule | 2 Division'!I30</f>
        <v>Suplex team</v>
      </c>
      <c r="BQ23" s="8"/>
      <c r="BR23" s="8"/>
      <c r="BS23" s="68"/>
      <c r="BT23" s="717"/>
      <c r="BU23" s="351" t="str">
        <f>'Schedule | 2 Division'!E36</f>
        <v>The Soulless Team</v>
      </c>
      <c r="BV23" s="8"/>
      <c r="BW23" s="8"/>
      <c r="BX23" s="8"/>
      <c r="BY23" s="8"/>
      <c r="BZ23" s="351" t="str">
        <f>'Schedule | 2 Division'!J36</f>
        <v>Match 22</v>
      </c>
      <c r="CA23" s="68"/>
      <c r="CB23" s="402" t="str">
        <f>'Schedule | 2 Division'!I36</f>
        <v>Omnix</v>
      </c>
      <c r="CC23" s="8"/>
      <c r="CD23" s="8"/>
      <c r="CE23" s="68"/>
      <c r="CF23" s="717"/>
      <c r="CG23" s="351" t="str">
        <f>'Schedule | 2 Division'!E42</f>
        <v>HARD GRIND</v>
      </c>
      <c r="CH23" s="8"/>
      <c r="CI23" s="8"/>
      <c r="CJ23" s="8"/>
      <c r="CK23" s="8"/>
      <c r="CL23" s="351" t="str">
        <f>'Schedule | 2 Division'!J42</f>
        <v>Match 26</v>
      </c>
      <c r="CM23" s="68"/>
      <c r="CN23" s="402" t="str">
        <f>'Schedule | 2 Division'!I42</f>
        <v>The Soulless Team</v>
      </c>
      <c r="CO23" s="8"/>
      <c r="CP23" s="8"/>
      <c r="CQ23" s="68"/>
      <c r="CR23" s="717"/>
      <c r="CS23" s="351" t="str">
        <f>'Schedule | 2 Division'!K6</f>
        <v>Omnix</v>
      </c>
      <c r="CT23" s="8"/>
      <c r="CU23" s="8"/>
      <c r="CV23" s="8"/>
      <c r="CW23" s="8"/>
      <c r="CX23" s="351" t="str">
        <f>'Schedule | 2 Division'!P6</f>
        <v>Match 30</v>
      </c>
      <c r="CY23" s="68"/>
      <c r="CZ23" s="402" t="str">
        <f>'Schedule | 2 Division'!O6</f>
        <v>INVISION</v>
      </c>
      <c r="DA23" s="8"/>
      <c r="DB23" s="8"/>
      <c r="DC23" s="68"/>
      <c r="DD23" s="717"/>
      <c r="DE23" s="351" t="str">
        <f>'Schedule | 2 Division'!K12</f>
        <v>The Soulless Team</v>
      </c>
      <c r="DF23" s="8"/>
      <c r="DG23" s="8"/>
      <c r="DH23" s="8"/>
      <c r="DI23" s="8"/>
      <c r="DJ23" s="351" t="str">
        <f>'Schedule | 2 Division'!P12</f>
        <v>Match 34</v>
      </c>
      <c r="DK23" s="68"/>
      <c r="DL23" s="402" t="str">
        <f>'Schedule | 2 Division'!O12</f>
        <v>INVISION</v>
      </c>
      <c r="DM23" s="8"/>
      <c r="DN23" s="8"/>
      <c r="DO23" s="68"/>
      <c r="DP23" s="717"/>
      <c r="DQ23" s="351" t="str">
        <f>'Schedule | 2 Division'!K18</f>
        <v>HARD GRIND</v>
      </c>
      <c r="DR23" s="8"/>
      <c r="DS23" s="8"/>
      <c r="DT23" s="8"/>
      <c r="DU23" s="8"/>
      <c r="DV23" s="351" t="str">
        <f>'Schedule | 2 Division'!P18</f>
        <v>Match 38</v>
      </c>
      <c r="DW23" s="68"/>
      <c r="DX23" s="402" t="str">
        <f>'Schedule | 2 Division'!O18</f>
        <v>Omnix</v>
      </c>
      <c r="DY23" s="8"/>
      <c r="DZ23" s="8"/>
      <c r="EA23" s="68"/>
      <c r="EB23" s="717"/>
      <c r="EC23" s="351" t="str">
        <f>'Schedule | 2 Division'!K24</f>
        <v>HARD GRIND</v>
      </c>
      <c r="ED23" s="8"/>
      <c r="EE23" s="8"/>
      <c r="EF23" s="8"/>
      <c r="EG23" s="8"/>
      <c r="EH23" s="354" t="str">
        <f>'Schedule | 2 Division'!P24</f>
        <v>Match 42</v>
      </c>
      <c r="EI23" s="68"/>
      <c r="EJ23" s="402" t="str">
        <f>'Schedule | 2 Division'!O24</f>
        <v>INVISION</v>
      </c>
      <c r="EK23" s="8"/>
      <c r="EL23" s="8"/>
      <c r="EM23" s="68"/>
      <c r="EN23" s="717"/>
      <c r="EO23" s="351" t="str">
        <f>'Schedule | 2 Division'!K30</f>
        <v>Omnix</v>
      </c>
      <c r="EP23" s="8"/>
      <c r="EQ23" s="8"/>
      <c r="ER23" s="8"/>
      <c r="ES23" s="8"/>
      <c r="ET23" s="351" t="str">
        <f>'Schedule | 2 Division'!P30</f>
        <v>Match 46</v>
      </c>
      <c r="EU23" s="68"/>
      <c r="EV23" s="402" t="str">
        <f>'Schedule | 2 Division'!O30</f>
        <v>The Soulless Team</v>
      </c>
      <c r="EW23" s="8"/>
      <c r="EX23" s="8"/>
      <c r="EY23" s="68"/>
      <c r="EZ23" s="717"/>
      <c r="FA23" s="351" t="str">
        <f>'Schedule | 2 Division'!K36</f>
        <v>TSA White</v>
      </c>
      <c r="FB23" s="8"/>
      <c r="FC23" s="8"/>
      <c r="FD23" s="8"/>
      <c r="FE23" s="8"/>
      <c r="FF23" s="351" t="str">
        <f>'Schedule | 2 Division'!P36</f>
        <v>Match 50</v>
      </c>
      <c r="FG23" s="68"/>
      <c r="FH23" s="402" t="str">
        <f>'Schedule | 2 Division'!O36</f>
        <v>The Soulless Team</v>
      </c>
      <c r="FI23" s="8"/>
      <c r="FJ23" s="8"/>
      <c r="FK23" s="68"/>
      <c r="FL23" s="717"/>
      <c r="FM23" s="351" t="str">
        <f>'Schedule | 2 Division'!K42</f>
        <v>Suplex team</v>
      </c>
      <c r="FN23" s="8"/>
      <c r="FO23" s="8"/>
      <c r="FP23" s="8"/>
      <c r="FQ23" s="8"/>
      <c r="FR23" s="351" t="str">
        <f>'Schedule | 2 Division'!P42</f>
        <v>Match 54</v>
      </c>
      <c r="FS23" s="68"/>
      <c r="FT23" s="402" t="str">
        <f>'Schedule | 2 Division'!O42</f>
        <v>Omnix</v>
      </c>
      <c r="FU23" s="8"/>
      <c r="FV23" s="8"/>
      <c r="FW23" s="68"/>
      <c r="FX23" s="717"/>
    </row>
    <row r="24">
      <c r="A24" s="640">
        <v>1.0</v>
      </c>
      <c r="B24" s="740">
        <v>10.0</v>
      </c>
      <c r="C24" s="741" t="str">
        <f>'Schedule | 2 Division'!E18</f>
        <v>Aterion Esports</v>
      </c>
      <c r="D24" s="753">
        <f t="shared" ref="D24:E24" si="37">AP41</f>
        <v>2</v>
      </c>
      <c r="E24" s="753">
        <f t="shared" si="37"/>
        <v>0</v>
      </c>
      <c r="F24" s="741" t="str">
        <f>'Schedule | 2 Division'!I18</f>
        <v>Suplex team</v>
      </c>
      <c r="G24" s="740" t="str">
        <f t="shared" si="12"/>
        <v>Aterion Esports</v>
      </c>
      <c r="H24" s="685" t="str">
        <f t="shared" si="13"/>
        <v/>
      </c>
      <c r="I24" s="688" t="str">
        <f t="shared" si="14"/>
        <v/>
      </c>
      <c r="J24" s="751" t="str">
        <f t="shared" si="15"/>
        <v>Suplex team</v>
      </c>
      <c r="K24" s="733"/>
      <c r="L24" s="717"/>
      <c r="M24" s="61"/>
      <c r="N24" s="22"/>
      <c r="O24" s="22"/>
      <c r="P24" s="22"/>
      <c r="Q24" s="22"/>
      <c r="R24" s="61"/>
      <c r="S24" s="93"/>
      <c r="T24" s="22"/>
      <c r="U24" s="22"/>
      <c r="V24" s="22"/>
      <c r="W24" s="93"/>
      <c r="X24" s="717"/>
      <c r="Y24" s="61"/>
      <c r="Z24" s="22"/>
      <c r="AA24" s="22"/>
      <c r="AB24" s="22"/>
      <c r="AC24" s="22"/>
      <c r="AD24" s="61"/>
      <c r="AE24" s="93"/>
      <c r="AF24" s="61"/>
      <c r="AG24" s="22"/>
      <c r="AH24" s="22"/>
      <c r="AI24" s="93"/>
      <c r="AJ24" s="717"/>
      <c r="AK24" s="61"/>
      <c r="AL24" s="22"/>
      <c r="AM24" s="22"/>
      <c r="AN24" s="22"/>
      <c r="AO24" s="22"/>
      <c r="AP24" s="61"/>
      <c r="AQ24" s="93"/>
      <c r="AR24" s="22"/>
      <c r="AS24" s="22"/>
      <c r="AT24" s="22"/>
      <c r="AU24" s="93"/>
      <c r="AV24" s="717"/>
      <c r="AW24" s="61"/>
      <c r="AX24" s="22"/>
      <c r="AY24" s="22"/>
      <c r="AZ24" s="22"/>
      <c r="BA24" s="22"/>
      <c r="BB24" s="61"/>
      <c r="BC24" s="93"/>
      <c r="BD24" s="22"/>
      <c r="BE24" s="22"/>
      <c r="BF24" s="22"/>
      <c r="BG24" s="93"/>
      <c r="BH24" s="717"/>
      <c r="BI24" s="61"/>
      <c r="BJ24" s="22"/>
      <c r="BK24" s="22"/>
      <c r="BL24" s="22"/>
      <c r="BM24" s="22"/>
      <c r="BN24" s="61"/>
      <c r="BO24" s="93"/>
      <c r="BP24" s="22"/>
      <c r="BQ24" s="22"/>
      <c r="BR24" s="22"/>
      <c r="BS24" s="93"/>
      <c r="BT24" s="717"/>
      <c r="BU24" s="61"/>
      <c r="BV24" s="22"/>
      <c r="BW24" s="22"/>
      <c r="BX24" s="22"/>
      <c r="BY24" s="22"/>
      <c r="BZ24" s="61"/>
      <c r="CA24" s="93"/>
      <c r="CB24" s="22"/>
      <c r="CC24" s="22"/>
      <c r="CD24" s="22"/>
      <c r="CE24" s="93"/>
      <c r="CF24" s="717"/>
      <c r="CG24" s="61"/>
      <c r="CH24" s="22"/>
      <c r="CI24" s="22"/>
      <c r="CJ24" s="22"/>
      <c r="CK24" s="22"/>
      <c r="CL24" s="61"/>
      <c r="CM24" s="93"/>
      <c r="CN24" s="22"/>
      <c r="CO24" s="22"/>
      <c r="CP24" s="22"/>
      <c r="CQ24" s="93"/>
      <c r="CR24" s="717"/>
      <c r="CS24" s="61"/>
      <c r="CT24" s="22"/>
      <c r="CU24" s="22"/>
      <c r="CV24" s="22"/>
      <c r="CW24" s="22"/>
      <c r="CX24" s="61"/>
      <c r="CY24" s="93"/>
      <c r="CZ24" s="22"/>
      <c r="DA24" s="22"/>
      <c r="DB24" s="22"/>
      <c r="DC24" s="93"/>
      <c r="DD24" s="717"/>
      <c r="DE24" s="61"/>
      <c r="DF24" s="22"/>
      <c r="DG24" s="22"/>
      <c r="DH24" s="22"/>
      <c r="DI24" s="22"/>
      <c r="DJ24" s="61"/>
      <c r="DK24" s="93"/>
      <c r="DL24" s="22"/>
      <c r="DM24" s="22"/>
      <c r="DN24" s="22"/>
      <c r="DO24" s="93"/>
      <c r="DP24" s="717"/>
      <c r="DQ24" s="61"/>
      <c r="DR24" s="22"/>
      <c r="DS24" s="22"/>
      <c r="DT24" s="22"/>
      <c r="DU24" s="22"/>
      <c r="DV24" s="61"/>
      <c r="DW24" s="93"/>
      <c r="DX24" s="22"/>
      <c r="DY24" s="22"/>
      <c r="DZ24" s="22"/>
      <c r="EA24" s="93"/>
      <c r="EB24" s="717"/>
      <c r="EC24" s="61"/>
      <c r="ED24" s="22"/>
      <c r="EE24" s="22"/>
      <c r="EF24" s="22"/>
      <c r="EG24" s="22"/>
      <c r="EH24" s="61"/>
      <c r="EI24" s="93"/>
      <c r="EJ24" s="22"/>
      <c r="EK24" s="22"/>
      <c r="EL24" s="22"/>
      <c r="EM24" s="93"/>
      <c r="EN24" s="717"/>
      <c r="EO24" s="61"/>
      <c r="EP24" s="22"/>
      <c r="EQ24" s="22"/>
      <c r="ER24" s="22"/>
      <c r="ES24" s="22"/>
      <c r="ET24" s="61"/>
      <c r="EU24" s="93"/>
      <c r="EV24" s="22"/>
      <c r="EW24" s="22"/>
      <c r="EX24" s="22"/>
      <c r="EY24" s="93"/>
      <c r="EZ24" s="717"/>
      <c r="FA24" s="61"/>
      <c r="FB24" s="22"/>
      <c r="FC24" s="22"/>
      <c r="FD24" s="22"/>
      <c r="FE24" s="22"/>
      <c r="FF24" s="61"/>
      <c r="FG24" s="93"/>
      <c r="FH24" s="22"/>
      <c r="FI24" s="22"/>
      <c r="FJ24" s="22"/>
      <c r="FK24" s="93"/>
      <c r="FL24" s="717"/>
      <c r="FM24" s="61"/>
      <c r="FN24" s="22"/>
      <c r="FO24" s="22"/>
      <c r="FP24" s="22"/>
      <c r="FQ24" s="22"/>
      <c r="FR24" s="61"/>
      <c r="FS24" s="93"/>
      <c r="FT24" s="22"/>
      <c r="FU24" s="22"/>
      <c r="FV24" s="22"/>
      <c r="FW24" s="93"/>
      <c r="FX24" s="717"/>
    </row>
    <row r="25">
      <c r="A25" s="640">
        <v>1.0</v>
      </c>
      <c r="B25" s="740">
        <v>11.0</v>
      </c>
      <c r="C25" s="741" t="str">
        <f>'Schedule | 2 Division'!E19</f>
        <v>Dark Phoenix</v>
      </c>
      <c r="D25" s="753">
        <f t="shared" ref="D25:E25" si="38">AP61</f>
        <v>0</v>
      </c>
      <c r="E25" s="753">
        <f t="shared" si="38"/>
        <v>2</v>
      </c>
      <c r="F25" s="741" t="str">
        <f>'Schedule | 2 Division'!I19</f>
        <v>HARD GRIND</v>
      </c>
      <c r="G25" s="740" t="str">
        <f t="shared" si="12"/>
        <v>HARD GRIND</v>
      </c>
      <c r="H25" s="685" t="str">
        <f t="shared" si="13"/>
        <v/>
      </c>
      <c r="I25" s="688" t="str">
        <f t="shared" si="14"/>
        <v/>
      </c>
      <c r="J25" s="751" t="str">
        <f t="shared" si="15"/>
        <v>Dark Phoenix</v>
      </c>
      <c r="K25" s="733"/>
      <c r="L25" s="717"/>
      <c r="M25" s="356" t="s">
        <v>307</v>
      </c>
      <c r="N25" s="365" t="s">
        <v>308</v>
      </c>
      <c r="O25" s="358" t="s">
        <v>309</v>
      </c>
      <c r="P25" s="363" t="s">
        <v>310</v>
      </c>
      <c r="Q25" s="366" t="s">
        <v>311</v>
      </c>
      <c r="R25" s="360" t="s">
        <v>259</v>
      </c>
      <c r="S25" s="100"/>
      <c r="T25" s="360" t="s">
        <v>311</v>
      </c>
      <c r="U25" s="363" t="s">
        <v>312</v>
      </c>
      <c r="V25" s="358" t="s">
        <v>313</v>
      </c>
      <c r="W25" s="364" t="s">
        <v>314</v>
      </c>
      <c r="X25" s="717"/>
      <c r="Y25" s="356" t="s">
        <v>307</v>
      </c>
      <c r="Z25" s="365" t="s">
        <v>308</v>
      </c>
      <c r="AA25" s="358" t="s">
        <v>309</v>
      </c>
      <c r="AB25" s="363" t="s">
        <v>310</v>
      </c>
      <c r="AC25" s="366" t="s">
        <v>311</v>
      </c>
      <c r="AD25" s="360" t="s">
        <v>259</v>
      </c>
      <c r="AE25" s="100"/>
      <c r="AF25" s="773" t="s">
        <v>311</v>
      </c>
      <c r="AG25" s="764" t="s">
        <v>312</v>
      </c>
      <c r="AH25" s="405" t="s">
        <v>313</v>
      </c>
      <c r="AI25" s="683" t="s">
        <v>314</v>
      </c>
      <c r="AJ25" s="717"/>
      <c r="AK25" s="356" t="s">
        <v>307</v>
      </c>
      <c r="AL25" s="365" t="s">
        <v>308</v>
      </c>
      <c r="AM25" s="363" t="s">
        <v>309</v>
      </c>
      <c r="AN25" s="363" t="s">
        <v>310</v>
      </c>
      <c r="AO25" s="366" t="s">
        <v>311</v>
      </c>
      <c r="AP25" s="360" t="s">
        <v>259</v>
      </c>
      <c r="AQ25" s="100"/>
      <c r="AR25" s="360" t="s">
        <v>311</v>
      </c>
      <c r="AS25" s="363" t="s">
        <v>312</v>
      </c>
      <c r="AT25" s="363" t="s">
        <v>313</v>
      </c>
      <c r="AU25" s="364" t="s">
        <v>314</v>
      </c>
      <c r="AV25" s="717"/>
      <c r="AW25" s="356" t="s">
        <v>307</v>
      </c>
      <c r="AX25" s="365" t="s">
        <v>308</v>
      </c>
      <c r="AY25" s="363" t="s">
        <v>309</v>
      </c>
      <c r="AZ25" s="363" t="s">
        <v>310</v>
      </c>
      <c r="BA25" s="366" t="s">
        <v>311</v>
      </c>
      <c r="BB25" s="360" t="s">
        <v>259</v>
      </c>
      <c r="BC25" s="100"/>
      <c r="BD25" s="360" t="s">
        <v>311</v>
      </c>
      <c r="BE25" s="363" t="s">
        <v>312</v>
      </c>
      <c r="BF25" s="363" t="s">
        <v>313</v>
      </c>
      <c r="BG25" s="364" t="s">
        <v>314</v>
      </c>
      <c r="BH25" s="717"/>
      <c r="BI25" s="356" t="s">
        <v>307</v>
      </c>
      <c r="BJ25" s="365" t="s">
        <v>308</v>
      </c>
      <c r="BK25" s="363" t="s">
        <v>309</v>
      </c>
      <c r="BL25" s="363" t="s">
        <v>310</v>
      </c>
      <c r="BM25" s="366" t="s">
        <v>311</v>
      </c>
      <c r="BN25" s="360" t="s">
        <v>259</v>
      </c>
      <c r="BO25" s="100"/>
      <c r="BP25" s="360" t="s">
        <v>311</v>
      </c>
      <c r="BQ25" s="363" t="s">
        <v>312</v>
      </c>
      <c r="BR25" s="363" t="s">
        <v>313</v>
      </c>
      <c r="BS25" s="364" t="s">
        <v>314</v>
      </c>
      <c r="BT25" s="717"/>
      <c r="BU25" s="356" t="s">
        <v>307</v>
      </c>
      <c r="BV25" s="365" t="s">
        <v>308</v>
      </c>
      <c r="BW25" s="363" t="s">
        <v>309</v>
      </c>
      <c r="BX25" s="363" t="s">
        <v>310</v>
      </c>
      <c r="BY25" s="366" t="s">
        <v>311</v>
      </c>
      <c r="BZ25" s="360" t="s">
        <v>259</v>
      </c>
      <c r="CA25" s="100"/>
      <c r="CB25" s="360" t="s">
        <v>311</v>
      </c>
      <c r="CC25" s="363" t="s">
        <v>312</v>
      </c>
      <c r="CD25" s="363" t="s">
        <v>313</v>
      </c>
      <c r="CE25" s="364" t="s">
        <v>314</v>
      </c>
      <c r="CF25" s="717"/>
      <c r="CG25" s="356" t="s">
        <v>307</v>
      </c>
      <c r="CH25" s="365" t="s">
        <v>308</v>
      </c>
      <c r="CI25" s="363" t="s">
        <v>309</v>
      </c>
      <c r="CJ25" s="363" t="s">
        <v>310</v>
      </c>
      <c r="CK25" s="366" t="s">
        <v>311</v>
      </c>
      <c r="CL25" s="360" t="s">
        <v>259</v>
      </c>
      <c r="CM25" s="100"/>
      <c r="CN25" s="360" t="s">
        <v>311</v>
      </c>
      <c r="CO25" s="363" t="s">
        <v>312</v>
      </c>
      <c r="CP25" s="363" t="s">
        <v>313</v>
      </c>
      <c r="CQ25" s="364" t="s">
        <v>314</v>
      </c>
      <c r="CR25" s="717"/>
      <c r="CS25" s="356" t="s">
        <v>307</v>
      </c>
      <c r="CT25" s="365" t="s">
        <v>308</v>
      </c>
      <c r="CU25" s="363" t="s">
        <v>309</v>
      </c>
      <c r="CV25" s="363" t="s">
        <v>310</v>
      </c>
      <c r="CW25" s="366" t="s">
        <v>311</v>
      </c>
      <c r="CX25" s="360" t="s">
        <v>259</v>
      </c>
      <c r="CY25" s="100"/>
      <c r="CZ25" s="360" t="s">
        <v>311</v>
      </c>
      <c r="DA25" s="363" t="s">
        <v>312</v>
      </c>
      <c r="DB25" s="363" t="s">
        <v>313</v>
      </c>
      <c r="DC25" s="364" t="s">
        <v>314</v>
      </c>
      <c r="DD25" s="717"/>
      <c r="DE25" s="356" t="s">
        <v>307</v>
      </c>
      <c r="DF25" s="365" t="s">
        <v>308</v>
      </c>
      <c r="DG25" s="363" t="s">
        <v>309</v>
      </c>
      <c r="DH25" s="363" t="s">
        <v>310</v>
      </c>
      <c r="DI25" s="366" t="s">
        <v>311</v>
      </c>
      <c r="DJ25" s="360" t="s">
        <v>259</v>
      </c>
      <c r="DK25" s="100"/>
      <c r="DL25" s="360" t="s">
        <v>311</v>
      </c>
      <c r="DM25" s="363" t="s">
        <v>312</v>
      </c>
      <c r="DN25" s="363" t="s">
        <v>313</v>
      </c>
      <c r="DO25" s="364" t="s">
        <v>314</v>
      </c>
      <c r="DP25" s="717"/>
      <c r="DQ25" s="356" t="s">
        <v>307</v>
      </c>
      <c r="DR25" s="365" t="s">
        <v>308</v>
      </c>
      <c r="DS25" s="363" t="s">
        <v>309</v>
      </c>
      <c r="DT25" s="363" t="s">
        <v>310</v>
      </c>
      <c r="DU25" s="366" t="s">
        <v>311</v>
      </c>
      <c r="DV25" s="360" t="s">
        <v>259</v>
      </c>
      <c r="DW25" s="100"/>
      <c r="DX25" s="360" t="s">
        <v>311</v>
      </c>
      <c r="DY25" s="363" t="s">
        <v>312</v>
      </c>
      <c r="DZ25" s="363" t="s">
        <v>313</v>
      </c>
      <c r="EA25" s="364" t="s">
        <v>314</v>
      </c>
      <c r="EB25" s="717"/>
      <c r="EC25" s="356" t="s">
        <v>307</v>
      </c>
      <c r="ED25" s="365" t="s">
        <v>308</v>
      </c>
      <c r="EE25" s="363" t="s">
        <v>309</v>
      </c>
      <c r="EF25" s="363" t="s">
        <v>310</v>
      </c>
      <c r="EG25" s="366" t="s">
        <v>311</v>
      </c>
      <c r="EH25" s="360" t="s">
        <v>259</v>
      </c>
      <c r="EI25" s="100"/>
      <c r="EJ25" s="360" t="s">
        <v>311</v>
      </c>
      <c r="EK25" s="363" t="s">
        <v>312</v>
      </c>
      <c r="EL25" s="363" t="s">
        <v>313</v>
      </c>
      <c r="EM25" s="364" t="s">
        <v>314</v>
      </c>
      <c r="EN25" s="717"/>
      <c r="EO25" s="356" t="s">
        <v>307</v>
      </c>
      <c r="EP25" s="365" t="s">
        <v>308</v>
      </c>
      <c r="EQ25" s="363" t="s">
        <v>309</v>
      </c>
      <c r="ER25" s="363" t="s">
        <v>310</v>
      </c>
      <c r="ES25" s="366" t="s">
        <v>311</v>
      </c>
      <c r="ET25" s="360" t="s">
        <v>259</v>
      </c>
      <c r="EU25" s="100"/>
      <c r="EV25" s="360" t="s">
        <v>311</v>
      </c>
      <c r="EW25" s="363" t="s">
        <v>312</v>
      </c>
      <c r="EX25" s="363" t="s">
        <v>313</v>
      </c>
      <c r="EY25" s="364" t="s">
        <v>314</v>
      </c>
      <c r="EZ25" s="717"/>
      <c r="FA25" s="356" t="s">
        <v>307</v>
      </c>
      <c r="FB25" s="365" t="s">
        <v>308</v>
      </c>
      <c r="FC25" s="363" t="s">
        <v>309</v>
      </c>
      <c r="FD25" s="363" t="s">
        <v>310</v>
      </c>
      <c r="FE25" s="366" t="s">
        <v>311</v>
      </c>
      <c r="FF25" s="360" t="s">
        <v>259</v>
      </c>
      <c r="FG25" s="100"/>
      <c r="FH25" s="360" t="s">
        <v>311</v>
      </c>
      <c r="FI25" s="363" t="s">
        <v>312</v>
      </c>
      <c r="FJ25" s="363" t="s">
        <v>313</v>
      </c>
      <c r="FK25" s="364" t="s">
        <v>314</v>
      </c>
      <c r="FL25" s="717"/>
      <c r="FM25" s="356" t="s">
        <v>307</v>
      </c>
      <c r="FN25" s="365" t="s">
        <v>308</v>
      </c>
      <c r="FO25" s="363" t="s">
        <v>309</v>
      </c>
      <c r="FP25" s="363" t="s">
        <v>310</v>
      </c>
      <c r="FQ25" s="366" t="s">
        <v>311</v>
      </c>
      <c r="FR25" s="360" t="s">
        <v>259</v>
      </c>
      <c r="FS25" s="100"/>
      <c r="FT25" s="360" t="s">
        <v>311</v>
      </c>
      <c r="FU25" s="363" t="s">
        <v>312</v>
      </c>
      <c r="FV25" s="363" t="s">
        <v>313</v>
      </c>
      <c r="FW25" s="364" t="s">
        <v>314</v>
      </c>
      <c r="FX25" s="717"/>
    </row>
    <row r="26">
      <c r="A26" s="640">
        <v>1.0</v>
      </c>
      <c r="B26" s="740">
        <v>12.0</v>
      </c>
      <c r="C26" s="741" t="str">
        <f>'Schedule | 2 Division'!E20</f>
        <v>INVISION</v>
      </c>
      <c r="D26" s="753">
        <f t="shared" ref="D26:E26" si="39">AP81</f>
        <v>0</v>
      </c>
      <c r="E26" s="753">
        <f t="shared" si="39"/>
        <v>2</v>
      </c>
      <c r="F26" s="741" t="str">
        <f>'Schedule | 2 Division'!I20</f>
        <v>The Soulless Team</v>
      </c>
      <c r="G26" s="740" t="str">
        <f t="shared" si="12"/>
        <v>The Soulless Team</v>
      </c>
      <c r="H26" s="685" t="str">
        <f t="shared" si="13"/>
        <v/>
      </c>
      <c r="I26" s="688" t="str">
        <f t="shared" si="14"/>
        <v/>
      </c>
      <c r="J26" s="751" t="str">
        <f t="shared" si="15"/>
        <v>INVISION</v>
      </c>
      <c r="K26" s="733"/>
      <c r="L26" s="717"/>
      <c r="M26" s="656">
        <v>1.0</v>
      </c>
      <c r="N26" s="357" t="s">
        <v>369</v>
      </c>
      <c r="O26" s="718" t="s">
        <v>779</v>
      </c>
      <c r="P26" s="358" t="s">
        <v>324</v>
      </c>
      <c r="Q26" s="362" t="s">
        <v>318</v>
      </c>
      <c r="R26" s="719" t="s">
        <v>320</v>
      </c>
      <c r="S26" s="720" t="s">
        <v>319</v>
      </c>
      <c r="T26" s="405" t="s">
        <v>321</v>
      </c>
      <c r="U26" s="358" t="s">
        <v>389</v>
      </c>
      <c r="V26" s="718" t="s">
        <v>473</v>
      </c>
      <c r="W26" s="362" t="s">
        <v>384</v>
      </c>
      <c r="X26" s="717"/>
      <c r="Y26" s="656">
        <v>1.0</v>
      </c>
      <c r="Z26" s="357" t="s">
        <v>331</v>
      </c>
      <c r="AA26" s="718" t="s">
        <v>461</v>
      </c>
      <c r="AB26" s="358" t="s">
        <v>400</v>
      </c>
      <c r="AC26" s="362" t="s">
        <v>318</v>
      </c>
      <c r="AD26" s="719" t="s">
        <v>319</v>
      </c>
      <c r="AE26" s="720" t="s">
        <v>320</v>
      </c>
      <c r="AF26" s="358" t="s">
        <v>321</v>
      </c>
      <c r="AG26" s="358" t="s">
        <v>389</v>
      </c>
      <c r="AH26" s="718" t="s">
        <v>473</v>
      </c>
      <c r="AI26" s="362" t="s">
        <v>325</v>
      </c>
      <c r="AJ26" s="717"/>
      <c r="AK26" s="656">
        <v>1.0</v>
      </c>
      <c r="AL26" s="357" t="s">
        <v>327</v>
      </c>
      <c r="AM26" s="718" t="s">
        <v>481</v>
      </c>
      <c r="AN26" s="358" t="s">
        <v>342</v>
      </c>
      <c r="AO26" s="362" t="s">
        <v>318</v>
      </c>
      <c r="AP26" s="719" t="s">
        <v>319</v>
      </c>
      <c r="AQ26" s="720" t="s">
        <v>320</v>
      </c>
      <c r="AR26" s="405" t="s">
        <v>321</v>
      </c>
      <c r="AS26" s="358" t="s">
        <v>434</v>
      </c>
      <c r="AT26" s="718" t="s">
        <v>779</v>
      </c>
      <c r="AU26" s="362" t="s">
        <v>324</v>
      </c>
      <c r="AV26" s="717"/>
      <c r="AW26" s="656">
        <v>1.0</v>
      </c>
      <c r="AX26" s="357" t="s">
        <v>327</v>
      </c>
      <c r="AY26" s="718" t="s">
        <v>481</v>
      </c>
      <c r="AZ26" s="358" t="s">
        <v>342</v>
      </c>
      <c r="BA26" s="362" t="s">
        <v>318</v>
      </c>
      <c r="BB26" s="719" t="s">
        <v>319</v>
      </c>
      <c r="BC26" s="720" t="s">
        <v>320</v>
      </c>
      <c r="BD26" s="405" t="s">
        <v>321</v>
      </c>
      <c r="BE26" s="358" t="s">
        <v>396</v>
      </c>
      <c r="BF26" s="718" t="s">
        <v>435</v>
      </c>
      <c r="BG26" s="362" t="s">
        <v>324</v>
      </c>
      <c r="BH26" s="717"/>
      <c r="BI26" s="656">
        <v>1.0</v>
      </c>
      <c r="BJ26" s="357" t="s">
        <v>324</v>
      </c>
      <c r="BK26" s="718" t="s">
        <v>419</v>
      </c>
      <c r="BL26" s="358" t="s">
        <v>317</v>
      </c>
      <c r="BM26" s="362" t="s">
        <v>318</v>
      </c>
      <c r="BN26" s="719" t="s">
        <v>319</v>
      </c>
      <c r="BO26" s="720" t="s">
        <v>320</v>
      </c>
      <c r="BP26" s="405" t="s">
        <v>321</v>
      </c>
      <c r="BQ26" s="358" t="s">
        <v>328</v>
      </c>
      <c r="BR26" s="718" t="s">
        <v>390</v>
      </c>
      <c r="BS26" s="362" t="s">
        <v>342</v>
      </c>
      <c r="BT26" s="717"/>
      <c r="BU26" s="656">
        <v>1.0</v>
      </c>
      <c r="BV26" s="357" t="s">
        <v>325</v>
      </c>
      <c r="BW26" s="718" t="s">
        <v>780</v>
      </c>
      <c r="BX26" s="358" t="s">
        <v>315</v>
      </c>
      <c r="BY26" s="362" t="s">
        <v>318</v>
      </c>
      <c r="BZ26" s="719" t="s">
        <v>320</v>
      </c>
      <c r="CA26" s="720" t="s">
        <v>319</v>
      </c>
      <c r="CB26" s="405" t="s">
        <v>321</v>
      </c>
      <c r="CC26" s="358" t="s">
        <v>400</v>
      </c>
      <c r="CD26" s="718" t="s">
        <v>441</v>
      </c>
      <c r="CE26" s="362" t="s">
        <v>327</v>
      </c>
      <c r="CF26" s="717"/>
      <c r="CG26" s="656">
        <v>1.0</v>
      </c>
      <c r="CH26" s="357" t="s">
        <v>737</v>
      </c>
      <c r="CI26" s="718" t="s">
        <v>767</v>
      </c>
      <c r="CJ26" s="358" t="s">
        <v>317</v>
      </c>
      <c r="CK26" s="362" t="s">
        <v>318</v>
      </c>
      <c r="CL26" s="719" t="s">
        <v>320</v>
      </c>
      <c r="CM26" s="720" t="s">
        <v>319</v>
      </c>
      <c r="CN26" s="405" t="s">
        <v>321</v>
      </c>
      <c r="CO26" s="358" t="s">
        <v>327</v>
      </c>
      <c r="CP26" s="718" t="s">
        <v>316</v>
      </c>
      <c r="CQ26" s="362" t="s">
        <v>325</v>
      </c>
      <c r="CR26" s="717"/>
      <c r="CS26" s="656">
        <v>1.0</v>
      </c>
      <c r="CT26" s="357" t="s">
        <v>327</v>
      </c>
      <c r="CU26" s="718" t="s">
        <v>441</v>
      </c>
      <c r="CV26" s="358" t="s">
        <v>317</v>
      </c>
      <c r="CW26" s="362" t="s">
        <v>318</v>
      </c>
      <c r="CX26" s="719" t="s">
        <v>320</v>
      </c>
      <c r="CY26" s="720" t="s">
        <v>319</v>
      </c>
      <c r="CZ26" s="405" t="s">
        <v>321</v>
      </c>
      <c r="DA26" s="358" t="s">
        <v>369</v>
      </c>
      <c r="DB26" s="718" t="s">
        <v>473</v>
      </c>
      <c r="DC26" s="362" t="s">
        <v>324</v>
      </c>
      <c r="DD26" s="717"/>
      <c r="DE26" s="656">
        <v>1.0</v>
      </c>
      <c r="DF26" s="357" t="s">
        <v>408</v>
      </c>
      <c r="DG26" s="774" t="s">
        <v>786</v>
      </c>
      <c r="DH26" s="358" t="s">
        <v>317</v>
      </c>
      <c r="DI26" s="362" t="s">
        <v>318</v>
      </c>
      <c r="DJ26" s="719" t="s">
        <v>320</v>
      </c>
      <c r="DK26" s="719" t="s">
        <v>319</v>
      </c>
      <c r="DL26" s="357" t="s">
        <v>321</v>
      </c>
      <c r="DM26" s="358" t="s">
        <v>322</v>
      </c>
      <c r="DN26" s="718" t="s">
        <v>473</v>
      </c>
      <c r="DO26" s="362" t="s">
        <v>324</v>
      </c>
      <c r="DP26" s="717"/>
      <c r="DQ26" s="656">
        <v>1.0</v>
      </c>
      <c r="DR26" s="357" t="s">
        <v>369</v>
      </c>
      <c r="DS26" s="718" t="s">
        <v>605</v>
      </c>
      <c r="DT26" s="358" t="s">
        <v>328</v>
      </c>
      <c r="DU26" s="362" t="s">
        <v>318</v>
      </c>
      <c r="DV26" s="719" t="s">
        <v>320</v>
      </c>
      <c r="DW26" s="719" t="s">
        <v>319</v>
      </c>
      <c r="DX26" s="357" t="s">
        <v>321</v>
      </c>
      <c r="DY26" s="358" t="s">
        <v>387</v>
      </c>
      <c r="DZ26" s="718" t="s">
        <v>435</v>
      </c>
      <c r="EA26" s="362" t="s">
        <v>327</v>
      </c>
      <c r="EB26" s="717"/>
      <c r="EC26" s="656">
        <v>1.0</v>
      </c>
      <c r="ED26" s="357" t="s">
        <v>369</v>
      </c>
      <c r="EE26" s="718" t="s">
        <v>417</v>
      </c>
      <c r="EF26" s="358" t="s">
        <v>19</v>
      </c>
      <c r="EG26" s="362" t="s">
        <v>318</v>
      </c>
      <c r="EH26" s="719" t="s">
        <v>320</v>
      </c>
      <c r="EI26" s="719" t="s">
        <v>319</v>
      </c>
      <c r="EJ26" s="357" t="s">
        <v>321</v>
      </c>
      <c r="EK26" s="358" t="s">
        <v>361</v>
      </c>
      <c r="EL26" s="718" t="s">
        <v>473</v>
      </c>
      <c r="EM26" s="362" t="s">
        <v>324</v>
      </c>
      <c r="EN26" s="717"/>
      <c r="EO26" s="656">
        <v>1.0</v>
      </c>
      <c r="EP26" s="357" t="s">
        <v>315</v>
      </c>
      <c r="EQ26" s="718" t="s">
        <v>435</v>
      </c>
      <c r="ER26" s="358" t="s">
        <v>387</v>
      </c>
      <c r="ES26" s="362" t="s">
        <v>318</v>
      </c>
      <c r="ET26" s="719" t="s">
        <v>319</v>
      </c>
      <c r="EU26" s="719" t="s">
        <v>320</v>
      </c>
      <c r="EV26" s="357" t="s">
        <v>321</v>
      </c>
      <c r="EW26" s="358" t="s">
        <v>384</v>
      </c>
      <c r="EX26" s="718" t="s">
        <v>316</v>
      </c>
      <c r="EY26" s="362" t="s">
        <v>324</v>
      </c>
      <c r="EZ26" s="717"/>
      <c r="FA26" s="656">
        <v>1.0</v>
      </c>
      <c r="FB26" s="357" t="s">
        <v>343</v>
      </c>
      <c r="FC26" s="234" t="s">
        <v>461</v>
      </c>
      <c r="FD26" s="358" t="s">
        <v>400</v>
      </c>
      <c r="FE26" s="362" t="s">
        <v>318</v>
      </c>
      <c r="FF26" s="719" t="s">
        <v>319</v>
      </c>
      <c r="FG26" s="719" t="s">
        <v>320</v>
      </c>
      <c r="FH26" s="357" t="s">
        <v>321</v>
      </c>
      <c r="FI26" s="358" t="s">
        <v>342</v>
      </c>
      <c r="FJ26" s="718" t="s">
        <v>344</v>
      </c>
      <c r="FK26" s="362" t="s">
        <v>325</v>
      </c>
      <c r="FL26" s="717"/>
      <c r="FM26" s="656">
        <v>1.0</v>
      </c>
      <c r="FN26" s="357" t="s">
        <v>369</v>
      </c>
      <c r="FO26" s="718" t="s">
        <v>360</v>
      </c>
      <c r="FP26" s="358" t="s">
        <v>400</v>
      </c>
      <c r="FQ26" s="362" t="s">
        <v>318</v>
      </c>
      <c r="FR26" s="719" t="s">
        <v>320</v>
      </c>
      <c r="FS26" s="719" t="s">
        <v>319</v>
      </c>
      <c r="FT26" s="357" t="s">
        <v>321</v>
      </c>
      <c r="FU26" s="358" t="s">
        <v>346</v>
      </c>
      <c r="FV26" s="718" t="s">
        <v>435</v>
      </c>
      <c r="FW26" s="362" t="s">
        <v>327</v>
      </c>
      <c r="FX26" s="717"/>
    </row>
    <row r="27">
      <c r="A27" s="775">
        <v>1.0</v>
      </c>
      <c r="B27" s="776">
        <v>13.0</v>
      </c>
      <c r="C27" s="777" t="str">
        <f>'Schedule | 2 Division'!E23</f>
        <v>INVISION</v>
      </c>
      <c r="D27" s="778">
        <f t="shared" ref="D27:E27" si="40">BB21</f>
        <v>2</v>
      </c>
      <c r="E27" s="778">
        <f t="shared" si="40"/>
        <v>1</v>
      </c>
      <c r="F27" s="777" t="str">
        <f>'Schedule | 2 Division'!I23</f>
        <v>HARD GRIND</v>
      </c>
      <c r="G27" s="776" t="str">
        <f t="shared" si="12"/>
        <v/>
      </c>
      <c r="H27" s="779" t="str">
        <f t="shared" si="13"/>
        <v>INVISION</v>
      </c>
      <c r="I27" s="780" t="str">
        <f t="shared" si="14"/>
        <v>HARD GRIND</v>
      </c>
      <c r="J27" s="781" t="str">
        <f t="shared" si="15"/>
        <v/>
      </c>
      <c r="K27" s="733"/>
      <c r="L27" s="717"/>
      <c r="M27" s="66"/>
      <c r="N27" s="645" t="s">
        <v>315</v>
      </c>
      <c r="O27" s="722" t="s">
        <v>345</v>
      </c>
      <c r="P27" s="405" t="s">
        <v>327</v>
      </c>
      <c r="Q27" s="92"/>
      <c r="S27" s="92"/>
      <c r="U27" s="405" t="s">
        <v>328</v>
      </c>
      <c r="V27" s="722" t="s">
        <v>479</v>
      </c>
      <c r="W27" s="682" t="s">
        <v>434</v>
      </c>
      <c r="X27" s="717"/>
      <c r="Y27" s="66"/>
      <c r="Z27" s="645" t="s">
        <v>328</v>
      </c>
      <c r="AA27" s="722" t="s">
        <v>774</v>
      </c>
      <c r="AB27" s="405" t="s">
        <v>337</v>
      </c>
      <c r="AC27" s="92"/>
      <c r="AE27" s="92"/>
      <c r="AG27" s="405" t="s">
        <v>343</v>
      </c>
      <c r="AH27" s="722" t="s">
        <v>475</v>
      </c>
      <c r="AI27" s="682" t="s">
        <v>368</v>
      </c>
      <c r="AJ27" s="717"/>
      <c r="AK27" s="66"/>
      <c r="AL27" s="645" t="s">
        <v>369</v>
      </c>
      <c r="AM27" s="722" t="s">
        <v>480</v>
      </c>
      <c r="AN27" s="405" t="s">
        <v>389</v>
      </c>
      <c r="AO27" s="92"/>
      <c r="AQ27" s="92"/>
      <c r="AS27" s="405" t="s">
        <v>315</v>
      </c>
      <c r="AT27" s="722" t="s">
        <v>345</v>
      </c>
      <c r="AU27" s="682" t="s">
        <v>328</v>
      </c>
      <c r="AV27" s="717"/>
      <c r="AW27" s="66"/>
      <c r="AX27" s="645" t="s">
        <v>325</v>
      </c>
      <c r="AY27" s="722" t="s">
        <v>476</v>
      </c>
      <c r="AZ27" s="405" t="s">
        <v>400</v>
      </c>
      <c r="BA27" s="92"/>
      <c r="BC27" s="92"/>
      <c r="BE27" s="405" t="s">
        <v>391</v>
      </c>
      <c r="BF27" s="722" t="s">
        <v>784</v>
      </c>
      <c r="BG27" s="682" t="s">
        <v>317</v>
      </c>
      <c r="BH27" s="717"/>
      <c r="BI27" s="66"/>
      <c r="BJ27" s="645" t="s">
        <v>327</v>
      </c>
      <c r="BK27" s="722" t="s">
        <v>428</v>
      </c>
      <c r="BL27" s="405" t="s">
        <v>375</v>
      </c>
      <c r="BM27" s="92"/>
      <c r="BO27" s="92"/>
      <c r="BQ27" s="405" t="s">
        <v>400</v>
      </c>
      <c r="BR27" s="722" t="s">
        <v>773</v>
      </c>
      <c r="BS27" s="682" t="s">
        <v>369</v>
      </c>
      <c r="BT27" s="717"/>
      <c r="BU27" s="66"/>
      <c r="BV27" s="645" t="s">
        <v>331</v>
      </c>
      <c r="BW27" s="722" t="s">
        <v>344</v>
      </c>
      <c r="BX27" s="405" t="s">
        <v>352</v>
      </c>
      <c r="BY27" s="92"/>
      <c r="CA27" s="92"/>
      <c r="CC27" s="405" t="s">
        <v>328</v>
      </c>
      <c r="CD27" s="722" t="s">
        <v>778</v>
      </c>
      <c r="CE27" s="682" t="s">
        <v>317</v>
      </c>
      <c r="CF27" s="717"/>
      <c r="CG27" s="66"/>
      <c r="CH27" s="645" t="s">
        <v>400</v>
      </c>
      <c r="CI27" s="722" t="s">
        <v>787</v>
      </c>
      <c r="CJ27" s="405" t="s">
        <v>387</v>
      </c>
      <c r="CK27" s="92"/>
      <c r="CM27" s="92"/>
      <c r="CO27" s="405" t="s">
        <v>342</v>
      </c>
      <c r="CP27" s="722" t="s">
        <v>344</v>
      </c>
      <c r="CQ27" s="682" t="s">
        <v>324</v>
      </c>
      <c r="CR27" s="717"/>
      <c r="CS27" s="66"/>
      <c r="CT27" s="645" t="s">
        <v>387</v>
      </c>
      <c r="CU27" s="722" t="s">
        <v>778</v>
      </c>
      <c r="CV27" s="405" t="s">
        <v>377</v>
      </c>
      <c r="CW27" s="92"/>
      <c r="CY27" s="92"/>
      <c r="DA27" s="405" t="s">
        <v>400</v>
      </c>
      <c r="DB27" s="722" t="s">
        <v>475</v>
      </c>
      <c r="DC27" s="682" t="s">
        <v>328</v>
      </c>
      <c r="DD27" s="717"/>
      <c r="DE27" s="66"/>
      <c r="DF27" s="645" t="s">
        <v>325</v>
      </c>
      <c r="DG27" s="782" t="s">
        <v>780</v>
      </c>
      <c r="DH27" s="405" t="s">
        <v>373</v>
      </c>
      <c r="DI27" s="92"/>
      <c r="DL27" s="55"/>
      <c r="DM27" s="405" t="s">
        <v>343</v>
      </c>
      <c r="DN27" s="722" t="s">
        <v>475</v>
      </c>
      <c r="DO27" s="682" t="s">
        <v>327</v>
      </c>
      <c r="DP27" s="717"/>
      <c r="DQ27" s="66"/>
      <c r="DR27" s="645" t="s">
        <v>396</v>
      </c>
      <c r="DS27" s="722" t="s">
        <v>767</v>
      </c>
      <c r="DT27" s="405" t="s">
        <v>343</v>
      </c>
      <c r="DU27" s="92"/>
      <c r="DX27" s="55"/>
      <c r="DY27" s="405" t="s">
        <v>389</v>
      </c>
      <c r="DZ27" s="722" t="s">
        <v>430</v>
      </c>
      <c r="EA27" s="682" t="s">
        <v>324</v>
      </c>
      <c r="EB27" s="717"/>
      <c r="EC27" s="66"/>
      <c r="ED27" s="645" t="s">
        <v>315</v>
      </c>
      <c r="EE27" s="722" t="s">
        <v>777</v>
      </c>
      <c r="EF27" s="405" t="s">
        <v>317</v>
      </c>
      <c r="EG27" s="92"/>
      <c r="EJ27" s="55"/>
      <c r="EK27" s="405" t="s">
        <v>343</v>
      </c>
      <c r="EL27" s="722" t="s">
        <v>475</v>
      </c>
      <c r="EM27" s="682" t="s">
        <v>342</v>
      </c>
      <c r="EN27" s="717"/>
      <c r="EO27" s="66"/>
      <c r="EP27" s="645" t="s">
        <v>369</v>
      </c>
      <c r="EQ27" s="722" t="s">
        <v>430</v>
      </c>
      <c r="ER27" s="405" t="s">
        <v>376</v>
      </c>
      <c r="ES27" s="92"/>
      <c r="EV27" s="55"/>
      <c r="EW27" s="405" t="s">
        <v>400</v>
      </c>
      <c r="EX27" s="722" t="s">
        <v>786</v>
      </c>
      <c r="EY27" s="682" t="s">
        <v>342</v>
      </c>
      <c r="EZ27" s="717"/>
      <c r="FA27" s="66"/>
      <c r="FB27" s="645" t="s">
        <v>327</v>
      </c>
      <c r="FC27" s="242" t="s">
        <v>459</v>
      </c>
      <c r="FD27" s="405" t="s">
        <v>359</v>
      </c>
      <c r="FE27" s="92"/>
      <c r="FH27" s="55"/>
      <c r="FI27" s="405" t="s">
        <v>328</v>
      </c>
      <c r="FJ27" s="722" t="s">
        <v>316</v>
      </c>
      <c r="FK27" s="682" t="s">
        <v>341</v>
      </c>
      <c r="FL27" s="717"/>
      <c r="FM27" s="66"/>
      <c r="FN27" s="645" t="s">
        <v>379</v>
      </c>
      <c r="FO27" s="722" t="s">
        <v>390</v>
      </c>
      <c r="FP27" s="405" t="s">
        <v>328</v>
      </c>
      <c r="FQ27" s="92"/>
      <c r="FT27" s="55"/>
      <c r="FU27" s="405" t="s">
        <v>418</v>
      </c>
      <c r="FV27" s="722" t="s">
        <v>430</v>
      </c>
      <c r="FW27" s="682" t="s">
        <v>324</v>
      </c>
      <c r="FX27" s="717"/>
    </row>
    <row r="28">
      <c r="A28" s="640">
        <v>1.0</v>
      </c>
      <c r="B28" s="740">
        <v>14.0</v>
      </c>
      <c r="C28" s="783" t="str">
        <f>'Schedule | 2 Division'!E24</f>
        <v>Aterion Esports</v>
      </c>
      <c r="D28" s="784">
        <f t="shared" ref="D28:E28" si="41">BB41</f>
        <v>2</v>
      </c>
      <c r="E28" s="784">
        <f t="shared" si="41"/>
        <v>0</v>
      </c>
      <c r="F28" s="783" t="str">
        <f>'Schedule | 2 Division'!I24</f>
        <v>Omnix</v>
      </c>
      <c r="G28" s="740" t="str">
        <f t="shared" si="12"/>
        <v>Aterion Esports</v>
      </c>
      <c r="H28" s="685" t="str">
        <f t="shared" si="13"/>
        <v/>
      </c>
      <c r="I28" s="688" t="str">
        <f t="shared" si="14"/>
        <v/>
      </c>
      <c r="J28" s="751" t="str">
        <f t="shared" si="15"/>
        <v>Omnix</v>
      </c>
      <c r="K28" s="733"/>
      <c r="L28" s="717"/>
      <c r="M28" s="66"/>
      <c r="N28" s="645" t="s">
        <v>342</v>
      </c>
      <c r="O28" s="722" t="s">
        <v>773</v>
      </c>
      <c r="P28" s="405" t="s">
        <v>400</v>
      </c>
      <c r="Q28" s="92"/>
      <c r="S28" s="92"/>
      <c r="U28" s="405" t="s">
        <v>373</v>
      </c>
      <c r="V28" s="722" t="s">
        <v>477</v>
      </c>
      <c r="W28" s="682" t="s">
        <v>401</v>
      </c>
      <c r="X28" s="717"/>
      <c r="Y28" s="66"/>
      <c r="Z28" s="645" t="s">
        <v>317</v>
      </c>
      <c r="AA28" s="722" t="s">
        <v>782</v>
      </c>
      <c r="AB28" s="405" t="s">
        <v>414</v>
      </c>
      <c r="AC28" s="92"/>
      <c r="AE28" s="92"/>
      <c r="AG28" s="405" t="s">
        <v>373</v>
      </c>
      <c r="AH28" s="722" t="s">
        <v>477</v>
      </c>
      <c r="AI28" s="682" t="s">
        <v>327</v>
      </c>
      <c r="AJ28" s="717"/>
      <c r="AK28" s="66"/>
      <c r="AL28" s="645" t="s">
        <v>331</v>
      </c>
      <c r="AM28" s="722" t="s">
        <v>476</v>
      </c>
      <c r="AN28" s="405" t="s">
        <v>400</v>
      </c>
      <c r="AO28" s="92"/>
      <c r="AQ28" s="92"/>
      <c r="AS28" s="405" t="s">
        <v>317</v>
      </c>
      <c r="AT28" s="722" t="s">
        <v>773</v>
      </c>
      <c r="AU28" s="682" t="s">
        <v>361</v>
      </c>
      <c r="AV28" s="717"/>
      <c r="AW28" s="66"/>
      <c r="AX28" s="645" t="s">
        <v>315</v>
      </c>
      <c r="AY28" s="722" t="s">
        <v>474</v>
      </c>
      <c r="AZ28" s="405" t="s">
        <v>408</v>
      </c>
      <c r="BA28" s="92"/>
      <c r="BC28" s="92"/>
      <c r="BE28" s="405" t="s">
        <v>331</v>
      </c>
      <c r="BF28" s="722" t="s">
        <v>769</v>
      </c>
      <c r="BG28" s="682" t="s">
        <v>19</v>
      </c>
      <c r="BH28" s="717"/>
      <c r="BI28" s="66"/>
      <c r="BJ28" s="645" t="s">
        <v>315</v>
      </c>
      <c r="BK28" s="722" t="s">
        <v>627</v>
      </c>
      <c r="BL28" s="405" t="s">
        <v>374</v>
      </c>
      <c r="BM28" s="92"/>
      <c r="BO28" s="92"/>
      <c r="BQ28" s="405" t="s">
        <v>387</v>
      </c>
      <c r="BR28" s="722" t="s">
        <v>372</v>
      </c>
      <c r="BS28" s="682" t="s">
        <v>396</v>
      </c>
      <c r="BT28" s="717"/>
      <c r="BU28" s="66"/>
      <c r="BV28" s="645" t="s">
        <v>324</v>
      </c>
      <c r="BW28" s="722" t="s">
        <v>370</v>
      </c>
      <c r="BX28" s="405" t="s">
        <v>389</v>
      </c>
      <c r="BY28" s="92"/>
      <c r="CA28" s="92"/>
      <c r="CC28" s="405" t="s">
        <v>408</v>
      </c>
      <c r="CD28" s="722" t="s">
        <v>776</v>
      </c>
      <c r="CE28" s="682" t="s">
        <v>342</v>
      </c>
      <c r="CF28" s="717"/>
      <c r="CG28" s="66"/>
      <c r="CH28" s="645" t="s">
        <v>389</v>
      </c>
      <c r="CI28" s="722" t="s">
        <v>425</v>
      </c>
      <c r="CJ28" s="405" t="s">
        <v>315</v>
      </c>
      <c r="CK28" s="92"/>
      <c r="CM28" s="92"/>
      <c r="CO28" s="405" t="s">
        <v>373</v>
      </c>
      <c r="CP28" s="722" t="s">
        <v>780</v>
      </c>
      <c r="CQ28" s="682" t="s">
        <v>337</v>
      </c>
      <c r="CR28" s="717"/>
      <c r="CS28" s="66"/>
      <c r="CT28" s="645" t="s">
        <v>325</v>
      </c>
      <c r="CU28" s="722" t="s">
        <v>775</v>
      </c>
      <c r="CV28" s="405" t="s">
        <v>385</v>
      </c>
      <c r="CW28" s="92"/>
      <c r="CY28" s="92"/>
      <c r="DA28" s="405" t="s">
        <v>19</v>
      </c>
      <c r="DB28" s="722" t="s">
        <v>477</v>
      </c>
      <c r="DC28" s="682" t="s">
        <v>331</v>
      </c>
      <c r="DD28" s="717"/>
      <c r="DE28" s="66"/>
      <c r="DF28" s="645" t="s">
        <v>315</v>
      </c>
      <c r="DG28" s="782" t="s">
        <v>344</v>
      </c>
      <c r="DH28" s="405" t="s">
        <v>337</v>
      </c>
      <c r="DI28" s="92"/>
      <c r="DL28" s="55"/>
      <c r="DM28" s="405" t="s">
        <v>391</v>
      </c>
      <c r="DN28" s="722" t="s">
        <v>477</v>
      </c>
      <c r="DO28" s="682" t="s">
        <v>328</v>
      </c>
      <c r="DP28" s="717"/>
      <c r="DQ28" s="66"/>
      <c r="DR28" s="645" t="s">
        <v>317</v>
      </c>
      <c r="DS28" s="722" t="s">
        <v>425</v>
      </c>
      <c r="DT28" s="405" t="s">
        <v>354</v>
      </c>
      <c r="DU28" s="92"/>
      <c r="DX28" s="55"/>
      <c r="DY28" s="405" t="s">
        <v>400</v>
      </c>
      <c r="DZ28" s="722" t="s">
        <v>441</v>
      </c>
      <c r="EA28" s="682" t="s">
        <v>342</v>
      </c>
      <c r="EB28" s="717"/>
      <c r="EC28" s="66"/>
      <c r="ED28" s="645" t="s">
        <v>400</v>
      </c>
      <c r="EE28" s="722" t="s">
        <v>427</v>
      </c>
      <c r="EF28" s="405" t="s">
        <v>327</v>
      </c>
      <c r="EG28" s="92"/>
      <c r="EJ28" s="55"/>
      <c r="EK28" s="405" t="s">
        <v>322</v>
      </c>
      <c r="EL28" s="722" t="s">
        <v>477</v>
      </c>
      <c r="EM28" s="682" t="s">
        <v>331</v>
      </c>
      <c r="EN28" s="717"/>
      <c r="EO28" s="66"/>
      <c r="EP28" s="645" t="s">
        <v>343</v>
      </c>
      <c r="EQ28" s="722" t="s">
        <v>441</v>
      </c>
      <c r="ER28" s="405" t="s">
        <v>325</v>
      </c>
      <c r="ES28" s="92"/>
      <c r="EV28" s="55"/>
      <c r="EW28" s="405" t="s">
        <v>348</v>
      </c>
      <c r="EX28" s="722" t="s">
        <v>780</v>
      </c>
      <c r="EY28" s="682" t="s">
        <v>317</v>
      </c>
      <c r="EZ28" s="717"/>
      <c r="FA28" s="66"/>
      <c r="FB28" s="645" t="s">
        <v>324</v>
      </c>
      <c r="FC28" s="242" t="s">
        <v>463</v>
      </c>
      <c r="FD28" s="405" t="s">
        <v>375</v>
      </c>
      <c r="FE28" s="92"/>
      <c r="FH28" s="55"/>
      <c r="FI28" s="405" t="s">
        <v>373</v>
      </c>
      <c r="FJ28" s="722" t="s">
        <v>780</v>
      </c>
      <c r="FK28" s="682" t="s">
        <v>317</v>
      </c>
      <c r="FL28" s="717"/>
      <c r="FM28" s="66"/>
      <c r="FN28" s="645" t="s">
        <v>317</v>
      </c>
      <c r="FO28" s="722" t="s">
        <v>323</v>
      </c>
      <c r="FP28" s="405" t="s">
        <v>322</v>
      </c>
      <c r="FQ28" s="92"/>
      <c r="FT28" s="55"/>
      <c r="FU28" s="405" t="s">
        <v>343</v>
      </c>
      <c r="FV28" s="722" t="s">
        <v>441</v>
      </c>
      <c r="FW28" s="682" t="s">
        <v>342</v>
      </c>
      <c r="FX28" s="717"/>
    </row>
    <row r="29" ht="18.0" customHeight="1">
      <c r="A29" s="640">
        <v>1.0</v>
      </c>
      <c r="B29" s="740">
        <v>15.0</v>
      </c>
      <c r="C29" s="741" t="str">
        <f>'Schedule | 2 Division'!E25</f>
        <v>Dark Phoenix</v>
      </c>
      <c r="D29" s="753">
        <f t="shared" ref="D29:E29" si="42">BB61</f>
        <v>2</v>
      </c>
      <c r="E29" s="753">
        <f t="shared" si="42"/>
        <v>1</v>
      </c>
      <c r="F29" s="741" t="str">
        <f>'Schedule | 2 Division'!I25</f>
        <v>The Soulless Team</v>
      </c>
      <c r="G29" s="740" t="str">
        <f t="shared" si="12"/>
        <v/>
      </c>
      <c r="H29" s="685" t="str">
        <f t="shared" si="13"/>
        <v>Dark Phoenix</v>
      </c>
      <c r="I29" s="688" t="str">
        <f t="shared" si="14"/>
        <v>The Soulless Team</v>
      </c>
      <c r="J29" s="785" t="str">
        <f t="shared" si="15"/>
        <v/>
      </c>
      <c r="K29" s="732"/>
      <c r="L29" s="712"/>
      <c r="M29" s="66"/>
      <c r="N29" s="645" t="s">
        <v>325</v>
      </c>
      <c r="O29" s="722" t="s">
        <v>390</v>
      </c>
      <c r="P29" s="405" t="s">
        <v>375</v>
      </c>
      <c r="Q29" s="92"/>
      <c r="S29" s="92"/>
      <c r="U29" s="405" t="s">
        <v>387</v>
      </c>
      <c r="V29" s="722" t="s">
        <v>482</v>
      </c>
      <c r="W29" s="682" t="s">
        <v>352</v>
      </c>
      <c r="X29" s="712"/>
      <c r="Y29" s="66"/>
      <c r="Z29" s="645" t="s">
        <v>741</v>
      </c>
      <c r="AA29" s="722" t="s">
        <v>457</v>
      </c>
      <c r="AB29" s="405" t="s">
        <v>324</v>
      </c>
      <c r="AC29" s="92"/>
      <c r="AE29" s="92"/>
      <c r="AG29" s="405" t="s">
        <v>377</v>
      </c>
      <c r="AH29" s="722" t="s">
        <v>479</v>
      </c>
      <c r="AI29" s="682" t="s">
        <v>375</v>
      </c>
      <c r="AJ29" s="712"/>
      <c r="AK29" s="66"/>
      <c r="AL29" s="645" t="s">
        <v>401</v>
      </c>
      <c r="AM29" s="722" t="s">
        <v>771</v>
      </c>
      <c r="AN29" s="405" t="s">
        <v>375</v>
      </c>
      <c r="AO29" s="92"/>
      <c r="AQ29" s="92"/>
      <c r="AS29" s="405" t="s">
        <v>377</v>
      </c>
      <c r="AT29" s="722" t="s">
        <v>390</v>
      </c>
      <c r="AU29" s="682" t="s">
        <v>348</v>
      </c>
      <c r="AV29" s="712"/>
      <c r="AW29" s="66"/>
      <c r="AX29" s="645" t="s">
        <v>337</v>
      </c>
      <c r="AY29" s="722" t="s">
        <v>480</v>
      </c>
      <c r="AZ29" s="405" t="s">
        <v>395</v>
      </c>
      <c r="BA29" s="92"/>
      <c r="BC29" s="92"/>
      <c r="BE29" s="405" t="s">
        <v>328</v>
      </c>
      <c r="BF29" s="722" t="s">
        <v>778</v>
      </c>
      <c r="BG29" s="682"/>
      <c r="BH29" s="712"/>
      <c r="BI29" s="66"/>
      <c r="BJ29" s="645" t="s">
        <v>434</v>
      </c>
      <c r="BK29" s="722" t="s">
        <v>785</v>
      </c>
      <c r="BL29" s="405" t="s">
        <v>402</v>
      </c>
      <c r="BM29" s="92"/>
      <c r="BO29" s="92"/>
      <c r="BQ29" s="405" t="s">
        <v>348</v>
      </c>
      <c r="BR29" s="722" t="s">
        <v>345</v>
      </c>
      <c r="BS29" s="682" t="s">
        <v>352</v>
      </c>
      <c r="BT29" s="712"/>
      <c r="BU29" s="66"/>
      <c r="BV29" s="645" t="s">
        <v>369</v>
      </c>
      <c r="BW29" s="722" t="s">
        <v>316</v>
      </c>
      <c r="BX29" s="405" t="s">
        <v>483</v>
      </c>
      <c r="BY29" s="92"/>
      <c r="CA29" s="92"/>
      <c r="CC29" s="405" t="s">
        <v>404</v>
      </c>
      <c r="CD29" s="722" t="s">
        <v>775</v>
      </c>
      <c r="CE29" s="682" t="s">
        <v>327</v>
      </c>
      <c r="CF29" s="712"/>
      <c r="CG29" s="66"/>
      <c r="CH29" s="645" t="s">
        <v>742</v>
      </c>
      <c r="CI29" s="722" t="s">
        <v>463</v>
      </c>
      <c r="CJ29" s="405" t="s">
        <v>401</v>
      </c>
      <c r="CK29" s="92"/>
      <c r="CM29" s="92"/>
      <c r="CO29" s="405" t="s">
        <v>322</v>
      </c>
      <c r="CP29" s="722" t="s">
        <v>370</v>
      </c>
      <c r="CQ29" s="682" t="s">
        <v>384</v>
      </c>
      <c r="CR29" s="712"/>
      <c r="CS29" s="66"/>
      <c r="CT29" s="645" t="s">
        <v>375</v>
      </c>
      <c r="CU29" s="722" t="s">
        <v>435</v>
      </c>
      <c r="CV29" s="405" t="s">
        <v>399</v>
      </c>
      <c r="CW29" s="92"/>
      <c r="CY29" s="92"/>
      <c r="DA29" s="405" t="s">
        <v>483</v>
      </c>
      <c r="DB29" s="722" t="s">
        <v>479</v>
      </c>
      <c r="DC29" s="682" t="s">
        <v>322</v>
      </c>
      <c r="DD29" s="712"/>
      <c r="DE29" s="66"/>
      <c r="DF29" s="645" t="s">
        <v>369</v>
      </c>
      <c r="DG29" s="782" t="s">
        <v>370</v>
      </c>
      <c r="DH29" s="405" t="s">
        <v>389</v>
      </c>
      <c r="DI29" s="92"/>
      <c r="DL29" s="55"/>
      <c r="DM29" s="405" t="s">
        <v>384</v>
      </c>
      <c r="DN29" s="722" t="s">
        <v>479</v>
      </c>
      <c r="DO29" s="682" t="s">
        <v>434</v>
      </c>
      <c r="DP29" s="712"/>
      <c r="DQ29" s="66"/>
      <c r="DR29" s="645" t="s">
        <v>361</v>
      </c>
      <c r="DS29" s="722" t="s">
        <v>781</v>
      </c>
      <c r="DT29" s="405" t="s">
        <v>352</v>
      </c>
      <c r="DU29" s="92"/>
      <c r="DX29" s="55"/>
      <c r="DY29" s="405" t="s">
        <v>377</v>
      </c>
      <c r="DZ29" s="722" t="s">
        <v>421</v>
      </c>
      <c r="EA29" s="682" t="s">
        <v>439</v>
      </c>
      <c r="EB29" s="712"/>
      <c r="EC29" s="66"/>
      <c r="ED29" s="645" t="s">
        <v>341</v>
      </c>
      <c r="EE29" s="722" t="s">
        <v>781</v>
      </c>
      <c r="EF29" s="405" t="s">
        <v>352</v>
      </c>
      <c r="EG29" s="92"/>
      <c r="EJ29" s="55"/>
      <c r="EK29" s="405" t="s">
        <v>328</v>
      </c>
      <c r="EL29" s="722" t="s">
        <v>479</v>
      </c>
      <c r="EM29" s="682" t="s">
        <v>434</v>
      </c>
      <c r="EN29" s="712"/>
      <c r="EO29" s="66"/>
      <c r="EP29" s="645" t="s">
        <v>409</v>
      </c>
      <c r="EQ29" s="722" t="s">
        <v>421</v>
      </c>
      <c r="ER29" s="405" t="s">
        <v>327</v>
      </c>
      <c r="ES29" s="92"/>
      <c r="EV29" s="55"/>
      <c r="EW29" s="405" t="s">
        <v>352</v>
      </c>
      <c r="EX29" s="722" t="s">
        <v>344</v>
      </c>
      <c r="EY29" s="682" t="s">
        <v>369</v>
      </c>
      <c r="EZ29" s="712"/>
      <c r="FA29" s="66"/>
      <c r="FB29" s="645" t="s">
        <v>434</v>
      </c>
      <c r="FC29" s="242" t="s">
        <v>457</v>
      </c>
      <c r="FD29" s="405" t="s">
        <v>369</v>
      </c>
      <c r="FE29" s="92"/>
      <c r="FH29" s="55"/>
      <c r="FI29" s="405" t="s">
        <v>410</v>
      </c>
      <c r="FJ29" s="722" t="s">
        <v>370</v>
      </c>
      <c r="FK29" s="682" t="s">
        <v>315</v>
      </c>
      <c r="FL29" s="712"/>
      <c r="FM29" s="66"/>
      <c r="FN29" s="645" t="s">
        <v>332</v>
      </c>
      <c r="FO29" s="722" t="s">
        <v>345</v>
      </c>
      <c r="FP29" s="405" t="s">
        <v>315</v>
      </c>
      <c r="FQ29" s="92"/>
      <c r="FT29" s="55"/>
      <c r="FU29" s="405" t="s">
        <v>377</v>
      </c>
      <c r="FV29" s="722" t="s">
        <v>421</v>
      </c>
      <c r="FW29" s="682" t="s">
        <v>352</v>
      </c>
      <c r="FX29" s="712"/>
    </row>
    <row r="30">
      <c r="A30" s="754">
        <v>1.0</v>
      </c>
      <c r="B30" s="755">
        <v>16.0</v>
      </c>
      <c r="C30" s="756" t="str">
        <f>'Schedule | 2 Division'!E26</f>
        <v>Suplex team</v>
      </c>
      <c r="D30" s="757">
        <f t="shared" ref="D30:E30" si="43">BB81</f>
        <v>0</v>
      </c>
      <c r="E30" s="757">
        <f t="shared" si="43"/>
        <v>2</v>
      </c>
      <c r="F30" s="756" t="str">
        <f>'Schedule | 2 Division'!I26</f>
        <v>TSA White</v>
      </c>
      <c r="G30" s="755" t="str">
        <f t="shared" si="12"/>
        <v>TSA White</v>
      </c>
      <c r="H30" s="759" t="str">
        <f t="shared" si="13"/>
        <v/>
      </c>
      <c r="I30" s="760" t="str">
        <f t="shared" si="14"/>
        <v/>
      </c>
      <c r="J30" s="786" t="str">
        <f t="shared" si="15"/>
        <v>Suplex team</v>
      </c>
      <c r="K30" s="732"/>
      <c r="L30" s="712"/>
      <c r="M30" s="66"/>
      <c r="N30" s="645" t="s">
        <v>331</v>
      </c>
      <c r="O30" s="722" t="s">
        <v>372</v>
      </c>
      <c r="P30" s="405" t="s">
        <v>337</v>
      </c>
      <c r="Q30" s="92"/>
      <c r="R30" s="374"/>
      <c r="S30" s="375"/>
      <c r="T30" s="374"/>
      <c r="U30" s="405" t="s">
        <v>317</v>
      </c>
      <c r="V30" s="722" t="s">
        <v>475</v>
      </c>
      <c r="W30" s="682" t="s">
        <v>391</v>
      </c>
      <c r="X30" s="712"/>
      <c r="Y30" s="66"/>
      <c r="Z30" s="645" t="s">
        <v>315</v>
      </c>
      <c r="AA30" s="723" t="s">
        <v>426</v>
      </c>
      <c r="AB30" s="405" t="s">
        <v>391</v>
      </c>
      <c r="AC30" s="92"/>
      <c r="AD30" s="374"/>
      <c r="AE30" s="375"/>
      <c r="AF30" s="374"/>
      <c r="AG30" s="405" t="s">
        <v>342</v>
      </c>
      <c r="AH30" s="723" t="s">
        <v>482</v>
      </c>
      <c r="AI30" s="682" t="s">
        <v>483</v>
      </c>
      <c r="AJ30" s="712"/>
      <c r="AK30" s="66"/>
      <c r="AL30" s="645" t="s">
        <v>384</v>
      </c>
      <c r="AM30" s="722" t="s">
        <v>474</v>
      </c>
      <c r="AN30" s="405" t="s">
        <v>362</v>
      </c>
      <c r="AO30" s="92"/>
      <c r="AP30" s="374"/>
      <c r="AQ30" s="375"/>
      <c r="AR30" s="374"/>
      <c r="AS30" s="405" t="s">
        <v>337</v>
      </c>
      <c r="AT30" s="722" t="s">
        <v>372</v>
      </c>
      <c r="AU30" s="682" t="s">
        <v>374</v>
      </c>
      <c r="AV30" s="712"/>
      <c r="AW30" s="66"/>
      <c r="AX30" s="645" t="s">
        <v>385</v>
      </c>
      <c r="AY30" s="722" t="s">
        <v>771</v>
      </c>
      <c r="AZ30" s="405" t="s">
        <v>375</v>
      </c>
      <c r="BA30" s="92"/>
      <c r="BB30" s="374"/>
      <c r="BC30" s="375"/>
      <c r="BD30" s="374"/>
      <c r="BE30" s="405" t="s">
        <v>405</v>
      </c>
      <c r="BF30" s="722" t="s">
        <v>775</v>
      </c>
      <c r="BG30" s="682" t="s">
        <v>384</v>
      </c>
      <c r="BH30" s="712"/>
      <c r="BI30" s="66"/>
      <c r="BJ30" s="645" t="s">
        <v>376</v>
      </c>
      <c r="BK30" s="722" t="s">
        <v>768</v>
      </c>
      <c r="BL30" s="405" t="s">
        <v>361</v>
      </c>
      <c r="BM30" s="92"/>
      <c r="BN30" s="374"/>
      <c r="BO30" s="375"/>
      <c r="BP30" s="374"/>
      <c r="BQ30" s="405" t="s">
        <v>745</v>
      </c>
      <c r="BR30" s="722" t="s">
        <v>779</v>
      </c>
      <c r="BS30" s="682" t="s">
        <v>337</v>
      </c>
      <c r="BT30" s="712"/>
      <c r="BU30" s="66"/>
      <c r="BV30" s="645" t="s">
        <v>396</v>
      </c>
      <c r="BW30" s="722" t="s">
        <v>460</v>
      </c>
      <c r="BX30" s="405" t="s">
        <v>742</v>
      </c>
      <c r="BY30" s="92"/>
      <c r="BZ30" s="374"/>
      <c r="CA30" s="375"/>
      <c r="CB30" s="374"/>
      <c r="CC30" s="405" t="s">
        <v>19</v>
      </c>
      <c r="CD30" s="722" t="s">
        <v>435</v>
      </c>
      <c r="CE30" s="682" t="s">
        <v>411</v>
      </c>
      <c r="CF30" s="712"/>
      <c r="CG30" s="66"/>
      <c r="CH30" s="645" t="s">
        <v>411</v>
      </c>
      <c r="CI30" s="722" t="s">
        <v>417</v>
      </c>
      <c r="CJ30" s="405" t="s">
        <v>418</v>
      </c>
      <c r="CK30" s="92"/>
      <c r="CL30" s="374"/>
      <c r="CM30" s="375"/>
      <c r="CN30" s="374"/>
      <c r="CO30" s="405" t="s">
        <v>432</v>
      </c>
      <c r="CP30" s="722" t="s">
        <v>460</v>
      </c>
      <c r="CQ30" s="682" t="s">
        <v>19</v>
      </c>
      <c r="CR30" s="712"/>
      <c r="CS30" s="66"/>
      <c r="CT30" s="645" t="s">
        <v>373</v>
      </c>
      <c r="CU30" s="722" t="s">
        <v>776</v>
      </c>
      <c r="CV30" s="405" t="s">
        <v>315</v>
      </c>
      <c r="CW30" s="92"/>
      <c r="CX30" s="374"/>
      <c r="CY30" s="375"/>
      <c r="CZ30" s="374"/>
      <c r="DA30" s="405" t="s">
        <v>342</v>
      </c>
      <c r="DB30" s="722" t="s">
        <v>482</v>
      </c>
      <c r="DC30" s="682" t="s">
        <v>408</v>
      </c>
      <c r="DD30" s="712"/>
      <c r="DE30" s="66"/>
      <c r="DF30" s="645" t="s">
        <v>368</v>
      </c>
      <c r="DG30" s="782" t="s">
        <v>316</v>
      </c>
      <c r="DH30" s="405" t="s">
        <v>737</v>
      </c>
      <c r="DI30" s="92"/>
      <c r="DJ30" s="374"/>
      <c r="DK30" s="374"/>
      <c r="DL30" s="55"/>
      <c r="DM30" s="405" t="s">
        <v>342</v>
      </c>
      <c r="DN30" s="722" t="s">
        <v>482</v>
      </c>
      <c r="DO30" s="682" t="s">
        <v>409</v>
      </c>
      <c r="DP30" s="712"/>
      <c r="DQ30" s="66"/>
      <c r="DR30" s="645" t="s">
        <v>322</v>
      </c>
      <c r="DS30" s="722" t="s">
        <v>417</v>
      </c>
      <c r="DT30" s="405" t="s">
        <v>434</v>
      </c>
      <c r="DU30" s="92"/>
      <c r="DV30" s="374"/>
      <c r="DW30" s="374"/>
      <c r="DX30" s="55"/>
      <c r="DY30" s="405" t="s">
        <v>315</v>
      </c>
      <c r="DZ30" s="722" t="s">
        <v>639</v>
      </c>
      <c r="EA30" s="682" t="s">
        <v>337</v>
      </c>
      <c r="EB30" s="712"/>
      <c r="EC30" s="66"/>
      <c r="ED30" s="645" t="s">
        <v>368</v>
      </c>
      <c r="EE30" s="723" t="s">
        <v>605</v>
      </c>
      <c r="EF30" s="405" t="s">
        <v>401</v>
      </c>
      <c r="EG30" s="92"/>
      <c r="EH30" s="374"/>
      <c r="EI30" s="374"/>
      <c r="EJ30" s="55"/>
      <c r="EK30" s="405" t="s">
        <v>456</v>
      </c>
      <c r="EL30" s="722" t="s">
        <v>482</v>
      </c>
      <c r="EM30" s="682" t="s">
        <v>376</v>
      </c>
      <c r="EN30" s="712"/>
      <c r="EO30" s="66"/>
      <c r="EP30" s="645" t="s">
        <v>434</v>
      </c>
      <c r="EQ30" s="722" t="s">
        <v>425</v>
      </c>
      <c r="ER30" s="405" t="s">
        <v>354</v>
      </c>
      <c r="ES30" s="92"/>
      <c r="ET30" s="374"/>
      <c r="EU30" s="374"/>
      <c r="EV30" s="55"/>
      <c r="EW30" s="405" t="s">
        <v>396</v>
      </c>
      <c r="EX30" s="722" t="s">
        <v>370</v>
      </c>
      <c r="EY30" s="682" t="s">
        <v>379</v>
      </c>
      <c r="EZ30" s="712"/>
      <c r="FA30" s="66"/>
      <c r="FB30" s="645" t="s">
        <v>331</v>
      </c>
      <c r="FC30" s="242" t="s">
        <v>774</v>
      </c>
      <c r="FD30" s="405" t="s">
        <v>346</v>
      </c>
      <c r="FE30" s="92"/>
      <c r="FF30" s="374"/>
      <c r="FG30" s="374"/>
      <c r="FH30" s="55"/>
      <c r="FI30" s="405" t="s">
        <v>411</v>
      </c>
      <c r="FJ30" s="722" t="s">
        <v>786</v>
      </c>
      <c r="FK30" s="682" t="s">
        <v>384</v>
      </c>
      <c r="FL30" s="712"/>
      <c r="FM30" s="66"/>
      <c r="FN30" s="645" t="s">
        <v>341</v>
      </c>
      <c r="FO30" s="722" t="s">
        <v>372</v>
      </c>
      <c r="FP30" s="405" t="s">
        <v>387</v>
      </c>
      <c r="FQ30" s="92"/>
      <c r="FR30" s="374"/>
      <c r="FS30" s="374"/>
      <c r="FT30" s="55"/>
      <c r="FU30" s="405" t="s">
        <v>354</v>
      </c>
      <c r="FV30" s="722" t="s">
        <v>425</v>
      </c>
      <c r="FW30" s="682" t="s">
        <v>434</v>
      </c>
      <c r="FX30" s="712"/>
    </row>
    <row r="31">
      <c r="A31" s="640">
        <v>1.0</v>
      </c>
      <c r="B31" s="740">
        <v>17.0</v>
      </c>
      <c r="C31" s="741" t="str">
        <f>'Schedule | 2 Division'!E29</f>
        <v>INVISION</v>
      </c>
      <c r="D31" s="753">
        <f t="shared" ref="D31:E31" si="44">BN21</f>
        <v>1</v>
      </c>
      <c r="E31" s="753">
        <f t="shared" si="44"/>
        <v>2</v>
      </c>
      <c r="F31" s="741" t="str">
        <f>'Schedule | 2 Division'!I29</f>
        <v>Omnix</v>
      </c>
      <c r="G31" s="740" t="str">
        <f t="shared" si="12"/>
        <v/>
      </c>
      <c r="H31" s="685" t="str">
        <f t="shared" si="13"/>
        <v>Omnix</v>
      </c>
      <c r="I31" s="688" t="str">
        <f t="shared" si="14"/>
        <v>INVISION</v>
      </c>
      <c r="J31" s="751" t="str">
        <f t="shared" si="15"/>
        <v/>
      </c>
      <c r="K31" s="733"/>
      <c r="L31" s="717"/>
      <c r="M31" s="725">
        <v>2.0</v>
      </c>
      <c r="N31" s="726" t="s">
        <v>324</v>
      </c>
      <c r="O31" s="727" t="s">
        <v>779</v>
      </c>
      <c r="P31" s="728" t="s">
        <v>369</v>
      </c>
      <c r="Q31" s="729" t="s">
        <v>321</v>
      </c>
      <c r="R31" s="787" t="s">
        <v>320</v>
      </c>
      <c r="S31" s="788" t="s">
        <v>319</v>
      </c>
      <c r="T31" s="728" t="s">
        <v>318</v>
      </c>
      <c r="U31" s="728" t="s">
        <v>325</v>
      </c>
      <c r="V31" s="727" t="s">
        <v>475</v>
      </c>
      <c r="W31" s="729" t="s">
        <v>401</v>
      </c>
      <c r="X31" s="717"/>
      <c r="Y31" s="725">
        <v>2.0</v>
      </c>
      <c r="Z31" s="726" t="s">
        <v>324</v>
      </c>
      <c r="AA31" s="722" t="s">
        <v>461</v>
      </c>
      <c r="AB31" s="728" t="s">
        <v>400</v>
      </c>
      <c r="AC31" s="729" t="s">
        <v>321</v>
      </c>
      <c r="AD31" s="787" t="s">
        <v>320</v>
      </c>
      <c r="AE31" s="788" t="s">
        <v>319</v>
      </c>
      <c r="AF31" s="728" t="s">
        <v>318</v>
      </c>
      <c r="AG31" s="728" t="s">
        <v>369</v>
      </c>
      <c r="AH31" s="722" t="s">
        <v>473</v>
      </c>
      <c r="AI31" s="729" t="s">
        <v>325</v>
      </c>
      <c r="AJ31" s="717"/>
      <c r="AK31" s="725">
        <v>2.0</v>
      </c>
      <c r="AL31" s="726" t="s">
        <v>327</v>
      </c>
      <c r="AM31" s="727" t="s">
        <v>480</v>
      </c>
      <c r="AN31" s="728" t="s">
        <v>322</v>
      </c>
      <c r="AO31" s="729" t="s">
        <v>321</v>
      </c>
      <c r="AP31" s="787" t="s">
        <v>319</v>
      </c>
      <c r="AQ31" s="788" t="s">
        <v>320</v>
      </c>
      <c r="AR31" s="728" t="s">
        <v>318</v>
      </c>
      <c r="AS31" s="728" t="s">
        <v>411</v>
      </c>
      <c r="AT31" s="727" t="s">
        <v>779</v>
      </c>
      <c r="AU31" s="729" t="s">
        <v>328</v>
      </c>
      <c r="AV31" s="717"/>
      <c r="AW31" s="725">
        <v>2.0</v>
      </c>
      <c r="AX31" s="726" t="s">
        <v>324</v>
      </c>
      <c r="AY31" s="727" t="s">
        <v>480</v>
      </c>
      <c r="AZ31" s="728" t="s">
        <v>369</v>
      </c>
      <c r="BA31" s="729" t="s">
        <v>321</v>
      </c>
      <c r="BB31" s="787" t="s">
        <v>319</v>
      </c>
      <c r="BC31" s="788" t="s">
        <v>320</v>
      </c>
      <c r="BD31" s="728" t="s">
        <v>318</v>
      </c>
      <c r="BE31" s="728" t="s">
        <v>317</v>
      </c>
      <c r="BF31" s="727" t="s">
        <v>769</v>
      </c>
      <c r="BG31" s="729" t="s">
        <v>328</v>
      </c>
      <c r="BH31" s="717"/>
      <c r="BI31" s="725">
        <v>2.0</v>
      </c>
      <c r="BJ31" s="726" t="s">
        <v>324</v>
      </c>
      <c r="BK31" s="727" t="s">
        <v>768</v>
      </c>
      <c r="BL31" s="728" t="s">
        <v>369</v>
      </c>
      <c r="BM31" s="729" t="s">
        <v>321</v>
      </c>
      <c r="BN31" s="787" t="s">
        <v>320</v>
      </c>
      <c r="BO31" s="788" t="s">
        <v>319</v>
      </c>
      <c r="BP31" s="728" t="s">
        <v>318</v>
      </c>
      <c r="BQ31" s="728" t="s">
        <v>342</v>
      </c>
      <c r="BR31" s="727" t="s">
        <v>372</v>
      </c>
      <c r="BS31" s="729" t="s">
        <v>400</v>
      </c>
      <c r="BT31" s="717"/>
      <c r="BU31" s="725">
        <v>2.0</v>
      </c>
      <c r="BV31" s="726" t="s">
        <v>325</v>
      </c>
      <c r="BW31" s="727" t="s">
        <v>316</v>
      </c>
      <c r="BX31" s="728" t="s">
        <v>328</v>
      </c>
      <c r="BY31" s="729" t="s">
        <v>318</v>
      </c>
      <c r="BZ31" s="787" t="s">
        <v>319</v>
      </c>
      <c r="CA31" s="788" t="s">
        <v>320</v>
      </c>
      <c r="CB31" s="728" t="s">
        <v>321</v>
      </c>
      <c r="CC31" s="728" t="s">
        <v>400</v>
      </c>
      <c r="CD31" s="727" t="s">
        <v>441</v>
      </c>
      <c r="CE31" s="729" t="s">
        <v>327</v>
      </c>
      <c r="CF31" s="717"/>
      <c r="CG31" s="725">
        <v>2.0</v>
      </c>
      <c r="CH31" s="726" t="s">
        <v>342</v>
      </c>
      <c r="CI31" s="727" t="s">
        <v>767</v>
      </c>
      <c r="CJ31" s="728" t="s">
        <v>331</v>
      </c>
      <c r="CK31" s="729" t="s">
        <v>318</v>
      </c>
      <c r="CL31" s="787" t="s">
        <v>319</v>
      </c>
      <c r="CM31" s="788" t="s">
        <v>320</v>
      </c>
      <c r="CN31" s="728" t="s">
        <v>321</v>
      </c>
      <c r="CO31" s="728" t="s">
        <v>328</v>
      </c>
      <c r="CP31" s="727" t="s">
        <v>316</v>
      </c>
      <c r="CQ31" s="729" t="s">
        <v>325</v>
      </c>
      <c r="CR31" s="717"/>
      <c r="CS31" s="725">
        <v>2.0</v>
      </c>
      <c r="CT31" s="726" t="s">
        <v>387</v>
      </c>
      <c r="CU31" s="727" t="s">
        <v>435</v>
      </c>
      <c r="CV31" s="728" t="s">
        <v>389</v>
      </c>
      <c r="CW31" s="729" t="s">
        <v>318</v>
      </c>
      <c r="CX31" s="787" t="s">
        <v>319</v>
      </c>
      <c r="CY31" s="788" t="s">
        <v>320</v>
      </c>
      <c r="CZ31" s="728" t="s">
        <v>321</v>
      </c>
      <c r="DA31" s="728" t="s">
        <v>382</v>
      </c>
      <c r="DB31" s="727" t="s">
        <v>473</v>
      </c>
      <c r="DC31" s="729" t="s">
        <v>324</v>
      </c>
      <c r="DD31" s="717"/>
      <c r="DE31" s="725">
        <v>2.0</v>
      </c>
      <c r="DF31" s="726" t="s">
        <v>315</v>
      </c>
      <c r="DG31" s="789" t="s">
        <v>786</v>
      </c>
      <c r="DH31" s="728" t="s">
        <v>317</v>
      </c>
      <c r="DI31" s="729" t="s">
        <v>318</v>
      </c>
      <c r="DJ31" s="730" t="s">
        <v>319</v>
      </c>
      <c r="DK31" s="730" t="s">
        <v>320</v>
      </c>
      <c r="DL31" s="726" t="s">
        <v>321</v>
      </c>
      <c r="DM31" s="728" t="s">
        <v>399</v>
      </c>
      <c r="DN31" s="727" t="s">
        <v>473</v>
      </c>
      <c r="DO31" s="729" t="s">
        <v>324</v>
      </c>
      <c r="DP31" s="717"/>
      <c r="DQ31" s="725">
        <v>2.0</v>
      </c>
      <c r="DR31" s="726" t="s">
        <v>315</v>
      </c>
      <c r="DS31" s="718" t="s">
        <v>605</v>
      </c>
      <c r="DT31" s="728" t="s">
        <v>328</v>
      </c>
      <c r="DU31" s="729" t="s">
        <v>318</v>
      </c>
      <c r="DV31" s="730" t="s">
        <v>320</v>
      </c>
      <c r="DW31" s="730" t="s">
        <v>319</v>
      </c>
      <c r="DX31" s="726" t="s">
        <v>321</v>
      </c>
      <c r="DY31" s="728" t="s">
        <v>379</v>
      </c>
      <c r="DZ31" s="727" t="s">
        <v>435</v>
      </c>
      <c r="EA31" s="729" t="s">
        <v>327</v>
      </c>
      <c r="EB31" s="717"/>
      <c r="EC31" s="725">
        <v>2.0</v>
      </c>
      <c r="ED31" s="726" t="s">
        <v>369</v>
      </c>
      <c r="EE31" s="722" t="s">
        <v>417</v>
      </c>
      <c r="EF31" s="728" t="s">
        <v>389</v>
      </c>
      <c r="EG31" s="729" t="s">
        <v>318</v>
      </c>
      <c r="EH31" s="730" t="s">
        <v>320</v>
      </c>
      <c r="EI31" s="731" t="s">
        <v>319</v>
      </c>
      <c r="EJ31" s="728"/>
      <c r="EK31" s="728" t="s">
        <v>362</v>
      </c>
      <c r="EL31" s="727" t="s">
        <v>477</v>
      </c>
      <c r="EM31" s="729" t="s">
        <v>324</v>
      </c>
      <c r="EN31" s="717"/>
      <c r="EO31" s="725">
        <v>2.0</v>
      </c>
      <c r="EP31" s="726" t="s">
        <v>327</v>
      </c>
      <c r="EQ31" s="727" t="s">
        <v>435</v>
      </c>
      <c r="ER31" s="728" t="s">
        <v>379</v>
      </c>
      <c r="ES31" s="729" t="s">
        <v>321</v>
      </c>
      <c r="ET31" s="730" t="s">
        <v>319</v>
      </c>
      <c r="EU31" s="730" t="s">
        <v>320</v>
      </c>
      <c r="EV31" s="726" t="s">
        <v>318</v>
      </c>
      <c r="EW31" s="728" t="s">
        <v>343</v>
      </c>
      <c r="EX31" s="789" t="s">
        <v>786</v>
      </c>
      <c r="EY31" s="729" t="s">
        <v>317</v>
      </c>
      <c r="EZ31" s="717"/>
      <c r="FA31" s="725">
        <v>2.0</v>
      </c>
      <c r="FB31" s="726" t="s">
        <v>343</v>
      </c>
      <c r="FC31" s="384" t="s">
        <v>461</v>
      </c>
      <c r="FD31" s="728" t="s">
        <v>400</v>
      </c>
      <c r="FE31" s="729" t="s">
        <v>321</v>
      </c>
      <c r="FF31" s="730" t="s">
        <v>319</v>
      </c>
      <c r="FG31" s="730" t="s">
        <v>320</v>
      </c>
      <c r="FH31" s="726" t="s">
        <v>318</v>
      </c>
      <c r="FI31" s="728" t="s">
        <v>342</v>
      </c>
      <c r="FJ31" s="789" t="s">
        <v>344</v>
      </c>
      <c r="FK31" s="729" t="s">
        <v>325</v>
      </c>
      <c r="FL31" s="717"/>
      <c r="FM31" s="725">
        <v>2.0</v>
      </c>
      <c r="FN31" s="726" t="s">
        <v>324</v>
      </c>
      <c r="FO31" s="727" t="s">
        <v>360</v>
      </c>
      <c r="FP31" s="728" t="s">
        <v>400</v>
      </c>
      <c r="FQ31" s="729" t="s">
        <v>321</v>
      </c>
      <c r="FR31" s="730" t="s">
        <v>320</v>
      </c>
      <c r="FS31" s="730" t="s">
        <v>319</v>
      </c>
      <c r="FT31" s="726" t="s">
        <v>318</v>
      </c>
      <c r="FU31" s="728" t="s">
        <v>387</v>
      </c>
      <c r="FV31" s="727" t="s">
        <v>435</v>
      </c>
      <c r="FW31" s="729" t="s">
        <v>315</v>
      </c>
      <c r="FX31" s="717"/>
    </row>
    <row r="32">
      <c r="A32" s="640">
        <v>1.0</v>
      </c>
      <c r="B32" s="740">
        <v>18.0</v>
      </c>
      <c r="C32" s="741" t="str">
        <f>'Schedule | 2 Division'!E30</f>
        <v>Dark Phoenix</v>
      </c>
      <c r="D32" s="753">
        <f t="shared" ref="D32:E32" si="45">BN41</f>
        <v>2</v>
      </c>
      <c r="E32" s="753">
        <f t="shared" si="45"/>
        <v>1</v>
      </c>
      <c r="F32" s="741" t="str">
        <f>'Schedule | 2 Division'!I30</f>
        <v>Suplex team</v>
      </c>
      <c r="G32" s="740" t="str">
        <f t="shared" si="12"/>
        <v/>
      </c>
      <c r="H32" s="685" t="str">
        <f t="shared" si="13"/>
        <v>Dark Phoenix</v>
      </c>
      <c r="I32" s="688" t="str">
        <f t="shared" si="14"/>
        <v>Suplex team</v>
      </c>
      <c r="J32" s="751" t="str">
        <f t="shared" si="15"/>
        <v/>
      </c>
      <c r="K32" s="733"/>
      <c r="L32" s="717"/>
      <c r="M32" s="66"/>
      <c r="N32" s="645" t="s">
        <v>328</v>
      </c>
      <c r="O32" s="722" t="s">
        <v>390</v>
      </c>
      <c r="P32" s="405" t="s">
        <v>327</v>
      </c>
      <c r="Q32" s="92"/>
      <c r="S32" s="92"/>
      <c r="U32" s="405" t="s">
        <v>315</v>
      </c>
      <c r="V32" s="722" t="s">
        <v>477</v>
      </c>
      <c r="W32" s="682" t="s">
        <v>434</v>
      </c>
      <c r="X32" s="717"/>
      <c r="Y32" s="66"/>
      <c r="Z32" s="645" t="s">
        <v>331</v>
      </c>
      <c r="AA32" s="722" t="s">
        <v>774</v>
      </c>
      <c r="AB32" s="405" t="s">
        <v>342</v>
      </c>
      <c r="AC32" s="92"/>
      <c r="AE32" s="92"/>
      <c r="AG32" s="405" t="s">
        <v>328</v>
      </c>
      <c r="AH32" s="722" t="s">
        <v>475</v>
      </c>
      <c r="AI32" s="682" t="s">
        <v>368</v>
      </c>
      <c r="AJ32" s="717"/>
      <c r="AK32" s="66"/>
      <c r="AL32" s="645" t="s">
        <v>342</v>
      </c>
      <c r="AM32" s="722" t="s">
        <v>481</v>
      </c>
      <c r="AN32" s="405" t="s">
        <v>337</v>
      </c>
      <c r="AO32" s="92"/>
      <c r="AQ32" s="92"/>
      <c r="AS32" s="405" t="s">
        <v>374</v>
      </c>
      <c r="AT32" s="722" t="s">
        <v>345</v>
      </c>
      <c r="AU32" s="682" t="s">
        <v>325</v>
      </c>
      <c r="AV32" s="717"/>
      <c r="AW32" s="66"/>
      <c r="AX32" s="645" t="s">
        <v>327</v>
      </c>
      <c r="AY32" s="722" t="s">
        <v>481</v>
      </c>
      <c r="AZ32" s="405" t="s">
        <v>352</v>
      </c>
      <c r="BA32" s="92"/>
      <c r="BC32" s="92"/>
      <c r="BE32" s="405" t="s">
        <v>739</v>
      </c>
      <c r="BF32" s="722" t="s">
        <v>775</v>
      </c>
      <c r="BG32" s="682" t="s">
        <v>400</v>
      </c>
      <c r="BH32" s="717"/>
      <c r="BI32" s="66"/>
      <c r="BJ32" s="645" t="s">
        <v>327</v>
      </c>
      <c r="BK32" s="722" t="s">
        <v>419</v>
      </c>
      <c r="BL32" s="405" t="s">
        <v>317</v>
      </c>
      <c r="BM32" s="92"/>
      <c r="BO32" s="92"/>
      <c r="BQ32" s="405" t="s">
        <v>434</v>
      </c>
      <c r="BR32" s="722" t="s">
        <v>779</v>
      </c>
      <c r="BS32" s="682" t="s">
        <v>337</v>
      </c>
      <c r="BT32" s="717"/>
      <c r="BU32" s="66"/>
      <c r="BV32" s="645" t="s">
        <v>324</v>
      </c>
      <c r="BW32" s="722" t="s">
        <v>460</v>
      </c>
      <c r="BX32" s="405" t="s">
        <v>403</v>
      </c>
      <c r="BY32" s="92"/>
      <c r="CA32" s="92"/>
      <c r="CC32" s="405" t="s">
        <v>315</v>
      </c>
      <c r="CD32" s="722" t="s">
        <v>776</v>
      </c>
      <c r="CE32" s="682" t="s">
        <v>317</v>
      </c>
      <c r="CF32" s="717"/>
      <c r="CG32" s="66"/>
      <c r="CH32" s="645" t="s">
        <v>327</v>
      </c>
      <c r="CI32" s="722" t="s">
        <v>787</v>
      </c>
      <c r="CJ32" s="405" t="s">
        <v>405</v>
      </c>
      <c r="CK32" s="92"/>
      <c r="CM32" s="92"/>
      <c r="CO32" s="405" t="s">
        <v>352</v>
      </c>
      <c r="CP32" s="722" t="s">
        <v>344</v>
      </c>
      <c r="CQ32" s="682" t="s">
        <v>317</v>
      </c>
      <c r="CR32" s="717"/>
      <c r="CS32" s="66"/>
      <c r="CT32" s="645" t="s">
        <v>369</v>
      </c>
      <c r="CU32" s="722" t="s">
        <v>441</v>
      </c>
      <c r="CV32" s="405" t="s">
        <v>325</v>
      </c>
      <c r="CW32" s="92"/>
      <c r="CY32" s="92"/>
      <c r="DA32" s="405" t="s">
        <v>317</v>
      </c>
      <c r="DB32" s="722" t="s">
        <v>475</v>
      </c>
      <c r="DC32" s="682" t="s">
        <v>328</v>
      </c>
      <c r="DD32" s="717"/>
      <c r="DE32" s="66"/>
      <c r="DF32" s="645" t="s">
        <v>337</v>
      </c>
      <c r="DG32" s="782" t="s">
        <v>316</v>
      </c>
      <c r="DH32" s="405" t="s">
        <v>384</v>
      </c>
      <c r="DI32" s="92"/>
      <c r="DL32" s="55"/>
      <c r="DM32" s="405" t="s">
        <v>331</v>
      </c>
      <c r="DN32" s="722" t="s">
        <v>475</v>
      </c>
      <c r="DO32" s="682" t="s">
        <v>342</v>
      </c>
      <c r="DP32" s="717"/>
      <c r="DQ32" s="66"/>
      <c r="DR32" s="645" t="s">
        <v>377</v>
      </c>
      <c r="DS32" s="722" t="s">
        <v>767</v>
      </c>
      <c r="DT32" s="405" t="s">
        <v>400</v>
      </c>
      <c r="DU32" s="92"/>
      <c r="DX32" s="55"/>
      <c r="DY32" s="405" t="s">
        <v>382</v>
      </c>
      <c r="DZ32" s="722" t="s">
        <v>430</v>
      </c>
      <c r="EA32" s="682" t="s">
        <v>324</v>
      </c>
      <c r="EB32" s="717"/>
      <c r="EC32" s="66"/>
      <c r="ED32" s="645" t="s">
        <v>328</v>
      </c>
      <c r="EE32" s="722" t="s">
        <v>777</v>
      </c>
      <c r="EF32" s="405" t="s">
        <v>343</v>
      </c>
      <c r="EG32" s="92"/>
      <c r="EI32" s="92"/>
      <c r="EK32" s="405" t="s">
        <v>332</v>
      </c>
      <c r="EL32" s="722" t="s">
        <v>473</v>
      </c>
      <c r="EM32" s="682" t="s">
        <v>342</v>
      </c>
      <c r="EN32" s="717"/>
      <c r="EO32" s="66"/>
      <c r="EP32" s="645" t="s">
        <v>342</v>
      </c>
      <c r="EQ32" s="722" t="s">
        <v>430</v>
      </c>
      <c r="ER32" s="405" t="s">
        <v>382</v>
      </c>
      <c r="ES32" s="92"/>
      <c r="EV32" s="55"/>
      <c r="EW32" s="405" t="s">
        <v>328</v>
      </c>
      <c r="EX32" s="782" t="s">
        <v>316</v>
      </c>
      <c r="EY32" s="682" t="s">
        <v>324</v>
      </c>
      <c r="EZ32" s="717"/>
      <c r="FA32" s="66"/>
      <c r="FB32" s="645" t="s">
        <v>327</v>
      </c>
      <c r="FC32" s="242" t="s">
        <v>459</v>
      </c>
      <c r="FD32" s="405" t="s">
        <v>362</v>
      </c>
      <c r="FE32" s="92"/>
      <c r="FH32" s="55"/>
      <c r="FI32" s="405" t="s">
        <v>373</v>
      </c>
      <c r="FJ32" s="782" t="s">
        <v>780</v>
      </c>
      <c r="FK32" s="682" t="s">
        <v>341</v>
      </c>
      <c r="FL32" s="717"/>
      <c r="FM32" s="66"/>
      <c r="FN32" s="645" t="s">
        <v>317</v>
      </c>
      <c r="FO32" s="722" t="s">
        <v>345</v>
      </c>
      <c r="FP32" s="405" t="s">
        <v>341</v>
      </c>
      <c r="FQ32" s="92"/>
      <c r="FT32" s="55"/>
      <c r="FU32" s="405" t="s">
        <v>395</v>
      </c>
      <c r="FV32" s="722" t="s">
        <v>430</v>
      </c>
      <c r="FW32" s="682" t="s">
        <v>369</v>
      </c>
      <c r="FX32" s="717"/>
    </row>
    <row r="33">
      <c r="A33" s="640">
        <v>1.0</v>
      </c>
      <c r="B33" s="740">
        <v>19.0</v>
      </c>
      <c r="C33" s="741" t="str">
        <f>'Schedule | 2 Division'!E31</f>
        <v>HARD GRIND</v>
      </c>
      <c r="D33" s="753">
        <f t="shared" ref="D33:E33" si="46">BN61</f>
        <v>2</v>
      </c>
      <c r="E33" s="753">
        <f t="shared" si="46"/>
        <v>0</v>
      </c>
      <c r="F33" s="741" t="str">
        <f>'Schedule | 2 Division'!I31</f>
        <v>TSA White</v>
      </c>
      <c r="G33" s="740" t="str">
        <f t="shared" si="12"/>
        <v>HARD GRIND</v>
      </c>
      <c r="H33" s="685" t="str">
        <f t="shared" si="13"/>
        <v/>
      </c>
      <c r="I33" s="688" t="str">
        <f t="shared" si="14"/>
        <v/>
      </c>
      <c r="J33" s="751" t="str">
        <f t="shared" si="15"/>
        <v>TSA White</v>
      </c>
      <c r="K33" s="733"/>
      <c r="L33" s="717"/>
      <c r="M33" s="66"/>
      <c r="N33" s="645" t="s">
        <v>342</v>
      </c>
      <c r="O33" s="722" t="s">
        <v>345</v>
      </c>
      <c r="P33" s="405" t="s">
        <v>391</v>
      </c>
      <c r="Q33" s="92"/>
      <c r="S33" s="92"/>
      <c r="U33" s="405" t="s">
        <v>387</v>
      </c>
      <c r="V33" s="722" t="s">
        <v>482</v>
      </c>
      <c r="W33" s="682" t="s">
        <v>384</v>
      </c>
      <c r="X33" s="717"/>
      <c r="Y33" s="66"/>
      <c r="Z33" s="645" t="s">
        <v>328</v>
      </c>
      <c r="AA33" s="722" t="s">
        <v>782</v>
      </c>
      <c r="AB33" s="405" t="s">
        <v>411</v>
      </c>
      <c r="AC33" s="92"/>
      <c r="AE33" s="92"/>
      <c r="AG33" s="405" t="s">
        <v>362</v>
      </c>
      <c r="AH33" s="722" t="s">
        <v>477</v>
      </c>
      <c r="AI33" s="682" t="s">
        <v>327</v>
      </c>
      <c r="AJ33" s="717"/>
      <c r="AK33" s="66"/>
      <c r="AL33" s="645" t="s">
        <v>324</v>
      </c>
      <c r="AM33" s="722" t="s">
        <v>476</v>
      </c>
      <c r="AN33" s="405" t="s">
        <v>400</v>
      </c>
      <c r="AO33" s="92"/>
      <c r="AQ33" s="92"/>
      <c r="AS33" s="405" t="s">
        <v>376</v>
      </c>
      <c r="AT33" s="722" t="s">
        <v>773</v>
      </c>
      <c r="AU33" s="682" t="s">
        <v>317</v>
      </c>
      <c r="AV33" s="717"/>
      <c r="AW33" s="66"/>
      <c r="AX33" s="645" t="s">
        <v>342</v>
      </c>
      <c r="AY33" s="722" t="s">
        <v>476</v>
      </c>
      <c r="AZ33" s="405" t="s">
        <v>412</v>
      </c>
      <c r="BA33" s="92"/>
      <c r="BC33" s="92"/>
      <c r="BE33" s="405" t="s">
        <v>401</v>
      </c>
      <c r="BF33" s="722" t="s">
        <v>778</v>
      </c>
      <c r="BG33" s="682" t="s">
        <v>315</v>
      </c>
      <c r="BH33" s="717"/>
      <c r="BI33" s="66"/>
      <c r="BJ33" s="645" t="s">
        <v>315</v>
      </c>
      <c r="BK33" s="722" t="s">
        <v>785</v>
      </c>
      <c r="BL33" s="405" t="s">
        <v>346</v>
      </c>
      <c r="BM33" s="92"/>
      <c r="BO33" s="92"/>
      <c r="BQ33" s="405" t="s">
        <v>325</v>
      </c>
      <c r="BR33" s="722" t="s">
        <v>773</v>
      </c>
      <c r="BS33" s="682" t="s">
        <v>328</v>
      </c>
      <c r="BT33" s="717"/>
      <c r="BU33" s="66"/>
      <c r="BV33" s="645" t="s">
        <v>331</v>
      </c>
      <c r="BW33" s="722" t="s">
        <v>780</v>
      </c>
      <c r="BX33" s="405" t="s">
        <v>373</v>
      </c>
      <c r="BY33" s="92"/>
      <c r="CA33" s="92"/>
      <c r="CC33" s="405" t="s">
        <v>396</v>
      </c>
      <c r="CD33" s="722" t="s">
        <v>435</v>
      </c>
      <c r="CE33" s="682" t="s">
        <v>342</v>
      </c>
      <c r="CF33" s="717"/>
      <c r="CG33" s="66"/>
      <c r="CH33" s="645" t="s">
        <v>742</v>
      </c>
      <c r="CI33" s="722" t="s">
        <v>463</v>
      </c>
      <c r="CJ33" s="405" t="s">
        <v>414</v>
      </c>
      <c r="CK33" s="92"/>
      <c r="CM33" s="92"/>
      <c r="CO33" s="405" t="s">
        <v>373</v>
      </c>
      <c r="CP33" s="722" t="s">
        <v>780</v>
      </c>
      <c r="CQ33" s="682" t="s">
        <v>324</v>
      </c>
      <c r="CR33" s="717"/>
      <c r="CS33" s="66"/>
      <c r="CT33" s="645" t="s">
        <v>331</v>
      </c>
      <c r="CU33" s="722" t="s">
        <v>778</v>
      </c>
      <c r="CV33" s="405" t="s">
        <v>375</v>
      </c>
      <c r="CW33" s="92"/>
      <c r="CY33" s="92"/>
      <c r="DA33" s="405" t="s">
        <v>408</v>
      </c>
      <c r="DB33" s="722" t="s">
        <v>477</v>
      </c>
      <c r="DC33" s="682" t="s">
        <v>327</v>
      </c>
      <c r="DD33" s="717"/>
      <c r="DE33" s="66"/>
      <c r="DF33" s="645" t="s">
        <v>325</v>
      </c>
      <c r="DG33" s="782" t="s">
        <v>780</v>
      </c>
      <c r="DH33" s="405" t="s">
        <v>373</v>
      </c>
      <c r="DI33" s="92"/>
      <c r="DL33" s="55"/>
      <c r="DM33" s="405" t="s">
        <v>391</v>
      </c>
      <c r="DN33" s="722" t="s">
        <v>477</v>
      </c>
      <c r="DO33" s="682" t="s">
        <v>327</v>
      </c>
      <c r="DP33" s="717"/>
      <c r="DQ33" s="66"/>
      <c r="DR33" s="645" t="s">
        <v>369</v>
      </c>
      <c r="DS33" s="722" t="s">
        <v>781</v>
      </c>
      <c r="DT33" s="405" t="s">
        <v>337</v>
      </c>
      <c r="DU33" s="92"/>
      <c r="DX33" s="55"/>
      <c r="DY33" s="405" t="s">
        <v>317</v>
      </c>
      <c r="DZ33" s="722" t="s">
        <v>441</v>
      </c>
      <c r="EA33" s="682" t="s">
        <v>342</v>
      </c>
      <c r="EB33" s="717"/>
      <c r="EC33" s="66"/>
      <c r="ED33" s="645" t="s">
        <v>317</v>
      </c>
      <c r="EE33" s="722" t="s">
        <v>427</v>
      </c>
      <c r="EF33" s="405" t="s">
        <v>408</v>
      </c>
      <c r="EG33" s="92"/>
      <c r="EI33" s="92"/>
      <c r="EK33" s="405" t="s">
        <v>400</v>
      </c>
      <c r="EL33" s="722" t="s">
        <v>475</v>
      </c>
      <c r="EM33" s="682" t="s">
        <v>327</v>
      </c>
      <c r="EN33" s="717"/>
      <c r="EO33" s="66"/>
      <c r="EP33" s="645" t="s">
        <v>373</v>
      </c>
      <c r="EQ33" s="722" t="s">
        <v>441</v>
      </c>
      <c r="ER33" s="405" t="s">
        <v>412</v>
      </c>
      <c r="ES33" s="92"/>
      <c r="EV33" s="55"/>
      <c r="EW33" s="405" t="s">
        <v>410</v>
      </c>
      <c r="EX33" s="782" t="s">
        <v>370</v>
      </c>
      <c r="EY33" s="682" t="s">
        <v>315</v>
      </c>
      <c r="EZ33" s="717"/>
      <c r="FA33" s="66"/>
      <c r="FB33" s="645" t="s">
        <v>317</v>
      </c>
      <c r="FC33" s="242" t="s">
        <v>463</v>
      </c>
      <c r="FD33" s="405" t="s">
        <v>328</v>
      </c>
      <c r="FE33" s="92"/>
      <c r="FH33" s="55"/>
      <c r="FI33" s="405" t="s">
        <v>411</v>
      </c>
      <c r="FJ33" s="782" t="s">
        <v>370</v>
      </c>
      <c r="FK33" s="682" t="s">
        <v>324</v>
      </c>
      <c r="FL33" s="717"/>
      <c r="FM33" s="66"/>
      <c r="FN33" s="645" t="s">
        <v>379</v>
      </c>
      <c r="FO33" s="722" t="s">
        <v>390</v>
      </c>
      <c r="FP33" s="405" t="s">
        <v>377</v>
      </c>
      <c r="FQ33" s="92"/>
      <c r="FT33" s="55"/>
      <c r="FU33" s="405" t="s">
        <v>343</v>
      </c>
      <c r="FV33" s="722" t="s">
        <v>441</v>
      </c>
      <c r="FW33" s="682" t="s">
        <v>342</v>
      </c>
      <c r="FX33" s="717"/>
    </row>
    <row r="34">
      <c r="A34" s="754">
        <v>1.0</v>
      </c>
      <c r="B34" s="755">
        <v>20.0</v>
      </c>
      <c r="C34" s="756" t="str">
        <f>'Schedule | 2 Division'!E32</f>
        <v>The Soulless Team</v>
      </c>
      <c r="D34" s="790">
        <f t="shared" ref="D34:E34" si="47">BN81</f>
        <v>2</v>
      </c>
      <c r="E34" s="790">
        <f t="shared" si="47"/>
        <v>0</v>
      </c>
      <c r="F34" s="756" t="str">
        <f>'Schedule | 2 Division'!I32</f>
        <v>Aterion Esports</v>
      </c>
      <c r="G34" s="755" t="str">
        <f t="shared" si="12"/>
        <v>The Soulless Team</v>
      </c>
      <c r="H34" s="759" t="str">
        <f t="shared" si="13"/>
        <v/>
      </c>
      <c r="I34" s="760" t="str">
        <f t="shared" si="14"/>
        <v/>
      </c>
      <c r="J34" s="771" t="str">
        <f t="shared" si="15"/>
        <v>Aterion Esports</v>
      </c>
      <c r="K34" s="733"/>
      <c r="L34" s="717"/>
      <c r="M34" s="66"/>
      <c r="N34" s="645" t="s">
        <v>389</v>
      </c>
      <c r="O34" s="722" t="s">
        <v>773</v>
      </c>
      <c r="P34" s="405" t="s">
        <v>411</v>
      </c>
      <c r="Q34" s="92"/>
      <c r="S34" s="92"/>
      <c r="U34" s="405" t="s">
        <v>361</v>
      </c>
      <c r="V34" s="722" t="s">
        <v>473</v>
      </c>
      <c r="W34" s="682" t="s">
        <v>389</v>
      </c>
      <c r="X34" s="717"/>
      <c r="Y34" s="66"/>
      <c r="Z34" s="645" t="s">
        <v>483</v>
      </c>
      <c r="AA34" s="722" t="s">
        <v>457</v>
      </c>
      <c r="AB34" s="405" t="s">
        <v>389</v>
      </c>
      <c r="AC34" s="92"/>
      <c r="AE34" s="92"/>
      <c r="AG34" s="405" t="s">
        <v>375</v>
      </c>
      <c r="AH34" s="722" t="s">
        <v>479</v>
      </c>
      <c r="AI34" s="682" t="s">
        <v>408</v>
      </c>
      <c r="AJ34" s="717"/>
      <c r="AK34" s="66"/>
      <c r="AL34" s="645" t="s">
        <v>369</v>
      </c>
      <c r="AM34" s="722" t="s">
        <v>474</v>
      </c>
      <c r="AN34" s="405" t="s">
        <v>368</v>
      </c>
      <c r="AO34" s="92"/>
      <c r="AQ34" s="92"/>
      <c r="AS34" s="405" t="s">
        <v>384</v>
      </c>
      <c r="AT34" s="722" t="s">
        <v>390</v>
      </c>
      <c r="AU34" s="682" t="s">
        <v>375</v>
      </c>
      <c r="AV34" s="717"/>
      <c r="AW34" s="66"/>
      <c r="AX34" s="645" t="s">
        <v>337</v>
      </c>
      <c r="AY34" s="722" t="s">
        <v>771</v>
      </c>
      <c r="AZ34" s="405" t="s">
        <v>375</v>
      </c>
      <c r="BA34" s="92"/>
      <c r="BC34" s="92"/>
      <c r="BE34" s="405" t="s">
        <v>361</v>
      </c>
      <c r="BF34" s="722" t="s">
        <v>435</v>
      </c>
      <c r="BG34" s="682" t="s">
        <v>384</v>
      </c>
      <c r="BH34" s="717"/>
      <c r="BI34" s="66"/>
      <c r="BJ34" s="645"/>
      <c r="BK34" s="722" t="s">
        <v>627</v>
      </c>
      <c r="BL34" s="405" t="s">
        <v>348</v>
      </c>
      <c r="BM34" s="92"/>
      <c r="BO34" s="92"/>
      <c r="BQ34" s="405" t="s">
        <v>401</v>
      </c>
      <c r="BR34" s="722" t="s">
        <v>390</v>
      </c>
      <c r="BS34" s="682" t="s">
        <v>384</v>
      </c>
      <c r="BT34" s="717"/>
      <c r="BU34" s="66"/>
      <c r="BV34" s="645" t="s">
        <v>352</v>
      </c>
      <c r="BW34" s="722" t="s">
        <v>370</v>
      </c>
      <c r="BX34" s="405" t="s">
        <v>409</v>
      </c>
      <c r="BY34" s="92"/>
      <c r="CA34" s="92"/>
      <c r="CC34" s="405" t="s">
        <v>414</v>
      </c>
      <c r="CD34" s="722" t="s">
        <v>778</v>
      </c>
      <c r="CE34" s="682" t="s">
        <v>434</v>
      </c>
      <c r="CF34" s="717"/>
      <c r="CG34" s="66"/>
      <c r="CH34" s="645" t="s">
        <v>389</v>
      </c>
      <c r="CI34" s="722" t="s">
        <v>425</v>
      </c>
      <c r="CJ34" s="405" t="s">
        <v>368</v>
      </c>
      <c r="CK34" s="92"/>
      <c r="CM34" s="92"/>
      <c r="CO34" s="405" t="s">
        <v>745</v>
      </c>
      <c r="CP34" s="722" t="s">
        <v>370</v>
      </c>
      <c r="CQ34" s="682" t="s">
        <v>354</v>
      </c>
      <c r="CR34" s="717"/>
      <c r="CS34" s="66"/>
      <c r="CT34" s="645" t="s">
        <v>322</v>
      </c>
      <c r="CU34" s="722" t="s">
        <v>776</v>
      </c>
      <c r="CV34" s="405" t="s">
        <v>368</v>
      </c>
      <c r="CW34" s="92"/>
      <c r="CY34" s="92"/>
      <c r="DA34" s="405" t="s">
        <v>384</v>
      </c>
      <c r="DB34" s="722" t="s">
        <v>479</v>
      </c>
      <c r="DC34" s="682" t="s">
        <v>377</v>
      </c>
      <c r="DD34" s="717"/>
      <c r="DE34" s="66"/>
      <c r="DF34" s="645" t="s">
        <v>368</v>
      </c>
      <c r="DG34" s="782" t="s">
        <v>344</v>
      </c>
      <c r="DH34" s="405" t="s">
        <v>352</v>
      </c>
      <c r="DI34" s="92"/>
      <c r="DL34" s="55"/>
      <c r="DM34" s="405" t="s">
        <v>328</v>
      </c>
      <c r="DN34" s="722" t="s">
        <v>479</v>
      </c>
      <c r="DO34" s="682" t="s">
        <v>434</v>
      </c>
      <c r="DP34" s="717"/>
      <c r="DQ34" s="66"/>
      <c r="DR34" s="645" t="s">
        <v>387</v>
      </c>
      <c r="DS34" s="722" t="s">
        <v>417</v>
      </c>
      <c r="DT34" s="405" t="s">
        <v>418</v>
      </c>
      <c r="DU34" s="92"/>
      <c r="DX34" s="55"/>
      <c r="DY34" s="405" t="s">
        <v>414</v>
      </c>
      <c r="DZ34" s="722" t="s">
        <v>421</v>
      </c>
      <c r="EA34" s="682" t="s">
        <v>376</v>
      </c>
      <c r="EB34" s="717"/>
      <c r="EC34" s="66"/>
      <c r="ED34" s="645" t="s">
        <v>384</v>
      </c>
      <c r="EE34" s="722" t="s">
        <v>605</v>
      </c>
      <c r="EF34" s="405" t="s">
        <v>375</v>
      </c>
      <c r="EG34" s="92"/>
      <c r="EI34" s="92"/>
      <c r="EK34" s="405" t="s">
        <v>483</v>
      </c>
      <c r="EL34" s="722" t="s">
        <v>479</v>
      </c>
      <c r="EM34" s="682" t="s">
        <v>401</v>
      </c>
      <c r="EN34" s="717"/>
      <c r="EO34" s="66"/>
      <c r="EP34" s="645" t="s">
        <v>337</v>
      </c>
      <c r="EQ34" s="722" t="s">
        <v>421</v>
      </c>
      <c r="ER34" s="405" t="s">
        <v>377</v>
      </c>
      <c r="ES34" s="92"/>
      <c r="EV34" s="55"/>
      <c r="EW34" s="405" t="s">
        <v>391</v>
      </c>
      <c r="EX34" s="782" t="s">
        <v>780</v>
      </c>
      <c r="EY34" s="682" t="s">
        <v>325</v>
      </c>
      <c r="EZ34" s="717"/>
      <c r="FA34" s="66"/>
      <c r="FB34" s="645" t="s">
        <v>434</v>
      </c>
      <c r="FC34" s="242" t="s">
        <v>457</v>
      </c>
      <c r="FD34" s="405" t="s">
        <v>332</v>
      </c>
      <c r="FE34" s="92"/>
      <c r="FH34" s="55"/>
      <c r="FI34" s="405" t="s">
        <v>389</v>
      </c>
      <c r="FJ34" s="782" t="s">
        <v>786</v>
      </c>
      <c r="FK34" s="682" t="s">
        <v>315</v>
      </c>
      <c r="FL34" s="717"/>
      <c r="FM34" s="66"/>
      <c r="FN34" s="645" t="s">
        <v>382</v>
      </c>
      <c r="FO34" s="722" t="s">
        <v>372</v>
      </c>
      <c r="FP34" s="405" t="s">
        <v>352</v>
      </c>
      <c r="FQ34" s="92"/>
      <c r="FT34" s="55"/>
      <c r="FU34" s="405" t="s">
        <v>327</v>
      </c>
      <c r="FV34" s="722" t="s">
        <v>421</v>
      </c>
      <c r="FW34" s="682" t="s">
        <v>384</v>
      </c>
      <c r="FX34" s="717"/>
    </row>
    <row r="35">
      <c r="A35" s="640">
        <v>1.0</v>
      </c>
      <c r="B35" s="740">
        <v>21.0</v>
      </c>
      <c r="C35" s="791" t="str">
        <f>'Schedule | 2 Division'!E35</f>
        <v>HARD GRIND</v>
      </c>
      <c r="D35" s="753">
        <f t="shared" ref="D35:E35" si="48">BZ21</f>
        <v>2</v>
      </c>
      <c r="E35" s="753">
        <f t="shared" si="48"/>
        <v>1</v>
      </c>
      <c r="F35" s="791" t="str">
        <f>'Schedule | 2 Division'!I35</f>
        <v>Suplex team</v>
      </c>
      <c r="G35" s="740" t="str">
        <f t="shared" si="12"/>
        <v/>
      </c>
      <c r="H35" s="693" t="str">
        <f t="shared" si="13"/>
        <v>HARD GRIND</v>
      </c>
      <c r="I35" s="693" t="str">
        <f t="shared" si="14"/>
        <v>Suplex team</v>
      </c>
      <c r="J35" s="751" t="str">
        <f t="shared" si="15"/>
        <v/>
      </c>
      <c r="K35" s="733"/>
      <c r="L35" s="717"/>
      <c r="M35" s="134"/>
      <c r="N35" s="744" t="s">
        <v>322</v>
      </c>
      <c r="O35" s="723" t="s">
        <v>372</v>
      </c>
      <c r="P35" s="745" t="s">
        <v>404</v>
      </c>
      <c r="Q35" s="375"/>
      <c r="R35" s="374"/>
      <c r="S35" s="375"/>
      <c r="T35" s="374"/>
      <c r="U35" s="745" t="s">
        <v>741</v>
      </c>
      <c r="V35" s="723" t="s">
        <v>479</v>
      </c>
      <c r="W35" s="746" t="s">
        <v>317</v>
      </c>
      <c r="X35" s="717"/>
      <c r="Y35" s="134"/>
      <c r="Z35" s="744" t="s">
        <v>384</v>
      </c>
      <c r="AA35" s="723" t="s">
        <v>426</v>
      </c>
      <c r="AB35" s="745" t="s">
        <v>315</v>
      </c>
      <c r="AC35" s="375"/>
      <c r="AD35" s="374"/>
      <c r="AE35" s="375"/>
      <c r="AF35" s="374"/>
      <c r="AG35" s="745" t="s">
        <v>387</v>
      </c>
      <c r="AH35" s="723" t="s">
        <v>482</v>
      </c>
      <c r="AI35" s="746" t="s">
        <v>391</v>
      </c>
      <c r="AJ35" s="717"/>
      <c r="AK35" s="134"/>
      <c r="AL35" s="744" t="s">
        <v>434</v>
      </c>
      <c r="AM35" s="722" t="s">
        <v>771</v>
      </c>
      <c r="AN35" s="745" t="s">
        <v>380</v>
      </c>
      <c r="AO35" s="375"/>
      <c r="AP35" s="374"/>
      <c r="AQ35" s="375"/>
      <c r="AR35" s="374"/>
      <c r="AS35" s="745" t="s">
        <v>387</v>
      </c>
      <c r="AT35" s="723" t="s">
        <v>372</v>
      </c>
      <c r="AU35" s="746" t="s">
        <v>373</v>
      </c>
      <c r="AV35" s="717"/>
      <c r="AW35" s="134"/>
      <c r="AX35" s="744" t="s">
        <v>385</v>
      </c>
      <c r="AY35" s="722" t="s">
        <v>474</v>
      </c>
      <c r="AZ35" s="745" t="s">
        <v>354</v>
      </c>
      <c r="BA35" s="375"/>
      <c r="BB35" s="374"/>
      <c r="BC35" s="375"/>
      <c r="BD35" s="374"/>
      <c r="BE35" s="745" t="s">
        <v>348</v>
      </c>
      <c r="BF35" s="723" t="s">
        <v>784</v>
      </c>
      <c r="BG35" s="746" t="s">
        <v>373</v>
      </c>
      <c r="BH35" s="717"/>
      <c r="BI35" s="134"/>
      <c r="BJ35" s="744" t="s">
        <v>788</v>
      </c>
      <c r="BK35" s="723" t="s">
        <v>428</v>
      </c>
      <c r="BL35" s="745" t="s">
        <v>411</v>
      </c>
      <c r="BM35" s="375"/>
      <c r="BN35" s="374"/>
      <c r="BO35" s="375"/>
      <c r="BP35" s="374"/>
      <c r="BQ35" s="745" t="s">
        <v>374</v>
      </c>
      <c r="BR35" s="723" t="s">
        <v>345</v>
      </c>
      <c r="BS35" s="746" t="s">
        <v>375</v>
      </c>
      <c r="BT35" s="717"/>
      <c r="BU35" s="134"/>
      <c r="BV35" s="744" t="s">
        <v>405</v>
      </c>
      <c r="BW35" s="723" t="s">
        <v>344</v>
      </c>
      <c r="BX35" s="745" t="s">
        <v>407</v>
      </c>
      <c r="BY35" s="375"/>
      <c r="BZ35" s="374"/>
      <c r="CA35" s="375"/>
      <c r="CB35" s="374"/>
      <c r="CC35" s="745" t="s">
        <v>456</v>
      </c>
      <c r="CD35" s="723" t="s">
        <v>775</v>
      </c>
      <c r="CE35" s="746" t="s">
        <v>369</v>
      </c>
      <c r="CF35" s="717"/>
      <c r="CG35" s="134"/>
      <c r="CH35" s="744" t="s">
        <v>369</v>
      </c>
      <c r="CI35" s="723" t="s">
        <v>417</v>
      </c>
      <c r="CJ35" s="745" t="s">
        <v>322</v>
      </c>
      <c r="CK35" s="375"/>
      <c r="CL35" s="374"/>
      <c r="CM35" s="375"/>
      <c r="CN35" s="374"/>
      <c r="CO35" s="745" t="s">
        <v>403</v>
      </c>
      <c r="CP35" s="723" t="s">
        <v>460</v>
      </c>
      <c r="CQ35" s="746" t="s">
        <v>434</v>
      </c>
      <c r="CR35" s="717"/>
      <c r="CS35" s="134"/>
      <c r="CT35" s="744" t="s">
        <v>19</v>
      </c>
      <c r="CU35" s="723" t="s">
        <v>775</v>
      </c>
      <c r="CV35" s="745" t="s">
        <v>342</v>
      </c>
      <c r="CW35" s="375"/>
      <c r="CX35" s="374"/>
      <c r="CY35" s="375"/>
      <c r="CZ35" s="374"/>
      <c r="DA35" s="745" t="s">
        <v>385</v>
      </c>
      <c r="DB35" s="723" t="s">
        <v>482</v>
      </c>
      <c r="DC35" s="746" t="s">
        <v>362</v>
      </c>
      <c r="DD35" s="717"/>
      <c r="DE35" s="134"/>
      <c r="DF35" s="744" t="s">
        <v>348</v>
      </c>
      <c r="DG35" s="792" t="s">
        <v>370</v>
      </c>
      <c r="DH35" s="745" t="s">
        <v>19</v>
      </c>
      <c r="DI35" s="375"/>
      <c r="DJ35" s="374"/>
      <c r="DK35" s="374"/>
      <c r="DL35" s="386"/>
      <c r="DM35" s="745" t="s">
        <v>387</v>
      </c>
      <c r="DN35" s="723" t="s">
        <v>482</v>
      </c>
      <c r="DO35" s="746" t="s">
        <v>409</v>
      </c>
      <c r="DP35" s="717"/>
      <c r="DQ35" s="134"/>
      <c r="DR35" s="744" t="s">
        <v>346</v>
      </c>
      <c r="DS35" s="722" t="s">
        <v>425</v>
      </c>
      <c r="DT35" s="745" t="s">
        <v>341</v>
      </c>
      <c r="DU35" s="375"/>
      <c r="DV35" s="374"/>
      <c r="DW35" s="374"/>
      <c r="DX35" s="386"/>
      <c r="DY35" s="745" t="s">
        <v>368</v>
      </c>
      <c r="DZ35" s="723" t="s">
        <v>639</v>
      </c>
      <c r="EA35" s="746" t="s">
        <v>354</v>
      </c>
      <c r="EB35" s="717"/>
      <c r="EC35" s="134"/>
      <c r="ED35" s="744" t="s">
        <v>377</v>
      </c>
      <c r="EE35" s="723" t="s">
        <v>781</v>
      </c>
      <c r="EF35" s="745" t="s">
        <v>346</v>
      </c>
      <c r="EG35" s="375"/>
      <c r="EH35" s="374"/>
      <c r="EI35" s="375"/>
      <c r="EJ35" s="374"/>
      <c r="EK35" s="745" t="s">
        <v>352</v>
      </c>
      <c r="EL35" s="723" t="s">
        <v>482</v>
      </c>
      <c r="EM35" s="746" t="s">
        <v>414</v>
      </c>
      <c r="EN35" s="717"/>
      <c r="EO35" s="134"/>
      <c r="EP35" s="744" t="s">
        <v>346</v>
      </c>
      <c r="EQ35" s="723" t="s">
        <v>425</v>
      </c>
      <c r="ER35" s="745" t="s">
        <v>354</v>
      </c>
      <c r="ES35" s="375"/>
      <c r="ET35" s="374"/>
      <c r="EU35" s="374"/>
      <c r="EV35" s="386"/>
      <c r="EW35" s="745" t="s">
        <v>352</v>
      </c>
      <c r="EX35" s="792" t="s">
        <v>344</v>
      </c>
      <c r="EY35" s="746" t="s">
        <v>400</v>
      </c>
      <c r="EZ35" s="717"/>
      <c r="FA35" s="134"/>
      <c r="FB35" s="744" t="s">
        <v>384</v>
      </c>
      <c r="FC35" s="391" t="s">
        <v>774</v>
      </c>
      <c r="FD35" s="745" t="s">
        <v>346</v>
      </c>
      <c r="FE35" s="375"/>
      <c r="FF35" s="374"/>
      <c r="FG35" s="374"/>
      <c r="FH35" s="386"/>
      <c r="FI35" s="745" t="s">
        <v>741</v>
      </c>
      <c r="FJ35" s="792" t="s">
        <v>316</v>
      </c>
      <c r="FK35" s="746" t="s">
        <v>369</v>
      </c>
      <c r="FL35" s="717"/>
      <c r="FM35" s="134"/>
      <c r="FN35" s="744" t="s">
        <v>322</v>
      </c>
      <c r="FO35" s="723" t="s">
        <v>323</v>
      </c>
      <c r="FP35" s="745" t="s">
        <v>332</v>
      </c>
      <c r="FQ35" s="375"/>
      <c r="FR35" s="374"/>
      <c r="FS35" s="374"/>
      <c r="FT35" s="386"/>
      <c r="FU35" s="745" t="s">
        <v>328</v>
      </c>
      <c r="FV35" s="723" t="s">
        <v>425</v>
      </c>
      <c r="FW35" s="746" t="s">
        <v>434</v>
      </c>
      <c r="FX35" s="717"/>
    </row>
    <row r="36">
      <c r="A36" s="640">
        <v>1.0</v>
      </c>
      <c r="B36" s="740">
        <v>22.0</v>
      </c>
      <c r="C36" s="741" t="str">
        <f>'Schedule | 2 Division'!E36</f>
        <v>The Soulless Team</v>
      </c>
      <c r="D36" s="753">
        <f t="shared" ref="D36:E36" si="49">BZ41</f>
        <v>1</v>
      </c>
      <c r="E36" s="753">
        <f t="shared" si="49"/>
        <v>2</v>
      </c>
      <c r="F36" s="741" t="str">
        <f>'Schedule | 2 Division'!I36</f>
        <v>Omnix</v>
      </c>
      <c r="G36" s="740" t="str">
        <f t="shared" si="12"/>
        <v/>
      </c>
      <c r="H36" s="685" t="str">
        <f t="shared" si="13"/>
        <v>Omnix</v>
      </c>
      <c r="I36" s="688" t="str">
        <f t="shared" si="14"/>
        <v>The Soulless Team</v>
      </c>
      <c r="J36" s="751" t="str">
        <f t="shared" si="15"/>
        <v/>
      </c>
      <c r="K36" s="733"/>
      <c r="L36" s="717"/>
      <c r="M36" s="656">
        <v>3.0</v>
      </c>
      <c r="N36" s="645"/>
      <c r="O36" s="722"/>
      <c r="P36" s="405"/>
      <c r="Q36" s="682"/>
      <c r="R36" s="730"/>
      <c r="S36" s="731"/>
      <c r="T36" s="405"/>
      <c r="U36" s="405"/>
      <c r="V36" s="722"/>
      <c r="W36" s="682"/>
      <c r="X36" s="717"/>
      <c r="Y36" s="656">
        <v>3.0</v>
      </c>
      <c r="Z36" s="645" t="s">
        <v>331</v>
      </c>
      <c r="AA36" s="722" t="s">
        <v>461</v>
      </c>
      <c r="AB36" s="405" t="s">
        <v>317</v>
      </c>
      <c r="AC36" s="682" t="s">
        <v>318</v>
      </c>
      <c r="AD36" s="730" t="s">
        <v>319</v>
      </c>
      <c r="AE36" s="731" t="s">
        <v>320</v>
      </c>
      <c r="AF36" s="405" t="s">
        <v>321</v>
      </c>
      <c r="AG36" s="405" t="s">
        <v>322</v>
      </c>
      <c r="AH36" s="722" t="s">
        <v>473</v>
      </c>
      <c r="AI36" s="682" t="s">
        <v>325</v>
      </c>
      <c r="AJ36" s="717"/>
      <c r="AK36" s="656">
        <v>3.0</v>
      </c>
      <c r="AL36" s="645"/>
      <c r="AM36" s="727"/>
      <c r="AN36" s="405"/>
      <c r="AO36" s="682"/>
      <c r="AP36" s="730"/>
      <c r="AQ36" s="731"/>
      <c r="AR36" s="405"/>
      <c r="AS36" s="405"/>
      <c r="AT36" s="722"/>
      <c r="AU36" s="682"/>
      <c r="AV36" s="717"/>
      <c r="AW36" s="656">
        <v>3.0</v>
      </c>
      <c r="AX36" s="645"/>
      <c r="AY36" s="727"/>
      <c r="AZ36" s="405"/>
      <c r="BA36" s="682"/>
      <c r="BB36" s="730"/>
      <c r="BC36" s="731"/>
      <c r="BD36" s="405"/>
      <c r="BE36" s="405"/>
      <c r="BF36" s="722"/>
      <c r="BG36" s="682"/>
      <c r="BH36" s="717"/>
      <c r="BI36" s="656">
        <v>3.0</v>
      </c>
      <c r="BJ36" s="645" t="s">
        <v>324</v>
      </c>
      <c r="BK36" s="722" t="s">
        <v>419</v>
      </c>
      <c r="BL36" s="405" t="s">
        <v>400</v>
      </c>
      <c r="BM36" s="682" t="s">
        <v>318</v>
      </c>
      <c r="BN36" s="730" t="s">
        <v>319</v>
      </c>
      <c r="BO36" s="731" t="s">
        <v>320</v>
      </c>
      <c r="BP36" s="405" t="s">
        <v>321</v>
      </c>
      <c r="BQ36" s="405" t="s">
        <v>325</v>
      </c>
      <c r="BR36" s="722" t="s">
        <v>773</v>
      </c>
      <c r="BS36" s="682" t="s">
        <v>342</v>
      </c>
      <c r="BT36" s="717"/>
      <c r="BU36" s="656">
        <v>3.0</v>
      </c>
      <c r="BV36" s="645" t="s">
        <v>325</v>
      </c>
      <c r="BW36" s="722" t="s">
        <v>344</v>
      </c>
      <c r="BX36" s="405" t="s">
        <v>342</v>
      </c>
      <c r="BY36" s="682" t="s">
        <v>321</v>
      </c>
      <c r="BZ36" s="730" t="s">
        <v>320</v>
      </c>
      <c r="CA36" s="731" t="s">
        <v>319</v>
      </c>
      <c r="CB36" s="405" t="s">
        <v>318</v>
      </c>
      <c r="CC36" s="405" t="s">
        <v>317</v>
      </c>
      <c r="CD36" s="727" t="s">
        <v>441</v>
      </c>
      <c r="CE36" s="682" t="s">
        <v>327</v>
      </c>
      <c r="CF36" s="717"/>
      <c r="CG36" s="656">
        <v>3.0</v>
      </c>
      <c r="CH36" s="645" t="s">
        <v>324</v>
      </c>
      <c r="CI36" s="722" t="s">
        <v>425</v>
      </c>
      <c r="CJ36" s="405" t="s">
        <v>327</v>
      </c>
      <c r="CK36" s="682" t="s">
        <v>321</v>
      </c>
      <c r="CL36" s="730" t="s">
        <v>320</v>
      </c>
      <c r="CM36" s="731" t="s">
        <v>319</v>
      </c>
      <c r="CN36" s="405" t="s">
        <v>318</v>
      </c>
      <c r="CO36" s="405" t="s">
        <v>342</v>
      </c>
      <c r="CP36" s="722" t="s">
        <v>344</v>
      </c>
      <c r="CQ36" s="682" t="s">
        <v>325</v>
      </c>
      <c r="CR36" s="717"/>
      <c r="CS36" s="656">
        <v>3.0</v>
      </c>
      <c r="CT36" s="645" t="s">
        <v>337</v>
      </c>
      <c r="CU36" s="727" t="s">
        <v>435</v>
      </c>
      <c r="CV36" s="405" t="s">
        <v>322</v>
      </c>
      <c r="CW36" s="682" t="s">
        <v>321</v>
      </c>
      <c r="CX36" s="730" t="s">
        <v>320</v>
      </c>
      <c r="CY36" s="731" t="s">
        <v>319</v>
      </c>
      <c r="CZ36" s="405" t="s">
        <v>318</v>
      </c>
      <c r="DA36" s="405" t="s">
        <v>409</v>
      </c>
      <c r="DB36" s="722" t="s">
        <v>473</v>
      </c>
      <c r="DC36" s="682" t="s">
        <v>337</v>
      </c>
      <c r="DD36" s="717"/>
      <c r="DE36" s="656">
        <v>3.0</v>
      </c>
      <c r="DF36" s="645" t="s">
        <v>324</v>
      </c>
      <c r="DG36" s="782" t="s">
        <v>344</v>
      </c>
      <c r="DH36" s="405" t="s">
        <v>352</v>
      </c>
      <c r="DI36" s="682" t="s">
        <v>321</v>
      </c>
      <c r="DJ36" s="730" t="s">
        <v>320</v>
      </c>
      <c r="DK36" s="730" t="s">
        <v>319</v>
      </c>
      <c r="DL36" s="645" t="s">
        <v>318</v>
      </c>
      <c r="DM36" s="405" t="s">
        <v>361</v>
      </c>
      <c r="DN36" s="722" t="s">
        <v>473</v>
      </c>
      <c r="DO36" s="682" t="s">
        <v>317</v>
      </c>
      <c r="DP36" s="717"/>
      <c r="DQ36" s="656">
        <v>3.0</v>
      </c>
      <c r="DR36" s="645"/>
      <c r="DS36" s="722"/>
      <c r="DT36" s="405"/>
      <c r="DU36" s="682"/>
      <c r="DV36" s="730"/>
      <c r="DW36" s="730"/>
      <c r="DX36" s="645"/>
      <c r="DY36" s="405"/>
      <c r="DZ36" s="722"/>
      <c r="EA36" s="682"/>
      <c r="EB36" s="717"/>
      <c r="EC36" s="656">
        <v>3.0</v>
      </c>
      <c r="ED36" s="645"/>
      <c r="EE36" s="722"/>
      <c r="EF36" s="405"/>
      <c r="EG36" s="682"/>
      <c r="EH36" s="730"/>
      <c r="EI36" s="730"/>
      <c r="EJ36" s="645"/>
      <c r="EK36" s="405"/>
      <c r="EL36" s="722"/>
      <c r="EM36" s="682"/>
      <c r="EN36" s="717"/>
      <c r="EO36" s="656">
        <v>3.0</v>
      </c>
      <c r="EP36" s="645"/>
      <c r="EQ36" s="722"/>
      <c r="ER36" s="405"/>
      <c r="ES36" s="682"/>
      <c r="ET36" s="730"/>
      <c r="EU36" s="730"/>
      <c r="EV36" s="645"/>
      <c r="EW36" s="405"/>
      <c r="EX36" s="722"/>
      <c r="EY36" s="682"/>
      <c r="EZ36" s="717"/>
      <c r="FA36" s="656">
        <v>3.0</v>
      </c>
      <c r="FB36" s="645"/>
      <c r="FC36" s="752"/>
      <c r="FD36" s="405"/>
      <c r="FE36" s="682"/>
      <c r="FF36" s="730"/>
      <c r="FG36" s="730"/>
      <c r="FH36" s="645"/>
      <c r="FI36" s="405"/>
      <c r="FJ36" s="722"/>
      <c r="FK36" s="682"/>
      <c r="FL36" s="717"/>
      <c r="FM36" s="656">
        <v>3.0</v>
      </c>
      <c r="FN36" s="645"/>
      <c r="FO36" s="722"/>
      <c r="FP36" s="405"/>
      <c r="FQ36" s="682"/>
      <c r="FR36" s="730"/>
      <c r="FS36" s="730"/>
      <c r="FT36" s="645"/>
      <c r="FU36" s="405"/>
      <c r="FV36" s="722"/>
      <c r="FW36" s="682"/>
      <c r="FX36" s="717"/>
    </row>
    <row r="37">
      <c r="A37" s="640">
        <v>1.0</v>
      </c>
      <c r="B37" s="740">
        <v>23.0</v>
      </c>
      <c r="C37" s="741" t="str">
        <f>'Schedule | 2 Division'!E37</f>
        <v>TSA White</v>
      </c>
      <c r="D37" s="753">
        <f t="shared" ref="D37:E37" si="50">BZ61</f>
        <v>2</v>
      </c>
      <c r="E37" s="753">
        <f t="shared" si="50"/>
        <v>1</v>
      </c>
      <c r="F37" s="741" t="str">
        <f>'Schedule | 2 Division'!I37</f>
        <v>Dark Phoenix</v>
      </c>
      <c r="G37" s="740" t="str">
        <f t="shared" si="12"/>
        <v/>
      </c>
      <c r="H37" s="685" t="str">
        <f t="shared" si="13"/>
        <v>TSA White</v>
      </c>
      <c r="I37" s="688" t="str">
        <f t="shared" si="14"/>
        <v>Dark Phoenix</v>
      </c>
      <c r="J37" s="751" t="str">
        <f t="shared" si="15"/>
        <v/>
      </c>
      <c r="K37" s="733"/>
      <c r="L37" s="717"/>
      <c r="M37" s="66"/>
      <c r="N37" s="645"/>
      <c r="O37" s="722"/>
      <c r="P37" s="405"/>
      <c r="Q37" s="92"/>
      <c r="S37" s="92"/>
      <c r="U37" s="405"/>
      <c r="V37" s="722"/>
      <c r="W37" s="682"/>
      <c r="X37" s="717"/>
      <c r="Y37" s="66"/>
      <c r="Z37" s="645" t="s">
        <v>328</v>
      </c>
      <c r="AA37" s="722" t="s">
        <v>774</v>
      </c>
      <c r="AB37" s="405" t="s">
        <v>337</v>
      </c>
      <c r="AC37" s="92"/>
      <c r="AE37" s="92"/>
      <c r="AG37" s="405" t="s">
        <v>400</v>
      </c>
      <c r="AH37" s="722" t="s">
        <v>475</v>
      </c>
      <c r="AI37" s="682" t="s">
        <v>368</v>
      </c>
      <c r="AJ37" s="717"/>
      <c r="AK37" s="66"/>
      <c r="AL37" s="645"/>
      <c r="AM37" s="722"/>
      <c r="AN37" s="405"/>
      <c r="AO37" s="92"/>
      <c r="AQ37" s="92"/>
      <c r="AS37" s="405"/>
      <c r="AT37" s="722"/>
      <c r="AU37" s="682"/>
      <c r="AV37" s="717"/>
      <c r="AW37" s="66"/>
      <c r="AX37" s="645"/>
      <c r="AY37" s="722"/>
      <c r="AZ37" s="405"/>
      <c r="BA37" s="92"/>
      <c r="BC37" s="92"/>
      <c r="BE37" s="405"/>
      <c r="BF37" s="722"/>
      <c r="BG37" s="682"/>
      <c r="BH37" s="717"/>
      <c r="BI37" s="66"/>
      <c r="BJ37" s="645" t="s">
        <v>327</v>
      </c>
      <c r="BK37" s="722" t="s">
        <v>768</v>
      </c>
      <c r="BL37" s="405" t="s">
        <v>396</v>
      </c>
      <c r="BM37" s="92"/>
      <c r="BO37" s="92"/>
      <c r="BQ37" s="405" t="s">
        <v>384</v>
      </c>
      <c r="BR37" s="722" t="s">
        <v>390</v>
      </c>
      <c r="BS37" s="682" t="s">
        <v>328</v>
      </c>
      <c r="BT37" s="717"/>
      <c r="BU37" s="66"/>
      <c r="BV37" s="645" t="s">
        <v>324</v>
      </c>
      <c r="BW37" s="722" t="s">
        <v>370</v>
      </c>
      <c r="BX37" s="405" t="s">
        <v>369</v>
      </c>
      <c r="BY37" s="92"/>
      <c r="CA37" s="92"/>
      <c r="CC37" s="405" t="s">
        <v>322</v>
      </c>
      <c r="CD37" s="722" t="s">
        <v>435</v>
      </c>
      <c r="CE37" s="682" t="s">
        <v>389</v>
      </c>
      <c r="CF37" s="717"/>
      <c r="CG37" s="66"/>
      <c r="CH37" s="645" t="s">
        <v>317</v>
      </c>
      <c r="CI37" s="722" t="s">
        <v>463</v>
      </c>
      <c r="CJ37" s="405" t="s">
        <v>328</v>
      </c>
      <c r="CK37" s="92"/>
      <c r="CM37" s="92"/>
      <c r="CO37" s="405" t="s">
        <v>373</v>
      </c>
      <c r="CP37" s="722" t="s">
        <v>780</v>
      </c>
      <c r="CQ37" s="682" t="s">
        <v>337</v>
      </c>
      <c r="CR37" s="717"/>
      <c r="CS37" s="66"/>
      <c r="CT37" s="645" t="s">
        <v>369</v>
      </c>
      <c r="CU37" s="722" t="s">
        <v>441</v>
      </c>
      <c r="CV37" s="405" t="s">
        <v>317</v>
      </c>
      <c r="CW37" s="92"/>
      <c r="CY37" s="92"/>
      <c r="DA37" s="405" t="s">
        <v>331</v>
      </c>
      <c r="DB37" s="722" t="s">
        <v>475</v>
      </c>
      <c r="DC37" s="682" t="s">
        <v>369</v>
      </c>
      <c r="DD37" s="717"/>
      <c r="DE37" s="66"/>
      <c r="DF37" s="645" t="s">
        <v>342</v>
      </c>
      <c r="DG37" s="782" t="s">
        <v>786</v>
      </c>
      <c r="DH37" s="405" t="s">
        <v>400</v>
      </c>
      <c r="DI37" s="92"/>
      <c r="DL37" s="55"/>
      <c r="DM37" s="405" t="s">
        <v>343</v>
      </c>
      <c r="DN37" s="722" t="s">
        <v>475</v>
      </c>
      <c r="DO37" s="682" t="s">
        <v>327</v>
      </c>
      <c r="DP37" s="717"/>
      <c r="DQ37" s="66"/>
      <c r="DR37" s="645"/>
      <c r="DS37" s="722"/>
      <c r="DT37" s="405"/>
      <c r="DU37" s="92"/>
      <c r="DX37" s="55"/>
      <c r="DY37" s="405"/>
      <c r="DZ37" s="722"/>
      <c r="EA37" s="682"/>
      <c r="EB37" s="717"/>
      <c r="EC37" s="66"/>
      <c r="ED37" s="645"/>
      <c r="EE37" s="722"/>
      <c r="EF37" s="405"/>
      <c r="EG37" s="92"/>
      <c r="EJ37" s="55"/>
      <c r="EK37" s="405"/>
      <c r="EL37" s="722"/>
      <c r="EM37" s="682"/>
      <c r="EN37" s="717"/>
      <c r="EO37" s="66"/>
      <c r="EP37" s="645"/>
      <c r="EQ37" s="722"/>
      <c r="ER37" s="405"/>
      <c r="ES37" s="92"/>
      <c r="EV37" s="55"/>
      <c r="EW37" s="405"/>
      <c r="EX37" s="722"/>
      <c r="EY37" s="682"/>
      <c r="EZ37" s="717"/>
      <c r="FA37" s="66"/>
      <c r="FB37" s="645"/>
      <c r="FC37" s="606"/>
      <c r="FD37" s="405"/>
      <c r="FE37" s="92"/>
      <c r="FH37" s="55"/>
      <c r="FI37" s="405"/>
      <c r="FJ37" s="722"/>
      <c r="FK37" s="682"/>
      <c r="FL37" s="717"/>
      <c r="FM37" s="66"/>
      <c r="FN37" s="645"/>
      <c r="FO37" s="722"/>
      <c r="FP37" s="405"/>
      <c r="FQ37" s="92"/>
      <c r="FT37" s="55"/>
      <c r="FU37" s="405"/>
      <c r="FV37" s="722"/>
      <c r="FW37" s="682"/>
      <c r="FX37" s="717"/>
    </row>
    <row r="38">
      <c r="A38" s="754">
        <v>1.0</v>
      </c>
      <c r="B38" s="755">
        <v>24.0</v>
      </c>
      <c r="C38" s="756" t="str">
        <f>'Schedule | 2 Division'!E38</f>
        <v>Aterion Esports</v>
      </c>
      <c r="D38" s="790">
        <f t="shared" ref="D38:E38" si="51">BZ81</f>
        <v>2</v>
      </c>
      <c r="E38" s="790">
        <f t="shared" si="51"/>
        <v>1</v>
      </c>
      <c r="F38" s="756" t="str">
        <f>'Schedule | 2 Division'!I38</f>
        <v>INVISION</v>
      </c>
      <c r="G38" s="755" t="str">
        <f t="shared" si="12"/>
        <v/>
      </c>
      <c r="H38" s="759" t="str">
        <f t="shared" si="13"/>
        <v>Aterion Esports</v>
      </c>
      <c r="I38" s="760" t="str">
        <f t="shared" si="14"/>
        <v>INVISION</v>
      </c>
      <c r="J38" s="771" t="str">
        <f t="shared" si="15"/>
        <v/>
      </c>
      <c r="K38" s="733"/>
      <c r="L38" s="717"/>
      <c r="M38" s="66"/>
      <c r="N38" s="645"/>
      <c r="O38" s="722"/>
      <c r="P38" s="405"/>
      <c r="Q38" s="92"/>
      <c r="S38" s="92"/>
      <c r="U38" s="405"/>
      <c r="V38" s="722"/>
      <c r="W38" s="682"/>
      <c r="X38" s="717"/>
      <c r="Y38" s="66"/>
      <c r="Z38" s="645" t="s">
        <v>387</v>
      </c>
      <c r="AA38" s="722" t="s">
        <v>782</v>
      </c>
      <c r="AB38" s="405" t="s">
        <v>414</v>
      </c>
      <c r="AC38" s="92"/>
      <c r="AE38" s="92"/>
      <c r="AG38" s="405" t="s">
        <v>315</v>
      </c>
      <c r="AH38" s="722" t="s">
        <v>477</v>
      </c>
      <c r="AI38" s="682" t="s">
        <v>324</v>
      </c>
      <c r="AJ38" s="717"/>
      <c r="AK38" s="66"/>
      <c r="AL38" s="645"/>
      <c r="AM38" s="722"/>
      <c r="AN38" s="405"/>
      <c r="AO38" s="92"/>
      <c r="AQ38" s="92"/>
      <c r="AS38" s="405"/>
      <c r="AT38" s="722"/>
      <c r="AU38" s="682"/>
      <c r="AV38" s="717"/>
      <c r="AW38" s="66"/>
      <c r="AX38" s="645"/>
      <c r="AY38" s="722"/>
      <c r="AZ38" s="405"/>
      <c r="BA38" s="92"/>
      <c r="BC38" s="92"/>
      <c r="BE38" s="405"/>
      <c r="BF38" s="722"/>
      <c r="BG38" s="682"/>
      <c r="BH38" s="717"/>
      <c r="BI38" s="66"/>
      <c r="BJ38" s="645" t="s">
        <v>315</v>
      </c>
      <c r="BK38" s="722" t="s">
        <v>428</v>
      </c>
      <c r="BL38" s="405" t="s">
        <v>375</v>
      </c>
      <c r="BM38" s="92"/>
      <c r="BO38" s="92"/>
      <c r="BQ38" s="405" t="s">
        <v>434</v>
      </c>
      <c r="BR38" s="722" t="s">
        <v>779</v>
      </c>
      <c r="BS38" s="682" t="s">
        <v>328</v>
      </c>
      <c r="BT38" s="717"/>
      <c r="BU38" s="66"/>
      <c r="BV38" s="645" t="s">
        <v>337</v>
      </c>
      <c r="BW38" s="722" t="s">
        <v>780</v>
      </c>
      <c r="BX38" s="405" t="s">
        <v>373</v>
      </c>
      <c r="BY38" s="92"/>
      <c r="CA38" s="92"/>
      <c r="CC38" s="405" t="s">
        <v>315</v>
      </c>
      <c r="CD38" s="722" t="s">
        <v>776</v>
      </c>
      <c r="CE38" s="682" t="s">
        <v>328</v>
      </c>
      <c r="CF38" s="717"/>
      <c r="CG38" s="66"/>
      <c r="CH38" s="645" t="s">
        <v>315</v>
      </c>
      <c r="CI38" s="722" t="s">
        <v>417</v>
      </c>
      <c r="CJ38" s="405" t="s">
        <v>19</v>
      </c>
      <c r="CK38" s="92"/>
      <c r="CM38" s="92"/>
      <c r="CO38" s="405" t="s">
        <v>434</v>
      </c>
      <c r="CP38" s="722" t="s">
        <v>370</v>
      </c>
      <c r="CQ38" s="682" t="s">
        <v>331</v>
      </c>
      <c r="CR38" s="717"/>
      <c r="CS38" s="66"/>
      <c r="CT38" s="645" t="s">
        <v>325</v>
      </c>
      <c r="CU38" s="722" t="s">
        <v>776</v>
      </c>
      <c r="CV38" s="405" t="s">
        <v>348</v>
      </c>
      <c r="CW38" s="92"/>
      <c r="CY38" s="92"/>
      <c r="DA38" s="405" t="s">
        <v>470</v>
      </c>
      <c r="DB38" s="722" t="s">
        <v>477</v>
      </c>
      <c r="DC38" s="682" t="s">
        <v>325</v>
      </c>
      <c r="DD38" s="717"/>
      <c r="DE38" s="66"/>
      <c r="DF38" s="645" t="s">
        <v>325</v>
      </c>
      <c r="DG38" s="782" t="s">
        <v>370</v>
      </c>
      <c r="DH38" s="405" t="s">
        <v>19</v>
      </c>
      <c r="DI38" s="92"/>
      <c r="DL38" s="55"/>
      <c r="DM38" s="405" t="s">
        <v>315</v>
      </c>
      <c r="DN38" s="722" t="s">
        <v>477</v>
      </c>
      <c r="DO38" s="682" t="s">
        <v>387</v>
      </c>
      <c r="DP38" s="717"/>
      <c r="DQ38" s="66"/>
      <c r="DR38" s="645"/>
      <c r="DS38" s="722"/>
      <c r="DT38" s="405"/>
      <c r="DU38" s="92"/>
      <c r="DX38" s="55"/>
      <c r="DY38" s="405"/>
      <c r="DZ38" s="722"/>
      <c r="EA38" s="682"/>
      <c r="EB38" s="717"/>
      <c r="EC38" s="66"/>
      <c r="ED38" s="645"/>
      <c r="EE38" s="722"/>
      <c r="EF38" s="405"/>
      <c r="EG38" s="92"/>
      <c r="EJ38" s="55"/>
      <c r="EK38" s="405"/>
      <c r="EL38" s="722"/>
      <c r="EM38" s="682"/>
      <c r="EN38" s="717"/>
      <c r="EO38" s="66"/>
      <c r="EP38" s="645"/>
      <c r="EQ38" s="722"/>
      <c r="ER38" s="405"/>
      <c r="ES38" s="92"/>
      <c r="EV38" s="55"/>
      <c r="EW38" s="405"/>
      <c r="EX38" s="722"/>
      <c r="EY38" s="682"/>
      <c r="EZ38" s="717"/>
      <c r="FA38" s="66"/>
      <c r="FB38" s="645"/>
      <c r="FC38" s="606"/>
      <c r="FD38" s="405"/>
      <c r="FE38" s="92"/>
      <c r="FH38" s="55"/>
      <c r="FI38" s="405"/>
      <c r="FJ38" s="722"/>
      <c r="FK38" s="682"/>
      <c r="FL38" s="717"/>
      <c r="FM38" s="66"/>
      <c r="FN38" s="645"/>
      <c r="FO38" s="722"/>
      <c r="FP38" s="405"/>
      <c r="FQ38" s="92"/>
      <c r="FT38" s="55"/>
      <c r="FU38" s="405"/>
      <c r="FV38" s="722"/>
      <c r="FW38" s="682"/>
      <c r="FX38" s="717"/>
    </row>
    <row r="39" ht="18.0" customHeight="1">
      <c r="A39" s="640">
        <v>1.0</v>
      </c>
      <c r="B39" s="740">
        <v>25.0</v>
      </c>
      <c r="C39" s="741" t="str">
        <f>'Schedule | 2 Division'!E41</f>
        <v>Omnix</v>
      </c>
      <c r="D39" s="753">
        <f t="shared" ref="D39:E39" si="52">CL21</f>
        <v>0</v>
      </c>
      <c r="E39" s="753">
        <f t="shared" si="52"/>
        <v>2</v>
      </c>
      <c r="F39" s="741" t="str">
        <f>'Schedule | 2 Division'!I41</f>
        <v>Suplex team</v>
      </c>
      <c r="G39" s="740" t="str">
        <f t="shared" si="12"/>
        <v>Suplex team</v>
      </c>
      <c r="H39" s="685" t="str">
        <f t="shared" si="13"/>
        <v/>
      </c>
      <c r="I39" s="688" t="str">
        <f t="shared" si="14"/>
        <v/>
      </c>
      <c r="J39" s="785" t="str">
        <f t="shared" si="15"/>
        <v>Omnix</v>
      </c>
      <c r="K39" s="732"/>
      <c r="L39" s="712"/>
      <c r="M39" s="66"/>
      <c r="N39" s="645"/>
      <c r="O39" s="722"/>
      <c r="P39" s="405"/>
      <c r="Q39" s="92"/>
      <c r="S39" s="92"/>
      <c r="U39" s="405"/>
      <c r="V39" s="722"/>
      <c r="W39" s="682"/>
      <c r="X39" s="712"/>
      <c r="Y39" s="66"/>
      <c r="Z39" s="645" t="s">
        <v>362</v>
      </c>
      <c r="AA39" s="722" t="s">
        <v>457</v>
      </c>
      <c r="AB39" s="405" t="s">
        <v>389</v>
      </c>
      <c r="AC39" s="92"/>
      <c r="AE39" s="92"/>
      <c r="AG39" s="405" t="s">
        <v>741</v>
      </c>
      <c r="AH39" s="722" t="s">
        <v>479</v>
      </c>
      <c r="AI39" s="682" t="s">
        <v>391</v>
      </c>
      <c r="AJ39" s="712"/>
      <c r="AK39" s="66"/>
      <c r="AL39" s="645"/>
      <c r="AM39" s="722"/>
      <c r="AN39" s="405"/>
      <c r="AO39" s="92"/>
      <c r="AQ39" s="92"/>
      <c r="AS39" s="405"/>
      <c r="AT39" s="722"/>
      <c r="AU39" s="682"/>
      <c r="AV39" s="712"/>
      <c r="AW39" s="66"/>
      <c r="AX39" s="645"/>
      <c r="AY39" s="722"/>
      <c r="AZ39" s="405"/>
      <c r="BA39" s="92"/>
      <c r="BC39" s="92"/>
      <c r="BE39" s="405"/>
      <c r="BF39" s="722"/>
      <c r="BG39" s="682"/>
      <c r="BH39" s="712"/>
      <c r="BI39" s="66"/>
      <c r="BJ39" s="645" t="s">
        <v>405</v>
      </c>
      <c r="BK39" s="722" t="s">
        <v>627</v>
      </c>
      <c r="BL39" s="405" t="s">
        <v>391</v>
      </c>
      <c r="BM39" s="92"/>
      <c r="BO39" s="92"/>
      <c r="BQ39" s="405" t="s">
        <v>374</v>
      </c>
      <c r="BR39" s="722" t="s">
        <v>345</v>
      </c>
      <c r="BS39" s="682" t="s">
        <v>352</v>
      </c>
      <c r="BT39" s="712"/>
      <c r="BU39" s="66"/>
      <c r="BV39" s="645" t="s">
        <v>414</v>
      </c>
      <c r="BW39" s="722" t="s">
        <v>460</v>
      </c>
      <c r="BX39" s="405" t="s">
        <v>400</v>
      </c>
      <c r="BY39" s="92"/>
      <c r="CA39" s="92"/>
      <c r="CC39" s="405" t="s">
        <v>385</v>
      </c>
      <c r="CD39" s="722" t="s">
        <v>775</v>
      </c>
      <c r="CE39" s="682" t="s">
        <v>384</v>
      </c>
      <c r="CF39" s="712"/>
      <c r="CG39" s="66"/>
      <c r="CH39" s="645" t="s">
        <v>737</v>
      </c>
      <c r="CI39" s="722" t="s">
        <v>767</v>
      </c>
      <c r="CJ39" s="405" t="s">
        <v>742</v>
      </c>
      <c r="CK39" s="92"/>
      <c r="CM39" s="92"/>
      <c r="CO39" s="405" t="s">
        <v>400</v>
      </c>
      <c r="CP39" s="722" t="s">
        <v>460</v>
      </c>
      <c r="CQ39" s="682" t="s">
        <v>343</v>
      </c>
      <c r="CR39" s="712"/>
      <c r="CS39" s="66"/>
      <c r="CT39" s="645" t="s">
        <v>404</v>
      </c>
      <c r="CU39" s="722" t="s">
        <v>775</v>
      </c>
      <c r="CV39" s="405" t="s">
        <v>406</v>
      </c>
      <c r="CW39" s="92"/>
      <c r="CY39" s="92"/>
      <c r="DA39" s="405" t="s">
        <v>328</v>
      </c>
      <c r="DB39" s="722" t="s">
        <v>479</v>
      </c>
      <c r="DC39" s="682" t="s">
        <v>404</v>
      </c>
      <c r="DD39" s="712"/>
      <c r="DE39" s="66"/>
      <c r="DF39" s="645" t="s">
        <v>369</v>
      </c>
      <c r="DG39" s="782" t="s">
        <v>780</v>
      </c>
      <c r="DH39" s="405" t="s">
        <v>348</v>
      </c>
      <c r="DI39" s="92"/>
      <c r="DL39" s="55"/>
      <c r="DM39" s="405" t="s">
        <v>328</v>
      </c>
      <c r="DN39" s="722" t="s">
        <v>479</v>
      </c>
      <c r="DO39" s="682" t="s">
        <v>373</v>
      </c>
      <c r="DP39" s="712"/>
      <c r="DQ39" s="66"/>
      <c r="DR39" s="645"/>
      <c r="DS39" s="722"/>
      <c r="DT39" s="405"/>
      <c r="DU39" s="92"/>
      <c r="DX39" s="55"/>
      <c r="DY39" s="405"/>
      <c r="DZ39" s="722"/>
      <c r="EA39" s="682"/>
      <c r="EB39" s="712"/>
      <c r="EC39" s="66"/>
      <c r="ED39" s="645"/>
      <c r="EE39" s="722"/>
      <c r="EF39" s="405"/>
      <c r="EG39" s="92"/>
      <c r="EJ39" s="55"/>
      <c r="EK39" s="405"/>
      <c r="EL39" s="722"/>
      <c r="EM39" s="682"/>
      <c r="EN39" s="712"/>
      <c r="EO39" s="66"/>
      <c r="EP39" s="645"/>
      <c r="EQ39" s="722"/>
      <c r="ER39" s="405"/>
      <c r="ES39" s="92"/>
      <c r="EV39" s="55"/>
      <c r="EW39" s="405"/>
      <c r="EX39" s="722"/>
      <c r="EY39" s="682"/>
      <c r="EZ39" s="712"/>
      <c r="FA39" s="66"/>
      <c r="FB39" s="645"/>
      <c r="FC39" s="606"/>
      <c r="FD39" s="405"/>
      <c r="FE39" s="92"/>
      <c r="FH39" s="55"/>
      <c r="FI39" s="405"/>
      <c r="FJ39" s="722"/>
      <c r="FK39" s="682"/>
      <c r="FL39" s="712"/>
      <c r="FM39" s="66"/>
      <c r="FN39" s="645"/>
      <c r="FO39" s="722"/>
      <c r="FP39" s="405"/>
      <c r="FQ39" s="92"/>
      <c r="FT39" s="55"/>
      <c r="FU39" s="405"/>
      <c r="FV39" s="722"/>
      <c r="FW39" s="682"/>
      <c r="FX39" s="712"/>
    </row>
    <row r="40">
      <c r="A40" s="640">
        <v>1.0</v>
      </c>
      <c r="B40" s="740">
        <v>26.0</v>
      </c>
      <c r="C40" s="741" t="str">
        <f>'Schedule | 2 Division'!E42</f>
        <v>HARD GRIND</v>
      </c>
      <c r="D40" s="753">
        <f t="shared" ref="D40:E40" si="53">CL41</f>
        <v>1</v>
      </c>
      <c r="E40" s="753">
        <f t="shared" si="53"/>
        <v>2</v>
      </c>
      <c r="F40" s="741" t="str">
        <f>'Schedule | 2 Division'!I42</f>
        <v>The Soulless Team</v>
      </c>
      <c r="G40" s="740" t="str">
        <f t="shared" si="12"/>
        <v/>
      </c>
      <c r="H40" s="685" t="str">
        <f t="shared" si="13"/>
        <v>The Soulless Team</v>
      </c>
      <c r="I40" s="688" t="str">
        <f t="shared" si="14"/>
        <v>HARD GRIND</v>
      </c>
      <c r="J40" s="751" t="str">
        <f t="shared" si="15"/>
        <v/>
      </c>
      <c r="K40" s="733"/>
      <c r="L40" s="717"/>
      <c r="M40" s="94"/>
      <c r="N40" s="672"/>
      <c r="O40" s="763"/>
      <c r="P40" s="764"/>
      <c r="Q40" s="93"/>
      <c r="S40" s="92"/>
      <c r="T40" s="22"/>
      <c r="U40" s="764"/>
      <c r="V40" s="763"/>
      <c r="W40" s="683"/>
      <c r="X40" s="717"/>
      <c r="Y40" s="94"/>
      <c r="Z40" s="672" t="s">
        <v>352</v>
      </c>
      <c r="AA40" s="763" t="s">
        <v>426</v>
      </c>
      <c r="AB40" s="764" t="s">
        <v>373</v>
      </c>
      <c r="AC40" s="93"/>
      <c r="AD40" s="22"/>
      <c r="AE40" s="93"/>
      <c r="AF40" s="22"/>
      <c r="AG40" s="764" t="s">
        <v>342</v>
      </c>
      <c r="AH40" s="763" t="s">
        <v>482</v>
      </c>
      <c r="AI40" s="683" t="s">
        <v>327</v>
      </c>
      <c r="AJ40" s="717"/>
      <c r="AK40" s="94"/>
      <c r="AL40" s="672"/>
      <c r="AM40" s="763"/>
      <c r="AN40" s="764"/>
      <c r="AO40" s="93"/>
      <c r="AQ40" s="92"/>
      <c r="AR40" s="22"/>
      <c r="AS40" s="764"/>
      <c r="AT40" s="763"/>
      <c r="AU40" s="683"/>
      <c r="AV40" s="717"/>
      <c r="AW40" s="94"/>
      <c r="AX40" s="672"/>
      <c r="AY40" s="763"/>
      <c r="AZ40" s="764"/>
      <c r="BA40" s="93"/>
      <c r="BC40" s="92"/>
      <c r="BD40" s="22"/>
      <c r="BE40" s="764"/>
      <c r="BF40" s="763"/>
      <c r="BG40" s="683"/>
      <c r="BH40" s="717"/>
      <c r="BI40" s="94"/>
      <c r="BJ40" s="672" t="s">
        <v>387</v>
      </c>
      <c r="BK40" s="763" t="s">
        <v>785</v>
      </c>
      <c r="BL40" s="764" t="s">
        <v>385</v>
      </c>
      <c r="BM40" s="93"/>
      <c r="BO40" s="92"/>
      <c r="BP40" s="22"/>
      <c r="BQ40" s="764" t="s">
        <v>439</v>
      </c>
      <c r="BR40" s="763" t="s">
        <v>372</v>
      </c>
      <c r="BS40" s="683" t="s">
        <v>337</v>
      </c>
      <c r="BT40" s="717"/>
      <c r="BU40" s="94"/>
      <c r="BV40" s="672" t="s">
        <v>387</v>
      </c>
      <c r="BW40" s="763" t="s">
        <v>316</v>
      </c>
      <c r="BX40" s="764" t="s">
        <v>737</v>
      </c>
      <c r="BY40" s="93"/>
      <c r="CA40" s="92"/>
      <c r="CB40" s="22"/>
      <c r="CC40" s="764" t="s">
        <v>377</v>
      </c>
      <c r="CD40" s="763" t="s">
        <v>778</v>
      </c>
      <c r="CE40" s="683" t="s">
        <v>334</v>
      </c>
      <c r="CF40" s="717"/>
      <c r="CG40" s="94"/>
      <c r="CH40" s="672" t="s">
        <v>384</v>
      </c>
      <c r="CI40" s="763" t="s">
        <v>787</v>
      </c>
      <c r="CJ40" s="764" t="s">
        <v>439</v>
      </c>
      <c r="CK40" s="93"/>
      <c r="CM40" s="92"/>
      <c r="CN40" s="22"/>
      <c r="CO40" s="764" t="s">
        <v>483</v>
      </c>
      <c r="CP40" s="763" t="s">
        <v>316</v>
      </c>
      <c r="CQ40" s="683" t="s">
        <v>387</v>
      </c>
      <c r="CR40" s="717"/>
      <c r="CS40" s="94"/>
      <c r="CT40" s="672" t="s">
        <v>375</v>
      </c>
      <c r="CU40" s="763" t="s">
        <v>778</v>
      </c>
      <c r="CV40" s="764" t="s">
        <v>414</v>
      </c>
      <c r="CW40" s="93"/>
      <c r="CY40" s="92"/>
      <c r="CZ40" s="22"/>
      <c r="DA40" s="764" t="s">
        <v>407</v>
      </c>
      <c r="DB40" s="763" t="s">
        <v>482</v>
      </c>
      <c r="DC40" s="683" t="s">
        <v>375</v>
      </c>
      <c r="DD40" s="717"/>
      <c r="DE40" s="94"/>
      <c r="DF40" s="672" t="s">
        <v>409</v>
      </c>
      <c r="DG40" s="793" t="s">
        <v>316</v>
      </c>
      <c r="DH40" s="764" t="s">
        <v>384</v>
      </c>
      <c r="DI40" s="93"/>
      <c r="DJ40" s="22"/>
      <c r="DK40" s="22"/>
      <c r="DL40" s="61"/>
      <c r="DM40" s="764" t="s">
        <v>346</v>
      </c>
      <c r="DN40" s="763" t="s">
        <v>482</v>
      </c>
      <c r="DO40" s="683" t="s">
        <v>408</v>
      </c>
      <c r="DP40" s="717"/>
      <c r="DQ40" s="94"/>
      <c r="DR40" s="672"/>
      <c r="DS40" s="763"/>
      <c r="DT40" s="764"/>
      <c r="DU40" s="93"/>
      <c r="DV40" s="22"/>
      <c r="DW40" s="22"/>
      <c r="DX40" s="61"/>
      <c r="DY40" s="764"/>
      <c r="DZ40" s="763"/>
      <c r="EA40" s="683"/>
      <c r="EB40" s="717"/>
      <c r="EC40" s="94"/>
      <c r="ED40" s="672"/>
      <c r="EE40" s="763"/>
      <c r="EF40" s="764"/>
      <c r="EG40" s="93"/>
      <c r="EH40" s="22"/>
      <c r="EI40" s="22"/>
      <c r="EJ40" s="61"/>
      <c r="EK40" s="764"/>
      <c r="EL40" s="763"/>
      <c r="EM40" s="683"/>
      <c r="EN40" s="717"/>
      <c r="EO40" s="94"/>
      <c r="EP40" s="672"/>
      <c r="EQ40" s="763"/>
      <c r="ER40" s="764"/>
      <c r="ES40" s="93"/>
      <c r="ET40" s="22"/>
      <c r="EU40" s="22"/>
      <c r="EV40" s="61"/>
      <c r="EW40" s="764"/>
      <c r="EX40" s="763"/>
      <c r="EY40" s="683"/>
      <c r="EZ40" s="717"/>
      <c r="FA40" s="94"/>
      <c r="FB40" s="672"/>
      <c r="FC40" s="766"/>
      <c r="FD40" s="764"/>
      <c r="FE40" s="93"/>
      <c r="FF40" s="22"/>
      <c r="FG40" s="22"/>
      <c r="FH40" s="61"/>
      <c r="FI40" s="764"/>
      <c r="FJ40" s="763"/>
      <c r="FK40" s="683"/>
      <c r="FL40" s="717"/>
      <c r="FM40" s="94"/>
      <c r="FN40" s="672"/>
      <c r="FO40" s="763"/>
      <c r="FP40" s="764"/>
      <c r="FQ40" s="93"/>
      <c r="FR40" s="22"/>
      <c r="FS40" s="22"/>
      <c r="FT40" s="61"/>
      <c r="FU40" s="764"/>
      <c r="FV40" s="763"/>
      <c r="FW40" s="683"/>
      <c r="FX40" s="717"/>
    </row>
    <row r="41">
      <c r="A41" s="640">
        <v>1.0</v>
      </c>
      <c r="B41" s="740">
        <v>27.0</v>
      </c>
      <c r="C41" s="741" t="str">
        <f>'Schedule | 2 Division'!E43</f>
        <v>TSA White</v>
      </c>
      <c r="D41" s="753">
        <f t="shared" ref="D41:E41" si="54">CL61</f>
        <v>2</v>
      </c>
      <c r="E41" s="753">
        <f t="shared" si="54"/>
        <v>0</v>
      </c>
      <c r="F41" s="741" t="str">
        <f>'Schedule | 2 Division'!I43</f>
        <v>Aterion Esports</v>
      </c>
      <c r="G41" s="740" t="str">
        <f t="shared" si="12"/>
        <v>TSA White</v>
      </c>
      <c r="H41" s="685" t="str">
        <f t="shared" si="13"/>
        <v/>
      </c>
      <c r="I41" s="688" t="str">
        <f t="shared" si="14"/>
        <v/>
      </c>
      <c r="J41" s="751" t="str">
        <f t="shared" si="15"/>
        <v>Aterion Esports</v>
      </c>
      <c r="K41" s="733"/>
      <c r="L41" s="717"/>
      <c r="M41" s="767"/>
      <c r="N41" s="767"/>
      <c r="O41" s="767"/>
      <c r="P41" s="767"/>
      <c r="Q41" s="732"/>
      <c r="R41" s="768">
        <f t="shared" ref="R41:S41" si="55">COUNTIF(R26:R40, "W")</f>
        <v>0</v>
      </c>
      <c r="S41" s="769">
        <f t="shared" si="55"/>
        <v>2</v>
      </c>
      <c r="T41" s="732"/>
      <c r="U41" s="767"/>
      <c r="V41" s="767"/>
      <c r="W41" s="767"/>
      <c r="X41" s="717"/>
      <c r="Y41" s="767"/>
      <c r="Z41" s="767"/>
      <c r="AA41" s="767"/>
      <c r="AB41" s="767"/>
      <c r="AC41" s="732"/>
      <c r="AD41" s="768">
        <f t="shared" ref="AD41:AE41" si="56">COUNTIF(AD26:AD40, "W")</f>
        <v>2</v>
      </c>
      <c r="AE41" s="769">
        <f t="shared" si="56"/>
        <v>1</v>
      </c>
      <c r="AF41" s="732"/>
      <c r="AG41" s="767"/>
      <c r="AH41" s="767"/>
      <c r="AI41" s="767"/>
      <c r="AJ41" s="717"/>
      <c r="AK41" s="767"/>
      <c r="AL41" s="767"/>
      <c r="AM41" s="767"/>
      <c r="AN41" s="767"/>
      <c r="AO41" s="732"/>
      <c r="AP41" s="768">
        <f t="shared" ref="AP41:AQ41" si="57">COUNTIF(AP26:AP40, "W")</f>
        <v>2</v>
      </c>
      <c r="AQ41" s="769">
        <f t="shared" si="57"/>
        <v>0</v>
      </c>
      <c r="AR41" s="732"/>
      <c r="AS41" s="767"/>
      <c r="AT41" s="767"/>
      <c r="AU41" s="767"/>
      <c r="AV41" s="717"/>
      <c r="AW41" s="767"/>
      <c r="AX41" s="767"/>
      <c r="AY41" s="767"/>
      <c r="AZ41" s="767"/>
      <c r="BA41" s="732"/>
      <c r="BB41" s="768">
        <f t="shared" ref="BB41:BC41" si="58">COUNTIF(BB26:BB40, "W")</f>
        <v>2</v>
      </c>
      <c r="BC41" s="769">
        <f t="shared" si="58"/>
        <v>0</v>
      </c>
      <c r="BD41" s="732"/>
      <c r="BE41" s="767"/>
      <c r="BF41" s="767"/>
      <c r="BG41" s="767"/>
      <c r="BH41" s="717"/>
      <c r="BI41" s="767"/>
      <c r="BJ41" s="767"/>
      <c r="BK41" s="767"/>
      <c r="BL41" s="767"/>
      <c r="BM41" s="732"/>
      <c r="BN41" s="768">
        <f t="shared" ref="BN41:BO41" si="59">COUNTIF(BN26:BN40, "W")</f>
        <v>2</v>
      </c>
      <c r="BO41" s="769">
        <f t="shared" si="59"/>
        <v>1</v>
      </c>
      <c r="BP41" s="732"/>
      <c r="BQ41" s="767"/>
      <c r="BR41" s="767"/>
      <c r="BS41" s="767"/>
      <c r="BT41" s="717"/>
      <c r="BU41" s="767"/>
      <c r="BV41" s="767"/>
      <c r="BW41" s="767"/>
      <c r="BX41" s="767"/>
      <c r="BY41" s="732"/>
      <c r="BZ41" s="768">
        <f t="shared" ref="BZ41:CA41" si="60">COUNTIF(BZ26:BZ40, "W")</f>
        <v>1</v>
      </c>
      <c r="CA41" s="769">
        <f t="shared" si="60"/>
        <v>2</v>
      </c>
      <c r="CB41" s="732"/>
      <c r="CC41" s="767"/>
      <c r="CD41" s="767"/>
      <c r="CE41" s="767"/>
      <c r="CF41" s="717"/>
      <c r="CG41" s="767"/>
      <c r="CH41" s="767"/>
      <c r="CI41" s="767"/>
      <c r="CJ41" s="767"/>
      <c r="CK41" s="732"/>
      <c r="CL41" s="768">
        <f t="shared" ref="CL41:CM41" si="61">COUNTIF(CL26:CL40, "W")</f>
        <v>1</v>
      </c>
      <c r="CM41" s="769">
        <f t="shared" si="61"/>
        <v>2</v>
      </c>
      <c r="CN41" s="732"/>
      <c r="CO41" s="767"/>
      <c r="CP41" s="767"/>
      <c r="CQ41" s="767"/>
      <c r="CR41" s="717"/>
      <c r="CS41" s="767"/>
      <c r="CT41" s="767"/>
      <c r="CU41" s="767"/>
      <c r="CV41" s="767"/>
      <c r="CW41" s="732"/>
      <c r="CX41" s="768">
        <f t="shared" ref="CX41:CY41" si="62">COUNTIF(CX26:CX40, "W")</f>
        <v>1</v>
      </c>
      <c r="CY41" s="769">
        <f t="shared" si="62"/>
        <v>2</v>
      </c>
      <c r="CZ41" s="732"/>
      <c r="DA41" s="767"/>
      <c r="DB41" s="767"/>
      <c r="DC41" s="767"/>
      <c r="DD41" s="717"/>
      <c r="DE41" s="767"/>
      <c r="DF41" s="767"/>
      <c r="DG41" s="767"/>
      <c r="DH41" s="767"/>
      <c r="DI41" s="732"/>
      <c r="DJ41" s="768">
        <f t="shared" ref="DJ41:DK41" si="63">COUNTIF(DJ26:DJ40, "W")</f>
        <v>1</v>
      </c>
      <c r="DK41" s="769">
        <f t="shared" si="63"/>
        <v>2</v>
      </c>
      <c r="DL41" s="732"/>
      <c r="DM41" s="767"/>
      <c r="DN41" s="767"/>
      <c r="DO41" s="767"/>
      <c r="DP41" s="717"/>
      <c r="DQ41" s="767"/>
      <c r="DR41" s="767"/>
      <c r="DS41" s="767"/>
      <c r="DT41" s="767"/>
      <c r="DU41" s="732"/>
      <c r="DV41" s="768">
        <f t="shared" ref="DV41:DW41" si="64">COUNTIF(DV26:DV40, "W")</f>
        <v>0</v>
      </c>
      <c r="DW41" s="769">
        <f t="shared" si="64"/>
        <v>2</v>
      </c>
      <c r="DX41" s="732"/>
      <c r="DY41" s="767"/>
      <c r="DZ41" s="767"/>
      <c r="EA41" s="767"/>
      <c r="EB41" s="717"/>
      <c r="EC41" s="767"/>
      <c r="ED41" s="767"/>
      <c r="EE41" s="767"/>
      <c r="EF41" s="767"/>
      <c r="EG41" s="732"/>
      <c r="EH41" s="768">
        <f t="shared" ref="EH41:EI41" si="65">COUNTIF(EH26:EH40, "W")</f>
        <v>0</v>
      </c>
      <c r="EI41" s="769">
        <f t="shared" si="65"/>
        <v>2</v>
      </c>
      <c r="EJ41" s="732"/>
      <c r="EK41" s="767"/>
      <c r="EL41" s="767"/>
      <c r="EM41" s="767"/>
      <c r="EN41" s="717"/>
      <c r="EO41" s="767"/>
      <c r="EP41" s="767"/>
      <c r="EQ41" s="767"/>
      <c r="ER41" s="767"/>
      <c r="ES41" s="732"/>
      <c r="ET41" s="768">
        <f t="shared" ref="ET41:EU41" si="66">COUNTIF(ET26:ET40, "W")</f>
        <v>2</v>
      </c>
      <c r="EU41" s="769">
        <f t="shared" si="66"/>
        <v>0</v>
      </c>
      <c r="EV41" s="732"/>
      <c r="EW41" s="767"/>
      <c r="EX41" s="767"/>
      <c r="EY41" s="767"/>
      <c r="EZ41" s="717"/>
      <c r="FA41" s="767"/>
      <c r="FB41" s="767"/>
      <c r="FC41" s="767"/>
      <c r="FD41" s="767"/>
      <c r="FE41" s="732"/>
      <c r="FF41" s="768">
        <f t="shared" ref="FF41:FG41" si="67">COUNTIF(FF26:FF40, "W")</f>
        <v>2</v>
      </c>
      <c r="FG41" s="769">
        <f t="shared" si="67"/>
        <v>0</v>
      </c>
      <c r="FH41" s="732"/>
      <c r="FI41" s="767"/>
      <c r="FJ41" s="767"/>
      <c r="FK41" s="767"/>
      <c r="FL41" s="717"/>
      <c r="FM41" s="767"/>
      <c r="FN41" s="767"/>
      <c r="FO41" s="767"/>
      <c r="FP41" s="767"/>
      <c r="FQ41" s="732"/>
      <c r="FR41" s="768">
        <f t="shared" ref="FR41:FS41" si="68">COUNTIF(FR26:FR40, "W")</f>
        <v>0</v>
      </c>
      <c r="FS41" s="769">
        <f t="shared" si="68"/>
        <v>2</v>
      </c>
      <c r="FT41" s="732"/>
      <c r="FU41" s="767"/>
      <c r="FV41" s="767"/>
      <c r="FW41" s="767"/>
      <c r="FX41" s="717"/>
    </row>
    <row r="42">
      <c r="A42" s="640">
        <v>1.0</v>
      </c>
      <c r="B42" s="740">
        <v>28.0</v>
      </c>
      <c r="C42" s="741" t="str">
        <f>'Schedule | 2 Division'!E44</f>
        <v>INVISION</v>
      </c>
      <c r="D42" s="753">
        <f t="shared" ref="D42:E42" si="69">CL81</f>
        <v>0</v>
      </c>
      <c r="E42" s="753">
        <f t="shared" si="69"/>
        <v>2</v>
      </c>
      <c r="F42" s="741" t="str">
        <f>'Schedule | 2 Division'!I44</f>
        <v>Dark Phoenix</v>
      </c>
      <c r="G42" s="740" t="str">
        <f t="shared" si="12"/>
        <v>Dark Phoenix</v>
      </c>
      <c r="H42" s="685" t="str">
        <f t="shared" si="13"/>
        <v/>
      </c>
      <c r="I42" s="688" t="str">
        <f t="shared" si="14"/>
        <v/>
      </c>
      <c r="J42" s="751" t="str">
        <f t="shared" si="15"/>
        <v>INVISION</v>
      </c>
      <c r="K42" s="733"/>
      <c r="L42" s="717"/>
      <c r="M42" s="767"/>
      <c r="N42" s="767"/>
      <c r="O42" s="767"/>
      <c r="P42" s="767"/>
      <c r="Q42" s="732"/>
      <c r="R42" s="767"/>
      <c r="S42" s="767"/>
      <c r="T42" s="767"/>
      <c r="U42" s="767"/>
      <c r="V42" s="767"/>
      <c r="W42" s="767"/>
      <c r="X42" s="717"/>
      <c r="Y42" s="767"/>
      <c r="Z42" s="767"/>
      <c r="AA42" s="767"/>
      <c r="AB42" s="767"/>
      <c r="AC42" s="732"/>
      <c r="AD42" s="767"/>
      <c r="AE42" s="767"/>
      <c r="AF42" s="767"/>
      <c r="AG42" s="767"/>
      <c r="AH42" s="767"/>
      <c r="AI42" s="767"/>
      <c r="AJ42" s="717"/>
      <c r="AK42" s="767"/>
      <c r="AL42" s="767"/>
      <c r="AM42" s="767"/>
      <c r="AN42" s="767"/>
      <c r="AO42" s="732"/>
      <c r="AP42" s="767"/>
      <c r="AQ42" s="767"/>
      <c r="AR42" s="767"/>
      <c r="AS42" s="767"/>
      <c r="AT42" s="767"/>
      <c r="AU42" s="767"/>
      <c r="AV42" s="717"/>
      <c r="AW42" s="767"/>
      <c r="AX42" s="767"/>
      <c r="AY42" s="767"/>
      <c r="AZ42" s="767"/>
      <c r="BA42" s="732"/>
      <c r="BB42" s="767"/>
      <c r="BC42" s="767"/>
      <c r="BD42" s="767"/>
      <c r="BE42" s="767"/>
      <c r="BF42" s="767"/>
      <c r="BG42" s="767"/>
      <c r="BH42" s="717"/>
      <c r="BI42" s="767"/>
      <c r="BJ42" s="767"/>
      <c r="BK42" s="767"/>
      <c r="BL42" s="767"/>
      <c r="BM42" s="732"/>
      <c r="BN42" s="767"/>
      <c r="BO42" s="767"/>
      <c r="BP42" s="767"/>
      <c r="BQ42" s="767"/>
      <c r="BR42" s="767"/>
      <c r="BS42" s="767"/>
      <c r="BT42" s="717"/>
      <c r="BU42" s="767"/>
      <c r="BV42" s="767"/>
      <c r="BW42" s="767"/>
      <c r="BX42" s="767"/>
      <c r="BY42" s="732"/>
      <c r="BZ42" s="767"/>
      <c r="CA42" s="767"/>
      <c r="CB42" s="767"/>
      <c r="CC42" s="767"/>
      <c r="CD42" s="767"/>
      <c r="CE42" s="767"/>
      <c r="CF42" s="717"/>
      <c r="CG42" s="767"/>
      <c r="CH42" s="767"/>
      <c r="CI42" s="767"/>
      <c r="CJ42" s="767"/>
      <c r="CK42" s="732"/>
      <c r="CL42" s="767"/>
      <c r="CM42" s="767"/>
      <c r="CN42" s="767"/>
      <c r="CO42" s="767"/>
      <c r="CP42" s="767"/>
      <c r="CQ42" s="767"/>
      <c r="CR42" s="717"/>
      <c r="CS42" s="767"/>
      <c r="CT42" s="767"/>
      <c r="CU42" s="767"/>
      <c r="CV42" s="767"/>
      <c r="CW42" s="732"/>
      <c r="CX42" s="767"/>
      <c r="CY42" s="767"/>
      <c r="CZ42" s="767"/>
      <c r="DA42" s="767"/>
      <c r="DB42" s="767"/>
      <c r="DC42" s="767"/>
      <c r="DD42" s="717"/>
      <c r="DE42" s="767"/>
      <c r="DF42" s="767"/>
      <c r="DG42" s="767"/>
      <c r="DH42" s="767"/>
      <c r="DI42" s="732"/>
      <c r="DJ42" s="767"/>
      <c r="DK42" s="767"/>
      <c r="DL42" s="767"/>
      <c r="DM42" s="767"/>
      <c r="DN42" s="767"/>
      <c r="DO42" s="767"/>
      <c r="DP42" s="717"/>
      <c r="DQ42" s="767"/>
      <c r="DR42" s="767"/>
      <c r="DS42" s="767"/>
      <c r="DT42" s="767"/>
      <c r="DU42" s="732"/>
      <c r="DV42" s="767"/>
      <c r="DW42" s="767"/>
      <c r="DX42" s="767"/>
      <c r="DY42" s="767"/>
      <c r="DZ42" s="767"/>
      <c r="EA42" s="767"/>
      <c r="EB42" s="717"/>
      <c r="EC42" s="767"/>
      <c r="ED42" s="767"/>
      <c r="EE42" s="767"/>
      <c r="EF42" s="767"/>
      <c r="EG42" s="732"/>
      <c r="EH42" s="767"/>
      <c r="EI42" s="767"/>
      <c r="EJ42" s="767"/>
      <c r="EK42" s="767"/>
      <c r="EL42" s="767"/>
      <c r="EM42" s="767"/>
      <c r="EN42" s="717"/>
      <c r="EO42" s="767"/>
      <c r="EP42" s="767"/>
      <c r="EQ42" s="767"/>
      <c r="ER42" s="767"/>
      <c r="ES42" s="732"/>
      <c r="ET42" s="767"/>
      <c r="EU42" s="767"/>
      <c r="EV42" s="767"/>
      <c r="EW42" s="767"/>
      <c r="EX42" s="767"/>
      <c r="EY42" s="767"/>
      <c r="EZ42" s="717"/>
      <c r="FA42" s="767"/>
      <c r="FB42" s="767"/>
      <c r="FC42" s="767"/>
      <c r="FD42" s="767"/>
      <c r="FE42" s="732"/>
      <c r="FF42" s="767"/>
      <c r="FG42" s="767"/>
      <c r="FH42" s="767"/>
      <c r="FI42" s="767"/>
      <c r="FJ42" s="767"/>
      <c r="FK42" s="767"/>
      <c r="FL42" s="717"/>
      <c r="FM42" s="767"/>
      <c r="FN42" s="767"/>
      <c r="FO42" s="767"/>
      <c r="FP42" s="767"/>
      <c r="FQ42" s="732"/>
      <c r="FR42" s="767"/>
      <c r="FS42" s="767"/>
      <c r="FT42" s="767"/>
      <c r="FU42" s="767"/>
      <c r="FV42" s="767"/>
      <c r="FW42" s="767"/>
      <c r="FX42" s="717"/>
    </row>
    <row r="43">
      <c r="A43" s="654">
        <v>2.0</v>
      </c>
      <c r="B43" s="686">
        <v>29.0</v>
      </c>
      <c r="C43" s="794" t="str">
        <f>'Schedule | 2 Division'!K5</f>
        <v>Aterion Esports</v>
      </c>
      <c r="D43" s="795">
        <f t="shared" ref="D43:E43" si="70">CX21</f>
        <v>1</v>
      </c>
      <c r="E43" s="795">
        <f t="shared" si="70"/>
        <v>2</v>
      </c>
      <c r="F43" s="794" t="str">
        <f>'Schedule | 2 Division'!O5</f>
        <v>The Soulless Team</v>
      </c>
      <c r="G43" s="686" t="str">
        <f t="shared" si="12"/>
        <v/>
      </c>
      <c r="H43" s="687" t="str">
        <f t="shared" si="13"/>
        <v>The Soulless Team</v>
      </c>
      <c r="I43" s="796" t="str">
        <f t="shared" si="14"/>
        <v>Aterion Esports</v>
      </c>
      <c r="J43" s="797" t="str">
        <f t="shared" si="15"/>
        <v/>
      </c>
      <c r="K43" s="733"/>
      <c r="L43" s="717"/>
      <c r="M43" s="351" t="str">
        <f>'Schedule | 2 Division'!E7</f>
        <v>Dark Phoenix</v>
      </c>
      <c r="N43" s="8"/>
      <c r="O43" s="8"/>
      <c r="P43" s="8"/>
      <c r="Q43" s="8"/>
      <c r="R43" s="351" t="str">
        <f>'Schedule | 2 Division'!J7</f>
        <v>Match 3</v>
      </c>
      <c r="S43" s="68"/>
      <c r="T43" s="401" t="str">
        <f>'Schedule | 2 Division'!I7</f>
        <v>Omnix</v>
      </c>
      <c r="U43" s="8"/>
      <c r="V43" s="8"/>
      <c r="W43" s="68"/>
      <c r="X43" s="717"/>
      <c r="Y43" s="351" t="str">
        <f>'Schedule | 2 Division'!E13</f>
        <v>The Soulless Team</v>
      </c>
      <c r="Z43" s="8"/>
      <c r="AA43" s="8"/>
      <c r="AB43" s="8"/>
      <c r="AC43" s="8"/>
      <c r="AD43" s="351" t="str">
        <f>'Schedule | 2 Division'!J13</f>
        <v>Match 7</v>
      </c>
      <c r="AE43" s="68"/>
      <c r="AF43" s="798" t="str">
        <f>'Schedule | 2 Division'!I13</f>
        <v>Suplex team</v>
      </c>
      <c r="AG43" s="8"/>
      <c r="AH43" s="8"/>
      <c r="AI43" s="68"/>
      <c r="AJ43" s="717"/>
      <c r="AK43" s="351" t="str">
        <f>'Schedule | 2 Division'!E19</f>
        <v>Dark Phoenix</v>
      </c>
      <c r="AL43" s="8"/>
      <c r="AM43" s="8"/>
      <c r="AN43" s="8"/>
      <c r="AO43" s="8"/>
      <c r="AP43" s="351" t="str">
        <f>'Schedule | 2 Division'!J19</f>
        <v>Match 11</v>
      </c>
      <c r="AQ43" s="68"/>
      <c r="AR43" s="402" t="str">
        <f>'Schedule | 2 Division'!I19</f>
        <v>HARD GRIND</v>
      </c>
      <c r="AS43" s="8"/>
      <c r="AT43" s="8"/>
      <c r="AU43" s="68"/>
      <c r="AV43" s="717"/>
      <c r="AW43" s="351" t="str">
        <f>'Schedule | 2 Division'!E25</f>
        <v>Dark Phoenix</v>
      </c>
      <c r="AX43" s="8"/>
      <c r="AY43" s="8"/>
      <c r="AZ43" s="8"/>
      <c r="BA43" s="8"/>
      <c r="BB43" s="351" t="str">
        <f>'Schedule | 2 Division'!J25</f>
        <v>Match 15</v>
      </c>
      <c r="BC43" s="68"/>
      <c r="BD43" s="402" t="str">
        <f>'Schedule | 2 Division'!I25</f>
        <v>The Soulless Team</v>
      </c>
      <c r="BE43" s="8"/>
      <c r="BF43" s="8"/>
      <c r="BG43" s="68"/>
      <c r="BH43" s="717"/>
      <c r="BI43" s="351" t="str">
        <f>'Schedule | 2 Division'!E31</f>
        <v>HARD GRIND</v>
      </c>
      <c r="BJ43" s="8"/>
      <c r="BK43" s="8"/>
      <c r="BL43" s="8"/>
      <c r="BM43" s="8"/>
      <c r="BN43" s="351" t="str">
        <f>'Schedule | 2 Division'!J31</f>
        <v>Match 19</v>
      </c>
      <c r="BO43" s="68"/>
      <c r="BP43" s="402" t="str">
        <f>'Schedule | 2 Division'!I31</f>
        <v>TSA White</v>
      </c>
      <c r="BQ43" s="8"/>
      <c r="BR43" s="8"/>
      <c r="BS43" s="68"/>
      <c r="BT43" s="717"/>
      <c r="BU43" s="351" t="str">
        <f>'Schedule | 2 Division'!E37</f>
        <v>TSA White</v>
      </c>
      <c r="BV43" s="8"/>
      <c r="BW43" s="8"/>
      <c r="BX43" s="8"/>
      <c r="BY43" s="8"/>
      <c r="BZ43" s="351" t="str">
        <f>'Schedule | 2 Division'!J37</f>
        <v>Match 23</v>
      </c>
      <c r="CA43" s="68"/>
      <c r="CB43" s="402" t="str">
        <f>'Schedule | 2 Division'!I37</f>
        <v>Dark Phoenix</v>
      </c>
      <c r="CC43" s="8"/>
      <c r="CD43" s="8"/>
      <c r="CE43" s="68"/>
      <c r="CF43" s="717"/>
      <c r="CG43" s="351" t="str">
        <f>'Schedule | 2 Division'!E43</f>
        <v>TSA White</v>
      </c>
      <c r="CH43" s="8"/>
      <c r="CI43" s="8"/>
      <c r="CJ43" s="8"/>
      <c r="CK43" s="8"/>
      <c r="CL43" s="351" t="str">
        <f>'Schedule | 2 Division'!J43</f>
        <v>Match 27</v>
      </c>
      <c r="CM43" s="68"/>
      <c r="CN43" s="402" t="str">
        <f>'Schedule | 2 Division'!I43</f>
        <v>Aterion Esports</v>
      </c>
      <c r="CO43" s="8"/>
      <c r="CP43" s="8"/>
      <c r="CQ43" s="68"/>
      <c r="CR43" s="717"/>
      <c r="CS43" s="351" t="str">
        <f>'Schedule | 2 Division'!K7</f>
        <v>Suplex team</v>
      </c>
      <c r="CT43" s="8"/>
      <c r="CU43" s="8"/>
      <c r="CV43" s="8"/>
      <c r="CW43" s="8"/>
      <c r="CX43" s="351" t="str">
        <f>'Schedule | 2 Division'!P7</f>
        <v>Match 31</v>
      </c>
      <c r="CY43" s="68"/>
      <c r="CZ43" s="402" t="str">
        <f>'Schedule | 2 Division'!O7</f>
        <v>Dark Phoenix</v>
      </c>
      <c r="DA43" s="8"/>
      <c r="DB43" s="8"/>
      <c r="DC43" s="68"/>
      <c r="DD43" s="717"/>
      <c r="DE43" s="351" t="str">
        <f>'Schedule | 2 Division'!K13</f>
        <v>Suplex team</v>
      </c>
      <c r="DF43" s="8"/>
      <c r="DG43" s="8"/>
      <c r="DH43" s="8"/>
      <c r="DI43" s="8"/>
      <c r="DJ43" s="351" t="str">
        <f>'Schedule | 2 Division'!P13</f>
        <v>Match 35</v>
      </c>
      <c r="DK43" s="68"/>
      <c r="DL43" s="402" t="str">
        <f>'Schedule | 2 Division'!O13</f>
        <v>Aterion Esports</v>
      </c>
      <c r="DM43" s="8"/>
      <c r="DN43" s="8"/>
      <c r="DO43" s="68"/>
      <c r="DP43" s="717"/>
      <c r="DQ43" s="351" t="str">
        <f>'Schedule | 2 Division'!K19</f>
        <v>INVISION</v>
      </c>
      <c r="DR43" s="8"/>
      <c r="DS43" s="8"/>
      <c r="DT43" s="8"/>
      <c r="DU43" s="8"/>
      <c r="DV43" s="351" t="str">
        <f>'Schedule | 2 Division'!P19</f>
        <v>Match 39</v>
      </c>
      <c r="DW43" s="68"/>
      <c r="DX43" s="402" t="str">
        <f>'Schedule | 2 Division'!O19</f>
        <v>TSA White</v>
      </c>
      <c r="DY43" s="8"/>
      <c r="DZ43" s="8"/>
      <c r="EA43" s="68"/>
      <c r="EB43" s="717"/>
      <c r="EC43" s="351" t="str">
        <f>'Schedule | 2 Division'!K25</f>
        <v>The Soulless Team</v>
      </c>
      <c r="ED43" s="8"/>
      <c r="EE43" s="8"/>
      <c r="EF43" s="8"/>
      <c r="EG43" s="8"/>
      <c r="EH43" s="351" t="str">
        <f>'Schedule | 2 Division'!P25</f>
        <v>Match 43</v>
      </c>
      <c r="EI43" s="68"/>
      <c r="EJ43" s="402" t="str">
        <f>'Schedule | 2 Division'!O25</f>
        <v>Dark Phoenix</v>
      </c>
      <c r="EK43" s="8"/>
      <c r="EL43" s="8"/>
      <c r="EM43" s="68"/>
      <c r="EN43" s="717"/>
      <c r="EO43" s="351" t="str">
        <f>'Schedule | 2 Division'!K31</f>
        <v>Dark Phoenix</v>
      </c>
      <c r="EP43" s="8"/>
      <c r="EQ43" s="8"/>
      <c r="ER43" s="8"/>
      <c r="ES43" s="8"/>
      <c r="ET43" s="351" t="str">
        <f>'Schedule | 2 Division'!P31</f>
        <v>Match 47</v>
      </c>
      <c r="EU43" s="68"/>
      <c r="EV43" s="402" t="str">
        <f>'Schedule | 2 Division'!O31</f>
        <v>TSA White</v>
      </c>
      <c r="EW43" s="8"/>
      <c r="EX43" s="8"/>
      <c r="EY43" s="68"/>
      <c r="EZ43" s="717"/>
      <c r="FA43" s="351" t="str">
        <f>'Schedule | 2 Division'!K37</f>
        <v>Aterion Esports</v>
      </c>
      <c r="FB43" s="8"/>
      <c r="FC43" s="8"/>
      <c r="FD43" s="8"/>
      <c r="FE43" s="8"/>
      <c r="FF43" s="351" t="str">
        <f>'Schedule | 2 Division'!P37</f>
        <v>Match 51</v>
      </c>
      <c r="FG43" s="68"/>
      <c r="FH43" s="402" t="str">
        <f>'Schedule | 2 Division'!O37</f>
        <v>HARD GRIND</v>
      </c>
      <c r="FI43" s="8"/>
      <c r="FJ43" s="8"/>
      <c r="FK43" s="68"/>
      <c r="FL43" s="717"/>
      <c r="FM43" s="351" t="str">
        <f>'Schedule | 2 Division'!K43</f>
        <v>The Soulless Team</v>
      </c>
      <c r="FN43" s="8"/>
      <c r="FO43" s="8"/>
      <c r="FP43" s="8"/>
      <c r="FQ43" s="8"/>
      <c r="FR43" s="351" t="str">
        <f>'Schedule | 2 Division'!P43</f>
        <v>Match 55</v>
      </c>
      <c r="FS43" s="68"/>
      <c r="FT43" s="402" t="str">
        <f>'Schedule | 2 Division'!O43</f>
        <v>HARD GRIND</v>
      </c>
      <c r="FU43" s="8"/>
      <c r="FV43" s="8"/>
      <c r="FW43" s="68"/>
      <c r="FX43" s="717"/>
    </row>
    <row r="44">
      <c r="A44" s="640">
        <v>2.0</v>
      </c>
      <c r="B44" s="740">
        <v>30.0</v>
      </c>
      <c r="C44" s="741" t="str">
        <f>'Schedule | 2 Division'!K6</f>
        <v>Omnix</v>
      </c>
      <c r="D44" s="753">
        <f t="shared" ref="D44:E44" si="71">CX41</f>
        <v>1</v>
      </c>
      <c r="E44" s="753">
        <f t="shared" si="71"/>
        <v>2</v>
      </c>
      <c r="F44" s="741" t="str">
        <f>'Schedule | 2 Division'!O6</f>
        <v>INVISION</v>
      </c>
      <c r="G44" s="740" t="str">
        <f t="shared" si="12"/>
        <v/>
      </c>
      <c r="H44" s="685" t="str">
        <f t="shared" si="13"/>
        <v>INVISION</v>
      </c>
      <c r="I44" s="688" t="str">
        <f t="shared" si="14"/>
        <v>Omnix</v>
      </c>
      <c r="J44" s="751" t="str">
        <f t="shared" si="15"/>
        <v/>
      </c>
      <c r="K44" s="733"/>
      <c r="L44" s="717"/>
      <c r="M44" s="61"/>
      <c r="N44" s="22"/>
      <c r="O44" s="22"/>
      <c r="P44" s="22"/>
      <c r="Q44" s="22"/>
      <c r="R44" s="61"/>
      <c r="S44" s="93"/>
      <c r="T44" s="22"/>
      <c r="U44" s="22"/>
      <c r="V44" s="22"/>
      <c r="W44" s="93"/>
      <c r="X44" s="717"/>
      <c r="Y44" s="61"/>
      <c r="Z44" s="22"/>
      <c r="AA44" s="22"/>
      <c r="AB44" s="22"/>
      <c r="AC44" s="22"/>
      <c r="AD44" s="61"/>
      <c r="AE44" s="93"/>
      <c r="AF44" s="22"/>
      <c r="AG44" s="22"/>
      <c r="AH44" s="22"/>
      <c r="AI44" s="93"/>
      <c r="AJ44" s="717"/>
      <c r="AK44" s="61"/>
      <c r="AL44" s="22"/>
      <c r="AM44" s="22"/>
      <c r="AN44" s="22"/>
      <c r="AO44" s="22"/>
      <c r="AP44" s="61"/>
      <c r="AQ44" s="93"/>
      <c r="AR44" s="22"/>
      <c r="AS44" s="22"/>
      <c r="AT44" s="22"/>
      <c r="AU44" s="93"/>
      <c r="AV44" s="717"/>
      <c r="AW44" s="61"/>
      <c r="AX44" s="22"/>
      <c r="AY44" s="22"/>
      <c r="AZ44" s="22"/>
      <c r="BA44" s="22"/>
      <c r="BB44" s="61"/>
      <c r="BC44" s="93"/>
      <c r="BD44" s="22"/>
      <c r="BE44" s="22"/>
      <c r="BF44" s="22"/>
      <c r="BG44" s="93"/>
      <c r="BH44" s="717"/>
      <c r="BI44" s="61"/>
      <c r="BJ44" s="22"/>
      <c r="BK44" s="22"/>
      <c r="BL44" s="22"/>
      <c r="BM44" s="22"/>
      <c r="BN44" s="61"/>
      <c r="BO44" s="93"/>
      <c r="BP44" s="22"/>
      <c r="BQ44" s="22"/>
      <c r="BR44" s="22"/>
      <c r="BS44" s="93"/>
      <c r="BT44" s="717"/>
      <c r="BU44" s="61"/>
      <c r="BV44" s="22"/>
      <c r="BW44" s="22"/>
      <c r="BX44" s="22"/>
      <c r="BY44" s="22"/>
      <c r="BZ44" s="61"/>
      <c r="CA44" s="93"/>
      <c r="CB44" s="22"/>
      <c r="CC44" s="22"/>
      <c r="CD44" s="22"/>
      <c r="CE44" s="93"/>
      <c r="CF44" s="717"/>
      <c r="CG44" s="61"/>
      <c r="CH44" s="22"/>
      <c r="CI44" s="22"/>
      <c r="CJ44" s="22"/>
      <c r="CK44" s="22"/>
      <c r="CL44" s="61"/>
      <c r="CM44" s="93"/>
      <c r="CN44" s="22"/>
      <c r="CO44" s="22"/>
      <c r="CP44" s="22"/>
      <c r="CQ44" s="93"/>
      <c r="CR44" s="717"/>
      <c r="CS44" s="61"/>
      <c r="CT44" s="22"/>
      <c r="CU44" s="22"/>
      <c r="CV44" s="22"/>
      <c r="CW44" s="22"/>
      <c r="CX44" s="61"/>
      <c r="CY44" s="93"/>
      <c r="CZ44" s="22"/>
      <c r="DA44" s="22"/>
      <c r="DB44" s="22"/>
      <c r="DC44" s="93"/>
      <c r="DD44" s="717"/>
      <c r="DE44" s="61"/>
      <c r="DF44" s="22"/>
      <c r="DG44" s="22"/>
      <c r="DH44" s="22"/>
      <c r="DI44" s="22"/>
      <c r="DJ44" s="61"/>
      <c r="DK44" s="93"/>
      <c r="DL44" s="22"/>
      <c r="DM44" s="22"/>
      <c r="DN44" s="22"/>
      <c r="DO44" s="93"/>
      <c r="DP44" s="717"/>
      <c r="DQ44" s="61"/>
      <c r="DR44" s="22"/>
      <c r="DS44" s="22"/>
      <c r="DT44" s="22"/>
      <c r="DU44" s="22"/>
      <c r="DV44" s="61"/>
      <c r="DW44" s="93"/>
      <c r="DX44" s="22"/>
      <c r="DY44" s="22"/>
      <c r="DZ44" s="22"/>
      <c r="EA44" s="93"/>
      <c r="EB44" s="717"/>
      <c r="EC44" s="61"/>
      <c r="ED44" s="22"/>
      <c r="EE44" s="22"/>
      <c r="EF44" s="22"/>
      <c r="EG44" s="22"/>
      <c r="EH44" s="61"/>
      <c r="EI44" s="93"/>
      <c r="EJ44" s="22"/>
      <c r="EK44" s="22"/>
      <c r="EL44" s="22"/>
      <c r="EM44" s="93"/>
      <c r="EN44" s="717"/>
      <c r="EO44" s="61"/>
      <c r="EP44" s="22"/>
      <c r="EQ44" s="22"/>
      <c r="ER44" s="22"/>
      <c r="ES44" s="22"/>
      <c r="ET44" s="61"/>
      <c r="EU44" s="93"/>
      <c r="EV44" s="22"/>
      <c r="EW44" s="22"/>
      <c r="EX44" s="22"/>
      <c r="EY44" s="93"/>
      <c r="EZ44" s="717"/>
      <c r="FA44" s="61"/>
      <c r="FB44" s="22"/>
      <c r="FC44" s="22"/>
      <c r="FD44" s="22"/>
      <c r="FE44" s="22"/>
      <c r="FF44" s="61"/>
      <c r="FG44" s="93"/>
      <c r="FH44" s="22"/>
      <c r="FI44" s="22"/>
      <c r="FJ44" s="22"/>
      <c r="FK44" s="93"/>
      <c r="FL44" s="717"/>
      <c r="FM44" s="61"/>
      <c r="FN44" s="22"/>
      <c r="FO44" s="22"/>
      <c r="FP44" s="22"/>
      <c r="FQ44" s="22"/>
      <c r="FR44" s="61"/>
      <c r="FS44" s="93"/>
      <c r="FT44" s="22"/>
      <c r="FU44" s="22"/>
      <c r="FV44" s="22"/>
      <c r="FW44" s="93"/>
      <c r="FX44" s="717"/>
    </row>
    <row r="45">
      <c r="A45" s="640">
        <v>2.0</v>
      </c>
      <c r="B45" s="740">
        <v>31.0</v>
      </c>
      <c r="C45" s="741" t="str">
        <f>'Schedule | 2 Division'!K7</f>
        <v>Suplex team</v>
      </c>
      <c r="D45" s="753">
        <f t="shared" ref="D45:E45" si="72">CX61</f>
        <v>1</v>
      </c>
      <c r="E45" s="753">
        <f t="shared" si="72"/>
        <v>2</v>
      </c>
      <c r="F45" s="741" t="str">
        <f>'Schedule | 2 Division'!O7</f>
        <v>Dark Phoenix</v>
      </c>
      <c r="G45" s="740" t="str">
        <f t="shared" si="12"/>
        <v/>
      </c>
      <c r="H45" s="685" t="str">
        <f t="shared" si="13"/>
        <v>Dark Phoenix</v>
      </c>
      <c r="I45" s="688" t="str">
        <f t="shared" si="14"/>
        <v>Suplex team</v>
      </c>
      <c r="J45" s="751" t="str">
        <f t="shared" si="15"/>
        <v/>
      </c>
      <c r="K45" s="733"/>
      <c r="L45" s="717"/>
      <c r="M45" s="356" t="s">
        <v>307</v>
      </c>
      <c r="N45" s="365" t="s">
        <v>308</v>
      </c>
      <c r="O45" s="358" t="s">
        <v>309</v>
      </c>
      <c r="P45" s="363" t="s">
        <v>310</v>
      </c>
      <c r="Q45" s="366" t="s">
        <v>311</v>
      </c>
      <c r="R45" s="360" t="s">
        <v>259</v>
      </c>
      <c r="S45" s="100"/>
      <c r="T45" s="360" t="s">
        <v>311</v>
      </c>
      <c r="U45" s="363" t="s">
        <v>312</v>
      </c>
      <c r="V45" s="358" t="s">
        <v>313</v>
      </c>
      <c r="W45" s="364" t="s">
        <v>314</v>
      </c>
      <c r="X45" s="717"/>
      <c r="Y45" s="356" t="s">
        <v>307</v>
      </c>
      <c r="Z45" s="365" t="s">
        <v>308</v>
      </c>
      <c r="AA45" s="363" t="s">
        <v>309</v>
      </c>
      <c r="AB45" s="363" t="s">
        <v>310</v>
      </c>
      <c r="AC45" s="366" t="s">
        <v>311</v>
      </c>
      <c r="AD45" s="360" t="s">
        <v>259</v>
      </c>
      <c r="AE45" s="100"/>
      <c r="AF45" s="360" t="s">
        <v>311</v>
      </c>
      <c r="AG45" s="363" t="s">
        <v>312</v>
      </c>
      <c r="AH45" s="363" t="s">
        <v>313</v>
      </c>
      <c r="AI45" s="364" t="s">
        <v>314</v>
      </c>
      <c r="AJ45" s="717"/>
      <c r="AK45" s="356" t="s">
        <v>307</v>
      </c>
      <c r="AL45" s="365" t="s">
        <v>308</v>
      </c>
      <c r="AM45" s="363" t="s">
        <v>309</v>
      </c>
      <c r="AN45" s="363" t="s">
        <v>310</v>
      </c>
      <c r="AO45" s="366" t="s">
        <v>311</v>
      </c>
      <c r="AP45" s="360" t="s">
        <v>259</v>
      </c>
      <c r="AQ45" s="100"/>
      <c r="AR45" s="360" t="s">
        <v>311</v>
      </c>
      <c r="AS45" s="363" t="s">
        <v>312</v>
      </c>
      <c r="AT45" s="363" t="s">
        <v>313</v>
      </c>
      <c r="AU45" s="364" t="s">
        <v>314</v>
      </c>
      <c r="AV45" s="717"/>
      <c r="AW45" s="356" t="s">
        <v>307</v>
      </c>
      <c r="AX45" s="365" t="s">
        <v>308</v>
      </c>
      <c r="AY45" s="363" t="s">
        <v>309</v>
      </c>
      <c r="AZ45" s="363" t="s">
        <v>310</v>
      </c>
      <c r="BA45" s="366" t="s">
        <v>311</v>
      </c>
      <c r="BB45" s="360" t="s">
        <v>259</v>
      </c>
      <c r="BC45" s="100"/>
      <c r="BD45" s="360" t="s">
        <v>311</v>
      </c>
      <c r="BE45" s="363" t="s">
        <v>312</v>
      </c>
      <c r="BF45" s="363" t="s">
        <v>313</v>
      </c>
      <c r="BG45" s="364" t="s">
        <v>314</v>
      </c>
      <c r="BH45" s="717"/>
      <c r="BI45" s="356" t="s">
        <v>307</v>
      </c>
      <c r="BJ45" s="365" t="s">
        <v>308</v>
      </c>
      <c r="BK45" s="363" t="s">
        <v>309</v>
      </c>
      <c r="BL45" s="363" t="s">
        <v>310</v>
      </c>
      <c r="BM45" s="366" t="s">
        <v>311</v>
      </c>
      <c r="BN45" s="360" t="s">
        <v>259</v>
      </c>
      <c r="BO45" s="100"/>
      <c r="BP45" s="360" t="s">
        <v>311</v>
      </c>
      <c r="BQ45" s="363" t="s">
        <v>312</v>
      </c>
      <c r="BR45" s="363" t="s">
        <v>313</v>
      </c>
      <c r="BS45" s="364" t="s">
        <v>314</v>
      </c>
      <c r="BT45" s="717"/>
      <c r="BU45" s="356" t="s">
        <v>307</v>
      </c>
      <c r="BV45" s="365" t="s">
        <v>308</v>
      </c>
      <c r="BW45" s="363" t="s">
        <v>309</v>
      </c>
      <c r="BX45" s="363" t="s">
        <v>310</v>
      </c>
      <c r="BY45" s="366" t="s">
        <v>311</v>
      </c>
      <c r="BZ45" s="360" t="s">
        <v>259</v>
      </c>
      <c r="CA45" s="100"/>
      <c r="CB45" s="360" t="s">
        <v>311</v>
      </c>
      <c r="CC45" s="363" t="s">
        <v>312</v>
      </c>
      <c r="CD45" s="363" t="s">
        <v>313</v>
      </c>
      <c r="CE45" s="364" t="s">
        <v>314</v>
      </c>
      <c r="CF45" s="717"/>
      <c r="CG45" s="356" t="s">
        <v>307</v>
      </c>
      <c r="CH45" s="365" t="s">
        <v>308</v>
      </c>
      <c r="CI45" s="363" t="s">
        <v>309</v>
      </c>
      <c r="CJ45" s="363" t="s">
        <v>310</v>
      </c>
      <c r="CK45" s="366" t="s">
        <v>311</v>
      </c>
      <c r="CL45" s="360" t="s">
        <v>259</v>
      </c>
      <c r="CM45" s="100"/>
      <c r="CN45" s="360" t="s">
        <v>311</v>
      </c>
      <c r="CO45" s="363" t="s">
        <v>312</v>
      </c>
      <c r="CP45" s="363" t="s">
        <v>313</v>
      </c>
      <c r="CQ45" s="364" t="s">
        <v>314</v>
      </c>
      <c r="CR45" s="717"/>
      <c r="CS45" s="356" t="s">
        <v>307</v>
      </c>
      <c r="CT45" s="365" t="s">
        <v>308</v>
      </c>
      <c r="CU45" s="363" t="s">
        <v>309</v>
      </c>
      <c r="CV45" s="363" t="s">
        <v>310</v>
      </c>
      <c r="CW45" s="366" t="s">
        <v>311</v>
      </c>
      <c r="CX45" s="360" t="s">
        <v>259</v>
      </c>
      <c r="CY45" s="100"/>
      <c r="CZ45" s="360" t="s">
        <v>311</v>
      </c>
      <c r="DA45" s="363" t="s">
        <v>312</v>
      </c>
      <c r="DB45" s="363" t="s">
        <v>313</v>
      </c>
      <c r="DC45" s="364" t="s">
        <v>314</v>
      </c>
      <c r="DD45" s="717"/>
      <c r="DE45" s="356" t="s">
        <v>307</v>
      </c>
      <c r="DF45" s="365" t="s">
        <v>308</v>
      </c>
      <c r="DG45" s="363" t="s">
        <v>309</v>
      </c>
      <c r="DH45" s="363" t="s">
        <v>310</v>
      </c>
      <c r="DI45" s="366" t="s">
        <v>311</v>
      </c>
      <c r="DJ45" s="360" t="s">
        <v>259</v>
      </c>
      <c r="DK45" s="100"/>
      <c r="DL45" s="360" t="s">
        <v>311</v>
      </c>
      <c r="DM45" s="363" t="s">
        <v>312</v>
      </c>
      <c r="DN45" s="363" t="s">
        <v>313</v>
      </c>
      <c r="DO45" s="364" t="s">
        <v>314</v>
      </c>
      <c r="DP45" s="717"/>
      <c r="DQ45" s="356" t="s">
        <v>307</v>
      </c>
      <c r="DR45" s="365" t="s">
        <v>308</v>
      </c>
      <c r="DS45" s="363" t="s">
        <v>309</v>
      </c>
      <c r="DT45" s="363" t="s">
        <v>310</v>
      </c>
      <c r="DU45" s="366" t="s">
        <v>311</v>
      </c>
      <c r="DV45" s="360" t="s">
        <v>259</v>
      </c>
      <c r="DW45" s="100"/>
      <c r="DX45" s="360" t="s">
        <v>311</v>
      </c>
      <c r="DY45" s="363" t="s">
        <v>312</v>
      </c>
      <c r="DZ45" s="363" t="s">
        <v>313</v>
      </c>
      <c r="EA45" s="364" t="s">
        <v>314</v>
      </c>
      <c r="EB45" s="717"/>
      <c r="EC45" s="356" t="s">
        <v>307</v>
      </c>
      <c r="ED45" s="365" t="s">
        <v>308</v>
      </c>
      <c r="EE45" s="363" t="s">
        <v>309</v>
      </c>
      <c r="EF45" s="363" t="s">
        <v>310</v>
      </c>
      <c r="EG45" s="366" t="s">
        <v>311</v>
      </c>
      <c r="EH45" s="360" t="s">
        <v>259</v>
      </c>
      <c r="EI45" s="100"/>
      <c r="EJ45" s="360" t="s">
        <v>311</v>
      </c>
      <c r="EK45" s="363" t="s">
        <v>312</v>
      </c>
      <c r="EL45" s="363" t="s">
        <v>313</v>
      </c>
      <c r="EM45" s="364" t="s">
        <v>314</v>
      </c>
      <c r="EN45" s="717"/>
      <c r="EO45" s="356" t="s">
        <v>307</v>
      </c>
      <c r="EP45" s="365" t="s">
        <v>308</v>
      </c>
      <c r="EQ45" s="363" t="s">
        <v>309</v>
      </c>
      <c r="ER45" s="363" t="s">
        <v>310</v>
      </c>
      <c r="ES45" s="366" t="s">
        <v>311</v>
      </c>
      <c r="ET45" s="360" t="s">
        <v>259</v>
      </c>
      <c r="EU45" s="100"/>
      <c r="EV45" s="360" t="s">
        <v>311</v>
      </c>
      <c r="EW45" s="363" t="s">
        <v>312</v>
      </c>
      <c r="EX45" s="363" t="s">
        <v>313</v>
      </c>
      <c r="EY45" s="364" t="s">
        <v>314</v>
      </c>
      <c r="EZ45" s="717"/>
      <c r="FA45" s="356" t="s">
        <v>307</v>
      </c>
      <c r="FB45" s="365" t="s">
        <v>308</v>
      </c>
      <c r="FC45" s="363" t="s">
        <v>309</v>
      </c>
      <c r="FD45" s="363" t="s">
        <v>310</v>
      </c>
      <c r="FE45" s="366" t="s">
        <v>311</v>
      </c>
      <c r="FF45" s="360" t="s">
        <v>259</v>
      </c>
      <c r="FG45" s="100"/>
      <c r="FH45" s="360" t="s">
        <v>311</v>
      </c>
      <c r="FI45" s="363" t="s">
        <v>312</v>
      </c>
      <c r="FJ45" s="363" t="s">
        <v>313</v>
      </c>
      <c r="FK45" s="364" t="s">
        <v>314</v>
      </c>
      <c r="FL45" s="717"/>
      <c r="FM45" s="356" t="s">
        <v>307</v>
      </c>
      <c r="FN45" s="365" t="s">
        <v>308</v>
      </c>
      <c r="FO45" s="363" t="s">
        <v>309</v>
      </c>
      <c r="FP45" s="363" t="s">
        <v>310</v>
      </c>
      <c r="FQ45" s="366" t="s">
        <v>311</v>
      </c>
      <c r="FR45" s="360" t="s">
        <v>259</v>
      </c>
      <c r="FS45" s="100"/>
      <c r="FT45" s="360" t="s">
        <v>311</v>
      </c>
      <c r="FU45" s="363" t="s">
        <v>312</v>
      </c>
      <c r="FV45" s="363" t="s">
        <v>313</v>
      </c>
      <c r="FW45" s="364" t="s">
        <v>314</v>
      </c>
      <c r="FX45" s="717"/>
    </row>
    <row r="46">
      <c r="A46" s="754">
        <v>2.0</v>
      </c>
      <c r="B46" s="755">
        <v>32.0</v>
      </c>
      <c r="C46" s="756" t="str">
        <f>'Schedule | 2 Division'!K8</f>
        <v>TSA White</v>
      </c>
      <c r="D46" s="757">
        <f t="shared" ref="D46:E46" si="73">CX81</f>
        <v>0</v>
      </c>
      <c r="E46" s="757">
        <f t="shared" si="73"/>
        <v>2</v>
      </c>
      <c r="F46" s="756" t="str">
        <f>'Schedule | 2 Division'!O8</f>
        <v>HARD GRIND</v>
      </c>
      <c r="G46" s="755" t="str">
        <f t="shared" si="12"/>
        <v>HARD GRIND</v>
      </c>
      <c r="H46" s="759" t="str">
        <f t="shared" si="13"/>
        <v/>
      </c>
      <c r="I46" s="760" t="str">
        <f t="shared" si="14"/>
        <v/>
      </c>
      <c r="J46" s="771" t="str">
        <f t="shared" si="15"/>
        <v>TSA White</v>
      </c>
      <c r="K46" s="733"/>
      <c r="L46" s="717"/>
      <c r="M46" s="656">
        <v>1.0</v>
      </c>
      <c r="N46" s="357" t="s">
        <v>331</v>
      </c>
      <c r="O46" s="718" t="s">
        <v>419</v>
      </c>
      <c r="P46" s="358" t="s">
        <v>328</v>
      </c>
      <c r="Q46" s="362" t="s">
        <v>318</v>
      </c>
      <c r="R46" s="719" t="s">
        <v>320</v>
      </c>
      <c r="S46" s="720" t="s">
        <v>319</v>
      </c>
      <c r="T46" s="405" t="s">
        <v>321</v>
      </c>
      <c r="U46" s="358" t="s">
        <v>400</v>
      </c>
      <c r="V46" s="718" t="s">
        <v>769</v>
      </c>
      <c r="W46" s="362" t="s">
        <v>327</v>
      </c>
      <c r="X46" s="717"/>
      <c r="Y46" s="656">
        <v>1.0</v>
      </c>
      <c r="Z46" s="357" t="s">
        <v>434</v>
      </c>
      <c r="AA46" s="718" t="s">
        <v>316</v>
      </c>
      <c r="AB46" s="358" t="s">
        <v>737</v>
      </c>
      <c r="AC46" s="362" t="s">
        <v>318</v>
      </c>
      <c r="AD46" s="719" t="s">
        <v>319</v>
      </c>
      <c r="AE46" s="720" t="s">
        <v>320</v>
      </c>
      <c r="AF46" s="405" t="s">
        <v>321</v>
      </c>
      <c r="AG46" s="358" t="s">
        <v>389</v>
      </c>
      <c r="AH46" s="718" t="s">
        <v>779</v>
      </c>
      <c r="AI46" s="362" t="s">
        <v>324</v>
      </c>
      <c r="AJ46" s="717"/>
      <c r="AK46" s="656">
        <v>1.0</v>
      </c>
      <c r="AL46" s="357" t="s">
        <v>315</v>
      </c>
      <c r="AM46" s="718" t="s">
        <v>785</v>
      </c>
      <c r="AN46" s="358" t="s">
        <v>342</v>
      </c>
      <c r="AO46" s="362" t="s">
        <v>318</v>
      </c>
      <c r="AP46" s="719" t="s">
        <v>320</v>
      </c>
      <c r="AQ46" s="720" t="s">
        <v>319</v>
      </c>
      <c r="AR46" s="405" t="s">
        <v>321</v>
      </c>
      <c r="AS46" s="358" t="s">
        <v>382</v>
      </c>
      <c r="AT46" s="718" t="s">
        <v>417</v>
      </c>
      <c r="AU46" s="362" t="s">
        <v>324</v>
      </c>
      <c r="AV46" s="717"/>
      <c r="AW46" s="656">
        <v>1.0</v>
      </c>
      <c r="AX46" s="357" t="s">
        <v>324</v>
      </c>
      <c r="AY46" s="718" t="s">
        <v>419</v>
      </c>
      <c r="AZ46" s="358" t="s">
        <v>317</v>
      </c>
      <c r="BA46" s="362" t="s">
        <v>318</v>
      </c>
      <c r="BB46" s="719" t="s">
        <v>319</v>
      </c>
      <c r="BC46" s="720" t="s">
        <v>320</v>
      </c>
      <c r="BD46" s="405" t="s">
        <v>321</v>
      </c>
      <c r="BE46" s="358" t="s">
        <v>369</v>
      </c>
      <c r="BF46" s="718" t="s">
        <v>370</v>
      </c>
      <c r="BG46" s="362" t="s">
        <v>325</v>
      </c>
      <c r="BH46" s="717"/>
      <c r="BI46" s="656">
        <v>1.0</v>
      </c>
      <c r="BJ46" s="357" t="s">
        <v>369</v>
      </c>
      <c r="BK46" s="718" t="s">
        <v>767</v>
      </c>
      <c r="BL46" s="358" t="s">
        <v>317</v>
      </c>
      <c r="BM46" s="362" t="s">
        <v>318</v>
      </c>
      <c r="BN46" s="719" t="s">
        <v>319</v>
      </c>
      <c r="BO46" s="720" t="s">
        <v>320</v>
      </c>
      <c r="BP46" s="405" t="s">
        <v>321</v>
      </c>
      <c r="BQ46" s="358" t="s">
        <v>389</v>
      </c>
      <c r="BR46" s="718" t="s">
        <v>457</v>
      </c>
      <c r="BS46" s="362" t="s">
        <v>324</v>
      </c>
      <c r="BT46" s="717"/>
      <c r="BU46" s="656">
        <v>1.0</v>
      </c>
      <c r="BV46" s="357" t="s">
        <v>329</v>
      </c>
      <c r="BW46" s="718" t="s">
        <v>461</v>
      </c>
      <c r="BX46" s="358" t="s">
        <v>400</v>
      </c>
      <c r="BY46" s="362" t="s">
        <v>318</v>
      </c>
      <c r="BZ46" s="719" t="s">
        <v>320</v>
      </c>
      <c r="CA46" s="720" t="s">
        <v>319</v>
      </c>
      <c r="CB46" s="405" t="s">
        <v>321</v>
      </c>
      <c r="CC46" s="358" t="s">
        <v>325</v>
      </c>
      <c r="CD46" s="718" t="s">
        <v>419</v>
      </c>
      <c r="CE46" s="362" t="s">
        <v>324</v>
      </c>
      <c r="CF46" s="717"/>
      <c r="CG46" s="656">
        <v>1.0</v>
      </c>
      <c r="CH46" s="357" t="s">
        <v>331</v>
      </c>
      <c r="CI46" s="718" t="s">
        <v>782</v>
      </c>
      <c r="CJ46" s="358" t="s">
        <v>327</v>
      </c>
      <c r="CK46" s="362" t="s">
        <v>318</v>
      </c>
      <c r="CL46" s="719" t="s">
        <v>319</v>
      </c>
      <c r="CM46" s="720" t="s">
        <v>320</v>
      </c>
      <c r="CN46" s="405" t="s">
        <v>321</v>
      </c>
      <c r="CO46" s="358" t="s">
        <v>342</v>
      </c>
      <c r="CP46" s="718" t="s">
        <v>481</v>
      </c>
      <c r="CQ46" s="362" t="s">
        <v>324</v>
      </c>
      <c r="CR46" s="717"/>
      <c r="CS46" s="656">
        <v>1.0</v>
      </c>
      <c r="CT46" s="357" t="s">
        <v>400</v>
      </c>
      <c r="CU46" s="718" t="s">
        <v>779</v>
      </c>
      <c r="CV46" s="358" t="s">
        <v>396</v>
      </c>
      <c r="CW46" s="362" t="s">
        <v>318</v>
      </c>
      <c r="CX46" s="719" t="s">
        <v>320</v>
      </c>
      <c r="CY46" s="720" t="s">
        <v>319</v>
      </c>
      <c r="CZ46" s="405" t="s">
        <v>321</v>
      </c>
      <c r="DA46" s="358" t="s">
        <v>369</v>
      </c>
      <c r="DB46" s="718" t="s">
        <v>768</v>
      </c>
      <c r="DC46" s="362" t="s">
        <v>434</v>
      </c>
      <c r="DD46" s="717"/>
      <c r="DE46" s="656">
        <v>1.0</v>
      </c>
      <c r="DF46" s="357" t="s">
        <v>331</v>
      </c>
      <c r="DG46" s="718" t="s">
        <v>372</v>
      </c>
      <c r="DH46" s="358" t="s">
        <v>342</v>
      </c>
      <c r="DI46" s="362" t="s">
        <v>318</v>
      </c>
      <c r="DJ46" s="719" t="s">
        <v>319</v>
      </c>
      <c r="DK46" s="719" t="s">
        <v>320</v>
      </c>
      <c r="DL46" s="357" t="s">
        <v>321</v>
      </c>
      <c r="DM46" s="358" t="s">
        <v>377</v>
      </c>
      <c r="DN46" s="718" t="s">
        <v>771</v>
      </c>
      <c r="DO46" s="362" t="s">
        <v>324</v>
      </c>
      <c r="DP46" s="717"/>
      <c r="DQ46" s="656">
        <v>1.0</v>
      </c>
      <c r="DR46" s="357" t="s">
        <v>337</v>
      </c>
      <c r="DS46" s="718" t="s">
        <v>473</v>
      </c>
      <c r="DT46" s="358" t="s">
        <v>369</v>
      </c>
      <c r="DU46" s="362" t="s">
        <v>318</v>
      </c>
      <c r="DV46" s="719" t="s">
        <v>319</v>
      </c>
      <c r="DW46" s="719" t="s">
        <v>320</v>
      </c>
      <c r="DX46" s="357" t="s">
        <v>321</v>
      </c>
      <c r="DY46" s="358" t="s">
        <v>325</v>
      </c>
      <c r="DZ46" s="718" t="s">
        <v>461</v>
      </c>
      <c r="EA46" s="362" t="s">
        <v>324</v>
      </c>
      <c r="EB46" s="717"/>
      <c r="EC46" s="656">
        <v>1.0</v>
      </c>
      <c r="ED46" s="357" t="s">
        <v>400</v>
      </c>
      <c r="EE46" s="718" t="s">
        <v>316</v>
      </c>
      <c r="EF46" s="358" t="s">
        <v>328</v>
      </c>
      <c r="EG46" s="362" t="s">
        <v>318</v>
      </c>
      <c r="EH46" s="719" t="s">
        <v>319</v>
      </c>
      <c r="EI46" s="719" t="s">
        <v>320</v>
      </c>
      <c r="EJ46" s="357" t="s">
        <v>321</v>
      </c>
      <c r="EK46" s="358" t="s">
        <v>396</v>
      </c>
      <c r="EL46" s="718" t="s">
        <v>768</v>
      </c>
      <c r="EM46" s="362" t="s">
        <v>324</v>
      </c>
      <c r="EN46" s="717"/>
      <c r="EO46" s="656">
        <v>1.0</v>
      </c>
      <c r="EP46" s="357" t="s">
        <v>342</v>
      </c>
      <c r="EQ46" s="718" t="s">
        <v>768</v>
      </c>
      <c r="ER46" s="358" t="s">
        <v>382</v>
      </c>
      <c r="ES46" s="362" t="s">
        <v>318</v>
      </c>
      <c r="ET46" s="719" t="s">
        <v>319</v>
      </c>
      <c r="EU46" s="719" t="s">
        <v>320</v>
      </c>
      <c r="EV46" s="357" t="s">
        <v>321</v>
      </c>
      <c r="EW46" s="358" t="s">
        <v>328</v>
      </c>
      <c r="EX46" s="234" t="s">
        <v>463</v>
      </c>
      <c r="EY46" s="362" t="s">
        <v>343</v>
      </c>
      <c r="EZ46" s="717"/>
      <c r="FA46" s="656">
        <v>1.0</v>
      </c>
      <c r="FB46" s="357" t="s">
        <v>315</v>
      </c>
      <c r="FC46" s="718" t="s">
        <v>480</v>
      </c>
      <c r="FD46" s="358" t="s">
        <v>324</v>
      </c>
      <c r="FE46" s="362" t="s">
        <v>318</v>
      </c>
      <c r="FF46" s="719" t="s">
        <v>319</v>
      </c>
      <c r="FG46" s="719" t="s">
        <v>320</v>
      </c>
      <c r="FH46" s="357" t="s">
        <v>321</v>
      </c>
      <c r="FI46" s="358" t="s">
        <v>342</v>
      </c>
      <c r="FJ46" s="718" t="s">
        <v>781</v>
      </c>
      <c r="FK46" s="362" t="s">
        <v>341</v>
      </c>
      <c r="FL46" s="717"/>
      <c r="FM46" s="656">
        <v>1.0</v>
      </c>
      <c r="FN46" s="357" t="s">
        <v>341</v>
      </c>
      <c r="FO46" s="718" t="s">
        <v>344</v>
      </c>
      <c r="FP46" s="358" t="s">
        <v>337</v>
      </c>
      <c r="FQ46" s="362" t="s">
        <v>318</v>
      </c>
      <c r="FR46" s="719" t="s">
        <v>319</v>
      </c>
      <c r="FS46" s="719" t="s">
        <v>320</v>
      </c>
      <c r="FT46" s="357" t="s">
        <v>321</v>
      </c>
      <c r="FU46" s="358" t="s">
        <v>342</v>
      </c>
      <c r="FV46" s="718" t="s">
        <v>781</v>
      </c>
      <c r="FW46" s="362" t="s">
        <v>327</v>
      </c>
      <c r="FX46" s="717"/>
    </row>
    <row r="47">
      <c r="A47" s="640">
        <v>2.0</v>
      </c>
      <c r="B47" s="740">
        <v>33.0</v>
      </c>
      <c r="C47" s="741" t="str">
        <f>'Schedule | 2 Division'!K11</f>
        <v>Omnix</v>
      </c>
      <c r="D47" s="753">
        <f t="shared" ref="D47:E47" si="74">DJ21</f>
        <v>1</v>
      </c>
      <c r="E47" s="753">
        <f t="shared" si="74"/>
        <v>2</v>
      </c>
      <c r="F47" s="741" t="str">
        <f>'Schedule | 2 Division'!O11</f>
        <v>TSA White</v>
      </c>
      <c r="G47" s="740" t="str">
        <f t="shared" si="12"/>
        <v/>
      </c>
      <c r="H47" s="685" t="str">
        <f t="shared" si="13"/>
        <v>TSA White</v>
      </c>
      <c r="I47" s="688" t="str">
        <f t="shared" si="14"/>
        <v>Omnix</v>
      </c>
      <c r="J47" s="751" t="str">
        <f t="shared" si="15"/>
        <v/>
      </c>
      <c r="K47" s="733"/>
      <c r="L47" s="717"/>
      <c r="M47" s="66"/>
      <c r="N47" s="645" t="s">
        <v>324</v>
      </c>
      <c r="O47" s="722" t="s">
        <v>627</v>
      </c>
      <c r="P47" s="405" t="s">
        <v>374</v>
      </c>
      <c r="Q47" s="92"/>
      <c r="S47" s="92"/>
      <c r="U47" s="405" t="s">
        <v>315</v>
      </c>
      <c r="V47" s="722" t="s">
        <v>784</v>
      </c>
      <c r="W47" s="682" t="s">
        <v>317</v>
      </c>
      <c r="X47" s="717"/>
      <c r="Y47" s="66"/>
      <c r="Z47" s="645" t="s">
        <v>325</v>
      </c>
      <c r="AA47" s="722" t="s">
        <v>344</v>
      </c>
      <c r="AB47" s="405" t="s">
        <v>342</v>
      </c>
      <c r="AC47" s="92"/>
      <c r="AE47" s="92"/>
      <c r="AG47" s="405" t="s">
        <v>352</v>
      </c>
      <c r="AH47" s="722" t="s">
        <v>372</v>
      </c>
      <c r="AI47" s="682" t="s">
        <v>327</v>
      </c>
      <c r="AJ47" s="717"/>
      <c r="AK47" s="66"/>
      <c r="AL47" s="645" t="s">
        <v>317</v>
      </c>
      <c r="AM47" s="722" t="s">
        <v>768</v>
      </c>
      <c r="AN47" s="405" t="s">
        <v>389</v>
      </c>
      <c r="AO47" s="92"/>
      <c r="AQ47" s="92"/>
      <c r="AS47" s="405" t="s">
        <v>331</v>
      </c>
      <c r="AT47" s="722" t="s">
        <v>767</v>
      </c>
      <c r="AU47" s="682" t="s">
        <v>369</v>
      </c>
      <c r="AV47" s="717"/>
      <c r="AW47" s="66"/>
      <c r="AX47" s="645" t="s">
        <v>327</v>
      </c>
      <c r="AY47" s="722" t="s">
        <v>428</v>
      </c>
      <c r="AZ47" s="405" t="s">
        <v>375</v>
      </c>
      <c r="BA47" s="92"/>
      <c r="BC47" s="92"/>
      <c r="BE47" s="405" t="s">
        <v>337</v>
      </c>
      <c r="BF47" s="722" t="s">
        <v>344</v>
      </c>
      <c r="BG47" s="682" t="s">
        <v>315</v>
      </c>
      <c r="BH47" s="717"/>
      <c r="BI47" s="66"/>
      <c r="BJ47" s="645" t="s">
        <v>315</v>
      </c>
      <c r="BK47" s="722" t="s">
        <v>463</v>
      </c>
      <c r="BL47" s="405" t="s">
        <v>414</v>
      </c>
      <c r="BM47" s="92"/>
      <c r="BO47" s="92"/>
      <c r="BQ47" s="405" t="s">
        <v>352</v>
      </c>
      <c r="BR47" s="722" t="s">
        <v>774</v>
      </c>
      <c r="BS47" s="682" t="s">
        <v>342</v>
      </c>
      <c r="BT47" s="717"/>
      <c r="BU47" s="66"/>
      <c r="BV47" s="645" t="s">
        <v>369</v>
      </c>
      <c r="BW47" s="722" t="s">
        <v>457</v>
      </c>
      <c r="BX47" s="405" t="s">
        <v>322</v>
      </c>
      <c r="BY47" s="92"/>
      <c r="CA47" s="92"/>
      <c r="CC47" s="405" t="s">
        <v>328</v>
      </c>
      <c r="CD47" s="722" t="s">
        <v>428</v>
      </c>
      <c r="CE47" s="682" t="s">
        <v>327</v>
      </c>
      <c r="CF47" s="717"/>
      <c r="CG47" s="66"/>
      <c r="CH47" s="645" t="s">
        <v>412</v>
      </c>
      <c r="CI47" s="722" t="s">
        <v>457</v>
      </c>
      <c r="CJ47" s="405" t="s">
        <v>369</v>
      </c>
      <c r="CK47" s="92"/>
      <c r="CM47" s="92"/>
      <c r="CO47" s="405" t="s">
        <v>315</v>
      </c>
      <c r="CP47" s="722" t="s">
        <v>474</v>
      </c>
      <c r="CQ47" s="682" t="s">
        <v>334</v>
      </c>
      <c r="CR47" s="717"/>
      <c r="CS47" s="66"/>
      <c r="CT47" s="645" t="s">
        <v>317</v>
      </c>
      <c r="CU47" s="722" t="s">
        <v>345</v>
      </c>
      <c r="CV47" s="405" t="s">
        <v>315</v>
      </c>
      <c r="CW47" s="92"/>
      <c r="CY47" s="92"/>
      <c r="DA47" s="405" t="s">
        <v>325</v>
      </c>
      <c r="DB47" s="722" t="s">
        <v>419</v>
      </c>
      <c r="DC47" s="682" t="s">
        <v>747</v>
      </c>
      <c r="DD47" s="717"/>
      <c r="DE47" s="66"/>
      <c r="DF47" s="645" t="s">
        <v>369</v>
      </c>
      <c r="DG47" s="722" t="s">
        <v>390</v>
      </c>
      <c r="DH47" s="405" t="s">
        <v>384</v>
      </c>
      <c r="DI47" s="92"/>
      <c r="DL47" s="55"/>
      <c r="DM47" s="405" t="s">
        <v>315</v>
      </c>
      <c r="DN47" s="722" t="s">
        <v>474</v>
      </c>
      <c r="DO47" s="682" t="s">
        <v>317</v>
      </c>
      <c r="DP47" s="717"/>
      <c r="DQ47" s="66"/>
      <c r="DR47" s="645" t="s">
        <v>327</v>
      </c>
      <c r="DS47" s="722" t="s">
        <v>475</v>
      </c>
      <c r="DT47" s="405" t="s">
        <v>343</v>
      </c>
      <c r="DU47" s="92"/>
      <c r="DX47" s="55"/>
      <c r="DY47" s="405" t="s">
        <v>315</v>
      </c>
      <c r="DZ47" s="722" t="s">
        <v>459</v>
      </c>
      <c r="EA47" s="682" t="s">
        <v>328</v>
      </c>
      <c r="EB47" s="717"/>
      <c r="EC47" s="66"/>
      <c r="ED47" s="645" t="s">
        <v>315</v>
      </c>
      <c r="EE47" s="722" t="s">
        <v>344</v>
      </c>
      <c r="EF47" s="405" t="s">
        <v>407</v>
      </c>
      <c r="EG47" s="92"/>
      <c r="EJ47" s="55"/>
      <c r="EK47" s="405" t="s">
        <v>384</v>
      </c>
      <c r="EL47" s="722" t="s">
        <v>428</v>
      </c>
      <c r="EM47" s="682" t="s">
        <v>342</v>
      </c>
      <c r="EN47" s="717"/>
      <c r="EO47" s="66"/>
      <c r="EP47" s="645" t="s">
        <v>325</v>
      </c>
      <c r="EQ47" s="722" t="s">
        <v>428</v>
      </c>
      <c r="ER47" s="405" t="s">
        <v>384</v>
      </c>
      <c r="ES47" s="92"/>
      <c r="EV47" s="55"/>
      <c r="EW47" s="405" t="s">
        <v>341</v>
      </c>
      <c r="EX47" s="242" t="s">
        <v>459</v>
      </c>
      <c r="EY47" s="682" t="s">
        <v>324</v>
      </c>
      <c r="EZ47" s="717"/>
      <c r="FA47" s="66"/>
      <c r="FB47" s="645" t="s">
        <v>343</v>
      </c>
      <c r="FC47" s="722" t="s">
        <v>476</v>
      </c>
      <c r="FD47" s="405" t="s">
        <v>331</v>
      </c>
      <c r="FE47" s="92"/>
      <c r="FH47" s="55"/>
      <c r="FI47" s="405" t="s">
        <v>328</v>
      </c>
      <c r="FJ47" s="722" t="s">
        <v>599</v>
      </c>
      <c r="FK47" s="682" t="s">
        <v>377</v>
      </c>
      <c r="FL47" s="717"/>
      <c r="FM47" s="66"/>
      <c r="FN47" s="645" t="s">
        <v>325</v>
      </c>
      <c r="FO47" s="722" t="s">
        <v>316</v>
      </c>
      <c r="FP47" s="405" t="s">
        <v>375</v>
      </c>
      <c r="FQ47" s="92"/>
      <c r="FT47" s="55"/>
      <c r="FU47" s="405" t="s">
        <v>328</v>
      </c>
      <c r="FV47" s="722" t="s">
        <v>599</v>
      </c>
      <c r="FW47" s="682" t="s">
        <v>373</v>
      </c>
      <c r="FX47" s="717"/>
    </row>
    <row r="48">
      <c r="A48" s="640">
        <v>2.0</v>
      </c>
      <c r="B48" s="740">
        <v>34.0</v>
      </c>
      <c r="C48" s="741" t="str">
        <f>'Schedule | 2 Division'!K12</f>
        <v>The Soulless Team</v>
      </c>
      <c r="D48" s="753">
        <f t="shared" ref="D48:E48" si="75">DJ41</f>
        <v>1</v>
      </c>
      <c r="E48" s="753">
        <f t="shared" si="75"/>
        <v>2</v>
      </c>
      <c r="F48" s="741" t="str">
        <f>'Schedule | 2 Division'!O12</f>
        <v>INVISION</v>
      </c>
      <c r="G48" s="740" t="str">
        <f t="shared" si="12"/>
        <v/>
      </c>
      <c r="H48" s="685" t="str">
        <f t="shared" si="13"/>
        <v>INVISION</v>
      </c>
      <c r="I48" s="688" t="str">
        <f t="shared" si="14"/>
        <v>The Soulless Team</v>
      </c>
      <c r="J48" s="751" t="str">
        <f t="shared" si="15"/>
        <v/>
      </c>
      <c r="K48" s="733"/>
      <c r="L48" s="717"/>
      <c r="M48" s="66"/>
      <c r="N48" s="645" t="s">
        <v>369</v>
      </c>
      <c r="O48" s="722" t="s">
        <v>783</v>
      </c>
      <c r="P48" s="405" t="s">
        <v>337</v>
      </c>
      <c r="Q48" s="92"/>
      <c r="S48" s="92"/>
      <c r="U48" s="405" t="s">
        <v>396</v>
      </c>
      <c r="V48" s="722" t="s">
        <v>435</v>
      </c>
      <c r="W48" s="682" t="s">
        <v>342</v>
      </c>
      <c r="X48" s="717"/>
      <c r="Y48" s="66"/>
      <c r="Z48" s="645" t="s">
        <v>331</v>
      </c>
      <c r="AA48" s="722" t="s">
        <v>780</v>
      </c>
      <c r="AB48" s="405" t="s">
        <v>373</v>
      </c>
      <c r="AC48" s="92"/>
      <c r="AE48" s="92"/>
      <c r="AG48" s="405" t="s">
        <v>315</v>
      </c>
      <c r="AH48" s="722" t="s">
        <v>345</v>
      </c>
      <c r="AI48" s="682" t="s">
        <v>328</v>
      </c>
      <c r="AJ48" s="717"/>
      <c r="AK48" s="66"/>
      <c r="AL48" s="645" t="s">
        <v>325</v>
      </c>
      <c r="AM48" s="722" t="s">
        <v>772</v>
      </c>
      <c r="AN48" s="405" t="s">
        <v>327</v>
      </c>
      <c r="AO48" s="92"/>
      <c r="AQ48" s="92"/>
      <c r="AS48" s="405" t="s">
        <v>354</v>
      </c>
      <c r="AT48" s="722" t="s">
        <v>425</v>
      </c>
      <c r="AU48" s="682" t="s">
        <v>328</v>
      </c>
      <c r="AV48" s="717"/>
      <c r="AW48" s="66"/>
      <c r="AX48" s="645" t="s">
        <v>328</v>
      </c>
      <c r="AY48" s="722" t="s">
        <v>785</v>
      </c>
      <c r="AZ48" s="405" t="s">
        <v>337</v>
      </c>
      <c r="BA48" s="92"/>
      <c r="BC48" s="92"/>
      <c r="BE48" s="405" t="s">
        <v>334</v>
      </c>
      <c r="BF48" s="722" t="s">
        <v>460</v>
      </c>
      <c r="BG48" s="682" t="s">
        <v>408</v>
      </c>
      <c r="BH48" s="717"/>
      <c r="BI48" s="66"/>
      <c r="BJ48" s="645" t="s">
        <v>328</v>
      </c>
      <c r="BK48" s="722" t="s">
        <v>425</v>
      </c>
      <c r="BL48" s="405" t="s">
        <v>354</v>
      </c>
      <c r="BM48" s="92"/>
      <c r="BO48" s="92"/>
      <c r="BQ48" s="405" t="s">
        <v>362</v>
      </c>
      <c r="BR48" s="722" t="s">
        <v>459</v>
      </c>
      <c r="BS48" s="682" t="s">
        <v>327</v>
      </c>
      <c r="BT48" s="717"/>
      <c r="BU48" s="66"/>
      <c r="BV48" s="645" t="s">
        <v>317</v>
      </c>
      <c r="BW48" s="722" t="s">
        <v>459</v>
      </c>
      <c r="BX48" s="405" t="s">
        <v>315</v>
      </c>
      <c r="BY48" s="92"/>
      <c r="CA48" s="92"/>
      <c r="CC48" s="405" t="s">
        <v>396</v>
      </c>
      <c r="CD48" s="722" t="s">
        <v>768</v>
      </c>
      <c r="CE48" s="682" t="s">
        <v>342</v>
      </c>
      <c r="CF48" s="717"/>
      <c r="CG48" s="66"/>
      <c r="CH48" s="645" t="s">
        <v>328</v>
      </c>
      <c r="CI48" s="722" t="s">
        <v>461</v>
      </c>
      <c r="CJ48" s="405" t="s">
        <v>325</v>
      </c>
      <c r="CK48" s="92"/>
      <c r="CM48" s="92"/>
      <c r="CO48" s="405" t="s">
        <v>400</v>
      </c>
      <c r="CP48" s="722" t="s">
        <v>476</v>
      </c>
      <c r="CQ48" s="682" t="s">
        <v>317</v>
      </c>
      <c r="CR48" s="717"/>
      <c r="CS48" s="66"/>
      <c r="CT48" s="645" t="s">
        <v>324</v>
      </c>
      <c r="CU48" s="722" t="s">
        <v>773</v>
      </c>
      <c r="CV48" s="405" t="s">
        <v>403</v>
      </c>
      <c r="CW48" s="92"/>
      <c r="CY48" s="92"/>
      <c r="DA48" s="405" t="s">
        <v>374</v>
      </c>
      <c r="DB48" s="722" t="s">
        <v>627</v>
      </c>
      <c r="DC48" s="682" t="s">
        <v>342</v>
      </c>
      <c r="DD48" s="717"/>
      <c r="DE48" s="66"/>
      <c r="DF48" s="645" t="s">
        <v>328</v>
      </c>
      <c r="DG48" s="722" t="s">
        <v>779</v>
      </c>
      <c r="DH48" s="405" t="s">
        <v>389</v>
      </c>
      <c r="DI48" s="92"/>
      <c r="DL48" s="55"/>
      <c r="DM48" s="405" t="s">
        <v>400</v>
      </c>
      <c r="DN48" s="722" t="s">
        <v>476</v>
      </c>
      <c r="DO48" s="682" t="s">
        <v>327</v>
      </c>
      <c r="DP48" s="717"/>
      <c r="DQ48" s="66"/>
      <c r="DR48" s="645" t="s">
        <v>331</v>
      </c>
      <c r="DS48" s="722" t="s">
        <v>482</v>
      </c>
      <c r="DT48" s="405" t="s">
        <v>352</v>
      </c>
      <c r="DU48" s="92"/>
      <c r="DX48" s="55"/>
      <c r="DY48" s="405" t="s">
        <v>414</v>
      </c>
      <c r="DZ48" s="722" t="s">
        <v>463</v>
      </c>
      <c r="EA48" s="682" t="s">
        <v>342</v>
      </c>
      <c r="EB48" s="717"/>
      <c r="EC48" s="66"/>
      <c r="ED48" s="645" t="s">
        <v>317</v>
      </c>
      <c r="EE48" s="722" t="s">
        <v>780</v>
      </c>
      <c r="EF48" s="405" t="s">
        <v>373</v>
      </c>
      <c r="EG48" s="92"/>
      <c r="EJ48" s="55"/>
      <c r="EK48" s="405" t="s">
        <v>325</v>
      </c>
      <c r="EL48" s="722" t="s">
        <v>419</v>
      </c>
      <c r="EM48" s="682" t="s">
        <v>327</v>
      </c>
      <c r="EN48" s="717"/>
      <c r="EO48" s="66"/>
      <c r="EP48" s="645" t="s">
        <v>327</v>
      </c>
      <c r="EQ48" s="722" t="s">
        <v>419</v>
      </c>
      <c r="ER48" s="405" t="s">
        <v>317</v>
      </c>
      <c r="ES48" s="92"/>
      <c r="EV48" s="55"/>
      <c r="EW48" s="405" t="s">
        <v>331</v>
      </c>
      <c r="EX48" s="242" t="s">
        <v>461</v>
      </c>
      <c r="EY48" s="682" t="s">
        <v>396</v>
      </c>
      <c r="EZ48" s="717"/>
      <c r="FA48" s="66"/>
      <c r="FB48" s="645" t="s">
        <v>327</v>
      </c>
      <c r="FC48" s="722" t="s">
        <v>431</v>
      </c>
      <c r="FD48" s="405" t="s">
        <v>414</v>
      </c>
      <c r="FE48" s="92"/>
      <c r="FH48" s="55"/>
      <c r="FI48" s="405" t="s">
        <v>376</v>
      </c>
      <c r="FJ48" s="722" t="s">
        <v>417</v>
      </c>
      <c r="FK48" s="682" t="s">
        <v>317</v>
      </c>
      <c r="FL48" s="717"/>
      <c r="FM48" s="66"/>
      <c r="FN48" s="645" t="s">
        <v>317</v>
      </c>
      <c r="FO48" s="722" t="s">
        <v>780</v>
      </c>
      <c r="FP48" s="405" t="s">
        <v>359</v>
      </c>
      <c r="FQ48" s="92"/>
      <c r="FT48" s="55"/>
      <c r="FU48" s="405" t="s">
        <v>382</v>
      </c>
      <c r="FV48" s="722" t="s">
        <v>417</v>
      </c>
      <c r="FW48" s="682"/>
      <c r="FX48" s="717"/>
    </row>
    <row r="49">
      <c r="A49" s="640">
        <v>2.0</v>
      </c>
      <c r="B49" s="740">
        <v>35.0</v>
      </c>
      <c r="C49" s="741" t="str">
        <f>'Schedule | 2 Division'!K13</f>
        <v>Suplex team</v>
      </c>
      <c r="D49" s="753">
        <f t="shared" ref="D49:E49" si="76">DJ61</f>
        <v>1</v>
      </c>
      <c r="E49" s="753">
        <f t="shared" si="76"/>
        <v>2</v>
      </c>
      <c r="F49" s="741" t="str">
        <f>'Schedule | 2 Division'!O13</f>
        <v>Aterion Esports</v>
      </c>
      <c r="G49" s="740" t="str">
        <f t="shared" si="12"/>
        <v/>
      </c>
      <c r="H49" s="685" t="str">
        <f t="shared" si="13"/>
        <v>Aterion Esports</v>
      </c>
      <c r="I49" s="688" t="str">
        <f t="shared" si="14"/>
        <v>Suplex team</v>
      </c>
      <c r="J49" s="751" t="str">
        <f t="shared" si="15"/>
        <v/>
      </c>
      <c r="K49" s="733"/>
      <c r="L49" s="717"/>
      <c r="M49" s="66"/>
      <c r="N49" s="645" t="s">
        <v>405</v>
      </c>
      <c r="O49" s="722" t="s">
        <v>768</v>
      </c>
      <c r="P49" s="405" t="s">
        <v>325</v>
      </c>
      <c r="Q49" s="92"/>
      <c r="S49" s="92"/>
      <c r="U49" s="405" t="s">
        <v>375</v>
      </c>
      <c r="V49" s="722" t="s">
        <v>778</v>
      </c>
      <c r="W49" s="682" t="s">
        <v>329</v>
      </c>
      <c r="X49" s="717"/>
      <c r="Y49" s="66"/>
      <c r="Z49" s="645" t="s">
        <v>337</v>
      </c>
      <c r="AA49" s="722" t="s">
        <v>370</v>
      </c>
      <c r="AB49" s="405" t="s">
        <v>369</v>
      </c>
      <c r="AC49" s="92"/>
      <c r="AE49" s="92"/>
      <c r="AG49" s="405" t="s">
        <v>384</v>
      </c>
      <c r="AH49" s="722" t="s">
        <v>390</v>
      </c>
      <c r="AI49" s="682" t="s">
        <v>375</v>
      </c>
      <c r="AJ49" s="717"/>
      <c r="AK49" s="66"/>
      <c r="AL49" s="645" t="s">
        <v>384</v>
      </c>
      <c r="AM49" s="722" t="s">
        <v>627</v>
      </c>
      <c r="AN49" s="405" t="s">
        <v>408</v>
      </c>
      <c r="AO49" s="92"/>
      <c r="AQ49" s="92"/>
      <c r="AS49" s="405" t="s">
        <v>375</v>
      </c>
      <c r="AT49" s="722" t="s">
        <v>463</v>
      </c>
      <c r="AU49" s="682" t="s">
        <v>432</v>
      </c>
      <c r="AV49" s="717"/>
      <c r="AW49" s="66"/>
      <c r="AX49" s="645" t="s">
        <v>373</v>
      </c>
      <c r="AY49" s="722" t="s">
        <v>627</v>
      </c>
      <c r="AZ49" s="405" t="s">
        <v>374</v>
      </c>
      <c r="BA49" s="92"/>
      <c r="BC49" s="92"/>
      <c r="BE49" s="405" t="s">
        <v>368</v>
      </c>
      <c r="BF49" s="722" t="s">
        <v>780</v>
      </c>
      <c r="BG49" s="682" t="s">
        <v>361</v>
      </c>
      <c r="BH49" s="717"/>
      <c r="BI49" s="66"/>
      <c r="BJ49" s="645" t="s">
        <v>400</v>
      </c>
      <c r="BK49" s="722" t="s">
        <v>770</v>
      </c>
      <c r="BL49" s="405" t="s">
        <v>346</v>
      </c>
      <c r="BM49" s="92"/>
      <c r="BO49" s="92"/>
      <c r="BQ49" s="405" t="s">
        <v>728</v>
      </c>
      <c r="BR49" s="722" t="s">
        <v>782</v>
      </c>
      <c r="BS49" s="682" t="s">
        <v>337</v>
      </c>
      <c r="BT49" s="717"/>
      <c r="BU49" s="66"/>
      <c r="BV49" s="645" t="s">
        <v>391</v>
      </c>
      <c r="BW49" s="722" t="s">
        <v>782</v>
      </c>
      <c r="BX49" s="405" t="s">
        <v>414</v>
      </c>
      <c r="BY49" s="92"/>
      <c r="CA49" s="92"/>
      <c r="CC49" s="405" t="s">
        <v>374</v>
      </c>
      <c r="CD49" s="722" t="s">
        <v>627</v>
      </c>
      <c r="CE49" s="682" t="s">
        <v>352</v>
      </c>
      <c r="CF49" s="717"/>
      <c r="CG49" s="66"/>
      <c r="CH49" s="645" t="s">
        <v>389</v>
      </c>
      <c r="CI49" s="722" t="s">
        <v>774</v>
      </c>
      <c r="CJ49" s="405" t="s">
        <v>439</v>
      </c>
      <c r="CK49" s="92"/>
      <c r="CM49" s="92"/>
      <c r="CO49" s="405" t="s">
        <v>19</v>
      </c>
      <c r="CP49" s="722" t="s">
        <v>480</v>
      </c>
      <c r="CQ49" s="682" t="s">
        <v>337</v>
      </c>
      <c r="CR49" s="717"/>
      <c r="CS49" s="66"/>
      <c r="CT49" s="645" t="s">
        <v>337</v>
      </c>
      <c r="CU49" s="722" t="s">
        <v>390</v>
      </c>
      <c r="CV49" s="405" t="s">
        <v>328</v>
      </c>
      <c r="CW49" s="92"/>
      <c r="CY49" s="92"/>
      <c r="DA49" s="405" t="s">
        <v>384</v>
      </c>
      <c r="DB49" s="722" t="s">
        <v>428</v>
      </c>
      <c r="DC49" s="682" t="s">
        <v>376</v>
      </c>
      <c r="DD49" s="717"/>
      <c r="DE49" s="66"/>
      <c r="DF49" s="645" t="s">
        <v>375</v>
      </c>
      <c r="DG49" s="722" t="s">
        <v>773</v>
      </c>
      <c r="DH49" s="405" t="s">
        <v>334</v>
      </c>
      <c r="DI49" s="92"/>
      <c r="DL49" s="55"/>
      <c r="DM49" s="405" t="s">
        <v>352</v>
      </c>
      <c r="DN49" s="722" t="s">
        <v>481</v>
      </c>
      <c r="DO49" s="682" t="s">
        <v>343</v>
      </c>
      <c r="DP49" s="717"/>
      <c r="DQ49" s="66"/>
      <c r="DR49" s="645" t="s">
        <v>384</v>
      </c>
      <c r="DS49" s="722" t="s">
        <v>477</v>
      </c>
      <c r="DT49" s="405" t="s">
        <v>362</v>
      </c>
      <c r="DU49" s="92"/>
      <c r="DX49" s="55"/>
      <c r="DY49" s="405" t="s">
        <v>389</v>
      </c>
      <c r="DZ49" s="722" t="s">
        <v>457</v>
      </c>
      <c r="EA49" s="682" t="s">
        <v>483</v>
      </c>
      <c r="EB49" s="717"/>
      <c r="EC49" s="66"/>
      <c r="ED49" s="645" t="s">
        <v>374</v>
      </c>
      <c r="EE49" s="722" t="s">
        <v>370</v>
      </c>
      <c r="EF49" s="405" t="s">
        <v>409</v>
      </c>
      <c r="EG49" s="92"/>
      <c r="EJ49" s="55"/>
      <c r="EK49" s="405" t="s">
        <v>387</v>
      </c>
      <c r="EL49" s="722" t="s">
        <v>785</v>
      </c>
      <c r="EM49" s="682" t="s">
        <v>410</v>
      </c>
      <c r="EN49" s="717"/>
      <c r="EO49" s="66"/>
      <c r="EP49" s="645" t="s">
        <v>369</v>
      </c>
      <c r="EQ49" s="722" t="s">
        <v>785</v>
      </c>
      <c r="ER49" s="405" t="s">
        <v>402</v>
      </c>
      <c r="ES49" s="92"/>
      <c r="EV49" s="55"/>
      <c r="EW49" s="405" t="s">
        <v>346</v>
      </c>
      <c r="EX49" s="242" t="s">
        <v>774</v>
      </c>
      <c r="EY49" s="682" t="s">
        <v>374</v>
      </c>
      <c r="EZ49" s="717"/>
      <c r="FA49" s="66"/>
      <c r="FB49" s="645" t="s">
        <v>400</v>
      </c>
      <c r="FC49" s="722" t="s">
        <v>481</v>
      </c>
      <c r="FD49" s="405" t="s">
        <v>337</v>
      </c>
      <c r="FE49" s="92"/>
      <c r="FH49" s="55"/>
      <c r="FI49" s="405" t="s">
        <v>374</v>
      </c>
      <c r="FJ49" s="722" t="s">
        <v>427</v>
      </c>
      <c r="FK49" s="682" t="s">
        <v>375</v>
      </c>
      <c r="FL49" s="717"/>
      <c r="FM49" s="66"/>
      <c r="FN49" s="645" t="s">
        <v>19</v>
      </c>
      <c r="FO49" s="722" t="s">
        <v>370</v>
      </c>
      <c r="FP49" s="405" t="s">
        <v>324</v>
      </c>
      <c r="FQ49" s="92"/>
      <c r="FT49" s="55"/>
      <c r="FU49" s="405" t="s">
        <v>315</v>
      </c>
      <c r="FV49" s="722" t="s">
        <v>427</v>
      </c>
      <c r="FW49" s="682" t="s">
        <v>348</v>
      </c>
      <c r="FX49" s="717"/>
    </row>
    <row r="50">
      <c r="A50" s="754">
        <v>2.0</v>
      </c>
      <c r="B50" s="755">
        <v>36.0</v>
      </c>
      <c r="C50" s="756" t="str">
        <f>'Schedule | 2 Division'!K14</f>
        <v>HARD GRIND</v>
      </c>
      <c r="D50" s="757">
        <f t="shared" ref="D50:E50" si="77">DJ81</f>
        <v>0</v>
      </c>
      <c r="E50" s="757">
        <f t="shared" si="77"/>
        <v>2</v>
      </c>
      <c r="F50" s="756" t="str">
        <f>'Schedule | 2 Division'!O14</f>
        <v>Dark Phoenix</v>
      </c>
      <c r="G50" s="755" t="str">
        <f t="shared" si="12"/>
        <v>Dark Phoenix</v>
      </c>
      <c r="H50" s="759" t="str">
        <f t="shared" si="13"/>
        <v/>
      </c>
      <c r="I50" s="760" t="str">
        <f t="shared" si="14"/>
        <v/>
      </c>
      <c r="J50" s="771" t="str">
        <f t="shared" si="15"/>
        <v>HARD GRIND</v>
      </c>
      <c r="K50" s="733"/>
      <c r="L50" s="717"/>
      <c r="M50" s="66"/>
      <c r="N50" s="645" t="s">
        <v>387</v>
      </c>
      <c r="O50" s="722" t="s">
        <v>772</v>
      </c>
      <c r="P50" s="405" t="s">
        <v>411</v>
      </c>
      <c r="Q50" s="92"/>
      <c r="R50" s="374"/>
      <c r="S50" s="375"/>
      <c r="T50" s="374"/>
      <c r="U50" s="405" t="s">
        <v>379</v>
      </c>
      <c r="V50" s="722" t="s">
        <v>775</v>
      </c>
      <c r="W50" s="682" t="s">
        <v>19</v>
      </c>
      <c r="X50" s="717"/>
      <c r="Y50" s="66"/>
      <c r="Z50" s="645" t="s">
        <v>387</v>
      </c>
      <c r="AA50" s="722" t="s">
        <v>460</v>
      </c>
      <c r="AB50" s="405" t="s">
        <v>317</v>
      </c>
      <c r="AC50" s="92"/>
      <c r="AD50" s="374"/>
      <c r="AE50" s="375"/>
      <c r="AF50" s="374"/>
      <c r="AG50" s="405" t="s">
        <v>334</v>
      </c>
      <c r="AH50" s="722" t="s">
        <v>773</v>
      </c>
      <c r="AI50" s="682" t="s">
        <v>401</v>
      </c>
      <c r="AJ50" s="717"/>
      <c r="AK50" s="66"/>
      <c r="AL50" s="645" t="s">
        <v>396</v>
      </c>
      <c r="AM50" s="722" t="s">
        <v>419</v>
      </c>
      <c r="AN50" s="405" t="s">
        <v>403</v>
      </c>
      <c r="AO50" s="92"/>
      <c r="AP50" s="374"/>
      <c r="AQ50" s="375"/>
      <c r="AR50" s="374"/>
      <c r="AS50" s="405" t="s">
        <v>385</v>
      </c>
      <c r="AT50" s="722" t="s">
        <v>770</v>
      </c>
      <c r="AU50" s="682" t="s">
        <v>411</v>
      </c>
      <c r="AV50" s="717"/>
      <c r="AW50" s="66"/>
      <c r="AX50" s="645" t="s">
        <v>362</v>
      </c>
      <c r="AY50" s="722" t="s">
        <v>768</v>
      </c>
      <c r="AZ50" s="405" t="s">
        <v>396</v>
      </c>
      <c r="BA50" s="92"/>
      <c r="BB50" s="374"/>
      <c r="BC50" s="375"/>
      <c r="BD50" s="374"/>
      <c r="BE50" s="405" t="s">
        <v>384</v>
      </c>
      <c r="BF50" s="722" t="s">
        <v>316</v>
      </c>
      <c r="BG50" s="682" t="s">
        <v>322</v>
      </c>
      <c r="BH50" s="717"/>
      <c r="BI50" s="66"/>
      <c r="BJ50" s="645" t="s">
        <v>325</v>
      </c>
      <c r="BK50" s="722" t="s">
        <v>417</v>
      </c>
      <c r="BL50" s="405" t="s">
        <v>418</v>
      </c>
      <c r="BM50" s="92"/>
      <c r="BN50" s="374"/>
      <c r="BO50" s="375"/>
      <c r="BP50" s="374"/>
      <c r="BQ50" s="405" t="s">
        <v>334</v>
      </c>
      <c r="BR50" s="723" t="s">
        <v>461</v>
      </c>
      <c r="BS50" s="682" t="s">
        <v>385</v>
      </c>
      <c r="BT50" s="717"/>
      <c r="BU50" s="66"/>
      <c r="BV50" s="645" t="s">
        <v>348</v>
      </c>
      <c r="BW50" s="723" t="s">
        <v>774</v>
      </c>
      <c r="BX50" s="405" t="s">
        <v>405</v>
      </c>
      <c r="BY50" s="92"/>
      <c r="BZ50" s="374"/>
      <c r="CA50" s="375"/>
      <c r="CB50" s="374"/>
      <c r="CC50" s="405" t="s">
        <v>445</v>
      </c>
      <c r="CD50" s="722" t="s">
        <v>785</v>
      </c>
      <c r="CE50" s="682" t="s">
        <v>387</v>
      </c>
      <c r="CF50" s="717"/>
      <c r="CG50" s="66"/>
      <c r="CH50" s="645" t="s">
        <v>322</v>
      </c>
      <c r="CI50" s="723" t="s">
        <v>459</v>
      </c>
      <c r="CJ50" s="405" t="s">
        <v>391</v>
      </c>
      <c r="CK50" s="92"/>
      <c r="CL50" s="374"/>
      <c r="CM50" s="375"/>
      <c r="CN50" s="374"/>
      <c r="CO50" s="405" t="s">
        <v>401</v>
      </c>
      <c r="CP50" s="722" t="s">
        <v>771</v>
      </c>
      <c r="CQ50" s="682" t="s">
        <v>405</v>
      </c>
      <c r="CR50" s="717"/>
      <c r="CS50" s="66"/>
      <c r="CT50" s="645" t="s">
        <v>352</v>
      </c>
      <c r="CU50" s="722" t="s">
        <v>372</v>
      </c>
      <c r="CV50" s="405" t="s">
        <v>387</v>
      </c>
      <c r="CW50" s="92"/>
      <c r="CX50" s="374"/>
      <c r="CY50" s="375"/>
      <c r="CZ50" s="374"/>
      <c r="DA50" s="405" t="s">
        <v>379</v>
      </c>
      <c r="DB50" s="722" t="s">
        <v>785</v>
      </c>
      <c r="DC50" s="682" t="s">
        <v>343</v>
      </c>
      <c r="DD50" s="717"/>
      <c r="DE50" s="66"/>
      <c r="DF50" s="645" t="s">
        <v>337</v>
      </c>
      <c r="DG50" s="722" t="s">
        <v>345</v>
      </c>
      <c r="DH50" s="405" t="s">
        <v>362</v>
      </c>
      <c r="DI50" s="92"/>
      <c r="DJ50" s="374"/>
      <c r="DK50" s="374"/>
      <c r="DL50" s="55"/>
      <c r="DM50" s="405" t="s">
        <v>395</v>
      </c>
      <c r="DN50" s="722" t="s">
        <v>480</v>
      </c>
      <c r="DO50" s="682" t="s">
        <v>325</v>
      </c>
      <c r="DP50" s="717"/>
      <c r="DQ50" s="66"/>
      <c r="DR50" s="645" t="s">
        <v>401</v>
      </c>
      <c r="DS50" s="722" t="s">
        <v>479</v>
      </c>
      <c r="DT50" s="405" t="s">
        <v>375</v>
      </c>
      <c r="DU50" s="92"/>
      <c r="DV50" s="374"/>
      <c r="DW50" s="374"/>
      <c r="DX50" s="55"/>
      <c r="DY50" s="405" t="s">
        <v>387</v>
      </c>
      <c r="DZ50" s="722" t="s">
        <v>774</v>
      </c>
      <c r="EA50" s="682" t="s">
        <v>391</v>
      </c>
      <c r="EB50" s="717"/>
      <c r="EC50" s="66"/>
      <c r="ED50" s="645" t="s">
        <v>346</v>
      </c>
      <c r="EE50" s="722" t="s">
        <v>786</v>
      </c>
      <c r="EF50" s="405" t="s">
        <v>343</v>
      </c>
      <c r="EG50" s="92"/>
      <c r="EH50" s="374"/>
      <c r="EI50" s="374"/>
      <c r="EJ50" s="55"/>
      <c r="EK50" s="405" t="s">
        <v>391</v>
      </c>
      <c r="EL50" s="722" t="s">
        <v>627</v>
      </c>
      <c r="EM50" s="682" t="s">
        <v>382</v>
      </c>
      <c r="EN50" s="717"/>
      <c r="EO50" s="66"/>
      <c r="EP50" s="645" t="s">
        <v>332</v>
      </c>
      <c r="EQ50" s="722" t="s">
        <v>627</v>
      </c>
      <c r="ER50" s="405" t="s">
        <v>391</v>
      </c>
      <c r="ES50" s="92"/>
      <c r="ET50" s="374"/>
      <c r="EU50" s="374"/>
      <c r="EV50" s="55"/>
      <c r="EW50" s="405" t="s">
        <v>376</v>
      </c>
      <c r="EX50" s="242" t="s">
        <v>457</v>
      </c>
      <c r="EY50" s="682" t="s">
        <v>348</v>
      </c>
      <c r="EZ50" s="717"/>
      <c r="FA50" s="66"/>
      <c r="FB50" s="645" t="s">
        <v>403</v>
      </c>
      <c r="FC50" s="722" t="s">
        <v>474</v>
      </c>
      <c r="FD50" s="405" t="s">
        <v>368</v>
      </c>
      <c r="FE50" s="92"/>
      <c r="FF50" s="374"/>
      <c r="FG50" s="374"/>
      <c r="FH50" s="55"/>
      <c r="FI50" s="405" t="s">
        <v>446</v>
      </c>
      <c r="FJ50" s="723" t="s">
        <v>777</v>
      </c>
      <c r="FK50" s="682" t="s">
        <v>483</v>
      </c>
      <c r="FL50" s="717"/>
      <c r="FM50" s="66"/>
      <c r="FN50" s="645" t="s">
        <v>376</v>
      </c>
      <c r="FO50" s="722" t="s">
        <v>786</v>
      </c>
      <c r="FP50" s="405" t="s">
        <v>343</v>
      </c>
      <c r="FQ50" s="92"/>
      <c r="FR50" s="374"/>
      <c r="FS50" s="374"/>
      <c r="FT50" s="55"/>
      <c r="FU50" s="405" t="s">
        <v>400</v>
      </c>
      <c r="FV50" s="723" t="s">
        <v>605</v>
      </c>
      <c r="FW50" s="682" t="s">
        <v>737</v>
      </c>
      <c r="FX50" s="717"/>
    </row>
    <row r="51">
      <c r="A51" s="640">
        <v>2.0</v>
      </c>
      <c r="B51" s="740">
        <v>37.0</v>
      </c>
      <c r="C51" s="741" t="str">
        <f>'Schedule | 2 Division'!K17</f>
        <v>Dark Phoenix</v>
      </c>
      <c r="D51" s="753">
        <f t="shared" ref="D51:E51" si="78">DV21</f>
        <v>2</v>
      </c>
      <c r="E51" s="753">
        <f t="shared" si="78"/>
        <v>0</v>
      </c>
      <c r="F51" s="741" t="str">
        <f>'Schedule | 2 Division'!O17</f>
        <v>Aterion Esports</v>
      </c>
      <c r="G51" s="740" t="str">
        <f t="shared" si="12"/>
        <v>Dark Phoenix</v>
      </c>
      <c r="H51" s="685" t="str">
        <f t="shared" si="13"/>
        <v/>
      </c>
      <c r="I51" s="688" t="str">
        <f t="shared" si="14"/>
        <v/>
      </c>
      <c r="J51" s="751" t="str">
        <f t="shared" si="15"/>
        <v>Aterion Esports</v>
      </c>
      <c r="K51" s="733"/>
      <c r="L51" s="717"/>
      <c r="M51" s="725">
        <v>2.0</v>
      </c>
      <c r="N51" s="726" t="s">
        <v>324</v>
      </c>
      <c r="O51" s="727" t="s">
        <v>768</v>
      </c>
      <c r="P51" s="728" t="s">
        <v>369</v>
      </c>
      <c r="Q51" s="729" t="s">
        <v>318</v>
      </c>
      <c r="R51" s="787" t="s">
        <v>320</v>
      </c>
      <c r="S51" s="788" t="s">
        <v>319</v>
      </c>
      <c r="T51" s="728" t="s">
        <v>321</v>
      </c>
      <c r="U51" s="728" t="s">
        <v>328</v>
      </c>
      <c r="V51" s="727" t="s">
        <v>769</v>
      </c>
      <c r="W51" s="729" t="s">
        <v>327</v>
      </c>
      <c r="X51" s="717"/>
      <c r="Y51" s="725">
        <v>2.0</v>
      </c>
      <c r="Z51" s="726" t="s">
        <v>434</v>
      </c>
      <c r="AA51" s="727" t="s">
        <v>316</v>
      </c>
      <c r="AB51" s="728" t="s">
        <v>737</v>
      </c>
      <c r="AC51" s="729" t="s">
        <v>321</v>
      </c>
      <c r="AD51" s="787" t="s">
        <v>319</v>
      </c>
      <c r="AE51" s="788" t="s">
        <v>320</v>
      </c>
      <c r="AF51" s="728" t="s">
        <v>318</v>
      </c>
      <c r="AG51" s="728" t="s">
        <v>389</v>
      </c>
      <c r="AH51" s="727" t="s">
        <v>779</v>
      </c>
      <c r="AI51" s="729" t="s">
        <v>328</v>
      </c>
      <c r="AJ51" s="717"/>
      <c r="AK51" s="725">
        <v>2.0</v>
      </c>
      <c r="AL51" s="726" t="s">
        <v>315</v>
      </c>
      <c r="AM51" s="727" t="s">
        <v>785</v>
      </c>
      <c r="AN51" s="728" t="s">
        <v>342</v>
      </c>
      <c r="AO51" s="729" t="s">
        <v>318</v>
      </c>
      <c r="AP51" s="787" t="s">
        <v>320</v>
      </c>
      <c r="AQ51" s="788" t="s">
        <v>319</v>
      </c>
      <c r="AR51" s="728" t="s">
        <v>321</v>
      </c>
      <c r="AS51" s="728" t="s">
        <v>418</v>
      </c>
      <c r="AT51" s="727" t="s">
        <v>417</v>
      </c>
      <c r="AU51" s="729" t="s">
        <v>324</v>
      </c>
      <c r="AV51" s="717"/>
      <c r="AW51" s="725">
        <v>2.0</v>
      </c>
      <c r="AX51" s="726" t="s">
        <v>327</v>
      </c>
      <c r="AY51" s="727" t="s">
        <v>419</v>
      </c>
      <c r="AZ51" s="728" t="s">
        <v>317</v>
      </c>
      <c r="BA51" s="729" t="s">
        <v>321</v>
      </c>
      <c r="BB51" s="787" t="s">
        <v>320</v>
      </c>
      <c r="BC51" s="788" t="s">
        <v>319</v>
      </c>
      <c r="BD51" s="728" t="s">
        <v>318</v>
      </c>
      <c r="BE51" s="728" t="s">
        <v>342</v>
      </c>
      <c r="BF51" s="727" t="s">
        <v>344</v>
      </c>
      <c r="BG51" s="729" t="s">
        <v>325</v>
      </c>
      <c r="BH51" s="717"/>
      <c r="BI51" s="725">
        <v>2.0</v>
      </c>
      <c r="BJ51" s="726" t="s">
        <v>324</v>
      </c>
      <c r="BK51" s="727" t="s">
        <v>767</v>
      </c>
      <c r="BL51" s="728" t="s">
        <v>325</v>
      </c>
      <c r="BM51" s="729" t="s">
        <v>321</v>
      </c>
      <c r="BN51" s="787" t="s">
        <v>319</v>
      </c>
      <c r="BO51" s="788" t="s">
        <v>320</v>
      </c>
      <c r="BP51" s="728" t="s">
        <v>318</v>
      </c>
      <c r="BQ51" s="728" t="s">
        <v>342</v>
      </c>
      <c r="BR51" s="722" t="s">
        <v>774</v>
      </c>
      <c r="BS51" s="729" t="s">
        <v>354</v>
      </c>
      <c r="BT51" s="717"/>
      <c r="BU51" s="725">
        <v>2.0</v>
      </c>
      <c r="BV51" s="726" t="s">
        <v>374</v>
      </c>
      <c r="BW51" s="722" t="s">
        <v>782</v>
      </c>
      <c r="BX51" s="728" t="s">
        <v>377</v>
      </c>
      <c r="BY51" s="729" t="s">
        <v>318</v>
      </c>
      <c r="BZ51" s="787" t="s">
        <v>319</v>
      </c>
      <c r="CA51" s="788" t="s">
        <v>320</v>
      </c>
      <c r="CB51" s="728" t="s">
        <v>321</v>
      </c>
      <c r="CC51" s="728" t="s">
        <v>396</v>
      </c>
      <c r="CD51" s="727" t="s">
        <v>768</v>
      </c>
      <c r="CE51" s="729" t="s">
        <v>352</v>
      </c>
      <c r="CF51" s="717"/>
      <c r="CG51" s="725">
        <v>2.0</v>
      </c>
      <c r="CH51" s="726" t="s">
        <v>324</v>
      </c>
      <c r="CI51" s="722" t="s">
        <v>457</v>
      </c>
      <c r="CJ51" s="728" t="s">
        <v>369</v>
      </c>
      <c r="CK51" s="729" t="s">
        <v>321</v>
      </c>
      <c r="CL51" s="787" t="s">
        <v>319</v>
      </c>
      <c r="CM51" s="788" t="s">
        <v>320</v>
      </c>
      <c r="CN51" s="728" t="s">
        <v>318</v>
      </c>
      <c r="CO51" s="728" t="s">
        <v>322</v>
      </c>
      <c r="CP51" s="727" t="s">
        <v>476</v>
      </c>
      <c r="CQ51" s="729" t="s">
        <v>325</v>
      </c>
      <c r="CR51" s="717"/>
      <c r="CS51" s="725">
        <v>2.0</v>
      </c>
      <c r="CT51" s="726" t="s">
        <v>369</v>
      </c>
      <c r="CU51" s="727" t="s">
        <v>372</v>
      </c>
      <c r="CV51" s="728" t="s">
        <v>342</v>
      </c>
      <c r="CW51" s="729" t="s">
        <v>318</v>
      </c>
      <c r="CX51" s="787" t="s">
        <v>319</v>
      </c>
      <c r="CY51" s="788" t="s">
        <v>320</v>
      </c>
      <c r="CZ51" s="728" t="s">
        <v>321</v>
      </c>
      <c r="DA51" s="728" t="s">
        <v>396</v>
      </c>
      <c r="DB51" s="727" t="s">
        <v>768</v>
      </c>
      <c r="DC51" s="729" t="s">
        <v>434</v>
      </c>
      <c r="DD51" s="717"/>
      <c r="DE51" s="725">
        <v>2.0</v>
      </c>
      <c r="DF51" s="726" t="s">
        <v>324</v>
      </c>
      <c r="DG51" s="727" t="s">
        <v>773</v>
      </c>
      <c r="DH51" s="728" t="s">
        <v>400</v>
      </c>
      <c r="DI51" s="729" t="s">
        <v>321</v>
      </c>
      <c r="DJ51" s="730" t="s">
        <v>320</v>
      </c>
      <c r="DK51" s="730" t="s">
        <v>319</v>
      </c>
      <c r="DL51" s="726" t="s">
        <v>318</v>
      </c>
      <c r="DM51" s="728" t="s">
        <v>346</v>
      </c>
      <c r="DN51" s="727" t="s">
        <v>481</v>
      </c>
      <c r="DO51" s="729" t="s">
        <v>327</v>
      </c>
      <c r="DP51" s="717"/>
      <c r="DQ51" s="725">
        <v>2.0</v>
      </c>
      <c r="DR51" s="726" t="s">
        <v>324</v>
      </c>
      <c r="DS51" s="718" t="s">
        <v>477</v>
      </c>
      <c r="DT51" s="728" t="s">
        <v>315</v>
      </c>
      <c r="DU51" s="729" t="s">
        <v>321</v>
      </c>
      <c r="DV51" s="730" t="s">
        <v>320</v>
      </c>
      <c r="DW51" s="730" t="s">
        <v>319</v>
      </c>
      <c r="DX51" s="726" t="s">
        <v>318</v>
      </c>
      <c r="DY51" s="728" t="s">
        <v>400</v>
      </c>
      <c r="DZ51" s="727" t="s">
        <v>461</v>
      </c>
      <c r="EA51" s="729" t="s">
        <v>331</v>
      </c>
      <c r="EB51" s="717"/>
      <c r="EC51" s="725">
        <v>2.0</v>
      </c>
      <c r="ED51" s="726" t="s">
        <v>317</v>
      </c>
      <c r="EE51" s="789" t="s">
        <v>316</v>
      </c>
      <c r="EF51" s="728" t="s">
        <v>327</v>
      </c>
      <c r="EG51" s="729" t="s">
        <v>321</v>
      </c>
      <c r="EH51" s="730" t="s">
        <v>319</v>
      </c>
      <c r="EI51" s="730" t="s">
        <v>320</v>
      </c>
      <c r="EJ51" s="726" t="s">
        <v>318</v>
      </c>
      <c r="EK51" s="728" t="s">
        <v>343</v>
      </c>
      <c r="EL51" s="727" t="s">
        <v>419</v>
      </c>
      <c r="EM51" s="729"/>
      <c r="EN51" s="717"/>
      <c r="EO51" s="725">
        <v>2.0</v>
      </c>
      <c r="EP51" s="726" t="s">
        <v>327</v>
      </c>
      <c r="EQ51" s="727" t="s">
        <v>419</v>
      </c>
      <c r="ER51" s="728" t="s">
        <v>411</v>
      </c>
      <c r="ES51" s="729" t="s">
        <v>321</v>
      </c>
      <c r="ET51" s="730" t="s">
        <v>319</v>
      </c>
      <c r="EU51" s="730" t="s">
        <v>320</v>
      </c>
      <c r="EV51" s="726" t="s">
        <v>318</v>
      </c>
      <c r="EW51" s="405" t="s">
        <v>400</v>
      </c>
      <c r="EX51" s="384" t="s">
        <v>461</v>
      </c>
      <c r="EY51" s="626" t="s">
        <v>343</v>
      </c>
      <c r="EZ51" s="717"/>
      <c r="FA51" s="725">
        <v>2.0</v>
      </c>
      <c r="FB51" s="726" t="s">
        <v>315</v>
      </c>
      <c r="FC51" s="727" t="s">
        <v>480</v>
      </c>
      <c r="FD51" s="728" t="s">
        <v>342</v>
      </c>
      <c r="FE51" s="729" t="s">
        <v>318</v>
      </c>
      <c r="FF51" s="730" t="s">
        <v>320</v>
      </c>
      <c r="FG51" s="730" t="s">
        <v>319</v>
      </c>
      <c r="FH51" s="726" t="s">
        <v>321</v>
      </c>
      <c r="FI51" s="728" t="s">
        <v>328</v>
      </c>
      <c r="FJ51" s="722" t="s">
        <v>599</v>
      </c>
      <c r="FK51" s="729" t="s">
        <v>341</v>
      </c>
      <c r="FL51" s="717"/>
      <c r="FM51" s="725">
        <v>2.0</v>
      </c>
      <c r="FN51" s="726" t="s">
        <v>341</v>
      </c>
      <c r="FO51" s="789" t="s">
        <v>344</v>
      </c>
      <c r="FP51" s="728" t="s">
        <v>342</v>
      </c>
      <c r="FQ51" s="729" t="s">
        <v>321</v>
      </c>
      <c r="FR51" s="730" t="s">
        <v>320</v>
      </c>
      <c r="FS51" s="730" t="s">
        <v>319</v>
      </c>
      <c r="FT51" s="726" t="s">
        <v>318</v>
      </c>
      <c r="FU51" s="728" t="s">
        <v>327</v>
      </c>
      <c r="FV51" s="722" t="s">
        <v>599</v>
      </c>
      <c r="FW51" s="729" t="s">
        <v>410</v>
      </c>
      <c r="FX51" s="717"/>
    </row>
    <row r="52">
      <c r="A52" s="640">
        <v>2.0</v>
      </c>
      <c r="B52" s="740">
        <v>38.0</v>
      </c>
      <c r="C52" s="741" t="str">
        <f>'Schedule | 2 Division'!K18</f>
        <v>HARD GRIND</v>
      </c>
      <c r="D52" s="748">
        <f t="shared" ref="D52:E52" si="79">DV41</f>
        <v>0</v>
      </c>
      <c r="E52" s="748">
        <f t="shared" si="79"/>
        <v>2</v>
      </c>
      <c r="F52" s="741" t="str">
        <f>'Schedule | 2 Division'!O18</f>
        <v>Omnix</v>
      </c>
      <c r="G52" s="740" t="str">
        <f t="shared" si="12"/>
        <v>Omnix</v>
      </c>
      <c r="H52" s="685" t="str">
        <f t="shared" si="13"/>
        <v/>
      </c>
      <c r="I52" s="688" t="str">
        <f t="shared" si="14"/>
        <v/>
      </c>
      <c r="J52" s="751" t="str">
        <f t="shared" si="15"/>
        <v>HARD GRIND</v>
      </c>
      <c r="K52" s="733"/>
      <c r="L52" s="717"/>
      <c r="M52" s="66"/>
      <c r="N52" s="645" t="s">
        <v>315</v>
      </c>
      <c r="O52" s="722" t="s">
        <v>627</v>
      </c>
      <c r="P52" s="405" t="s">
        <v>374</v>
      </c>
      <c r="Q52" s="92"/>
      <c r="S52" s="92"/>
      <c r="U52" s="405" t="s">
        <v>400</v>
      </c>
      <c r="V52" s="722" t="s">
        <v>778</v>
      </c>
      <c r="W52" s="682" t="s">
        <v>317</v>
      </c>
      <c r="X52" s="717"/>
      <c r="Y52" s="66"/>
      <c r="Z52" s="645" t="s">
        <v>325</v>
      </c>
      <c r="AA52" s="722" t="s">
        <v>344</v>
      </c>
      <c r="AB52" s="405" t="s">
        <v>337</v>
      </c>
      <c r="AC52" s="92"/>
      <c r="AE52" s="92"/>
      <c r="AG52" s="405" t="s">
        <v>342</v>
      </c>
      <c r="AH52" s="722" t="s">
        <v>372</v>
      </c>
      <c r="AI52" s="682" t="s">
        <v>327</v>
      </c>
      <c r="AJ52" s="717"/>
      <c r="AK52" s="66"/>
      <c r="AL52" s="645" t="s">
        <v>317</v>
      </c>
      <c r="AM52" s="722" t="s">
        <v>768</v>
      </c>
      <c r="AN52" s="405" t="s">
        <v>396</v>
      </c>
      <c r="AO52" s="92"/>
      <c r="AQ52" s="92"/>
      <c r="AS52" s="405" t="s">
        <v>325</v>
      </c>
      <c r="AT52" s="722" t="s">
        <v>767</v>
      </c>
      <c r="AU52" s="682" t="s">
        <v>369</v>
      </c>
      <c r="AV52" s="717"/>
      <c r="AW52" s="66"/>
      <c r="AX52" s="645" t="s">
        <v>324</v>
      </c>
      <c r="AY52" s="722" t="s">
        <v>785</v>
      </c>
      <c r="AZ52" s="405" t="s">
        <v>352</v>
      </c>
      <c r="BA52" s="92"/>
      <c r="BC52" s="92"/>
      <c r="BE52" s="405" t="s">
        <v>389</v>
      </c>
      <c r="BF52" s="722" t="s">
        <v>370</v>
      </c>
      <c r="BG52" s="682" t="s">
        <v>369</v>
      </c>
      <c r="BH52" s="717"/>
      <c r="BI52" s="66"/>
      <c r="BJ52" s="645" t="s">
        <v>317</v>
      </c>
      <c r="BK52" s="722" t="s">
        <v>463</v>
      </c>
      <c r="BL52" s="405" t="s">
        <v>328</v>
      </c>
      <c r="BM52" s="92"/>
      <c r="BO52" s="92"/>
      <c r="BQ52" s="405" t="s">
        <v>322</v>
      </c>
      <c r="BR52" s="722" t="s">
        <v>457</v>
      </c>
      <c r="BS52" s="682" t="s">
        <v>414</v>
      </c>
      <c r="BT52" s="717"/>
      <c r="BU52" s="66"/>
      <c r="BV52" s="645" t="s">
        <v>328</v>
      </c>
      <c r="BW52" s="722" t="s">
        <v>459</v>
      </c>
      <c r="BX52" s="405" t="s">
        <v>368</v>
      </c>
      <c r="BY52" s="92"/>
      <c r="CA52" s="92"/>
      <c r="CC52" s="405" t="s">
        <v>375</v>
      </c>
      <c r="CD52" s="722" t="s">
        <v>428</v>
      </c>
      <c r="CE52" s="682" t="s">
        <v>361</v>
      </c>
      <c r="CF52" s="717"/>
      <c r="CG52" s="66"/>
      <c r="CH52" s="645" t="s">
        <v>327</v>
      </c>
      <c r="CI52" s="722" t="s">
        <v>782</v>
      </c>
      <c r="CJ52" s="405" t="s">
        <v>328</v>
      </c>
      <c r="CK52" s="92"/>
      <c r="CM52" s="92"/>
      <c r="CO52" s="405" t="s">
        <v>361</v>
      </c>
      <c r="CP52" s="722" t="s">
        <v>480</v>
      </c>
      <c r="CQ52" s="682" t="s">
        <v>334</v>
      </c>
      <c r="CR52" s="717"/>
      <c r="CS52" s="66"/>
      <c r="CT52" s="645" t="s">
        <v>400</v>
      </c>
      <c r="CU52" s="722" t="s">
        <v>390</v>
      </c>
      <c r="CV52" s="405" t="s">
        <v>384</v>
      </c>
      <c r="CW52" s="92"/>
      <c r="CY52" s="92"/>
      <c r="DA52" s="405" t="s">
        <v>411</v>
      </c>
      <c r="DB52" s="722" t="s">
        <v>419</v>
      </c>
      <c r="DC52" s="682" t="s">
        <v>324</v>
      </c>
      <c r="DD52" s="717"/>
      <c r="DE52" s="66"/>
      <c r="DF52" s="645" t="s">
        <v>342</v>
      </c>
      <c r="DG52" s="722" t="s">
        <v>345</v>
      </c>
      <c r="DH52" s="405" t="s">
        <v>315</v>
      </c>
      <c r="DI52" s="92"/>
      <c r="DL52" s="55"/>
      <c r="DM52" s="405" t="s">
        <v>389</v>
      </c>
      <c r="DN52" s="722" t="s">
        <v>480</v>
      </c>
      <c r="DO52" s="682" t="s">
        <v>369</v>
      </c>
      <c r="DP52" s="717"/>
      <c r="DQ52" s="66"/>
      <c r="DR52" s="645" t="s">
        <v>328</v>
      </c>
      <c r="DS52" s="722" t="s">
        <v>475</v>
      </c>
      <c r="DT52" s="405" t="s">
        <v>343</v>
      </c>
      <c r="DU52" s="92"/>
      <c r="DX52" s="55"/>
      <c r="DY52" s="405" t="s">
        <v>362</v>
      </c>
      <c r="DZ52" s="722" t="s">
        <v>459</v>
      </c>
      <c r="EA52" s="682" t="s">
        <v>342</v>
      </c>
      <c r="EB52" s="717"/>
      <c r="EC52" s="66"/>
      <c r="ED52" s="645" t="s">
        <v>342</v>
      </c>
      <c r="EE52" s="782" t="s">
        <v>344</v>
      </c>
      <c r="EF52" s="405" t="s">
        <v>346</v>
      </c>
      <c r="EG52" s="92"/>
      <c r="EJ52" s="55"/>
      <c r="EK52" s="405" t="s">
        <v>396</v>
      </c>
      <c r="EL52" s="722" t="s">
        <v>768</v>
      </c>
      <c r="EM52" s="682" t="s">
        <v>324</v>
      </c>
      <c r="EN52" s="717"/>
      <c r="EO52" s="66"/>
      <c r="EP52" s="645" t="s">
        <v>317</v>
      </c>
      <c r="EQ52" s="722" t="s">
        <v>768</v>
      </c>
      <c r="ER52" s="405" t="s">
        <v>396</v>
      </c>
      <c r="ES52" s="92"/>
      <c r="EV52" s="55"/>
      <c r="EW52" s="405" t="s">
        <v>341</v>
      </c>
      <c r="EX52" s="242" t="s">
        <v>459</v>
      </c>
      <c r="EY52" s="626" t="s">
        <v>325</v>
      </c>
      <c r="EZ52" s="717"/>
      <c r="FA52" s="66"/>
      <c r="FB52" s="645" t="s">
        <v>343</v>
      </c>
      <c r="FC52" s="722" t="s">
        <v>476</v>
      </c>
      <c r="FD52" s="405" t="s">
        <v>331</v>
      </c>
      <c r="FE52" s="92"/>
      <c r="FH52" s="55"/>
      <c r="FI52" s="405" t="s">
        <v>400</v>
      </c>
      <c r="FJ52" s="722" t="s">
        <v>777</v>
      </c>
      <c r="FK52" s="682" t="s">
        <v>324</v>
      </c>
      <c r="FL52" s="717"/>
      <c r="FM52" s="66"/>
      <c r="FN52" s="645" t="s">
        <v>325</v>
      </c>
      <c r="FO52" s="782" t="s">
        <v>780</v>
      </c>
      <c r="FP52" s="405" t="s">
        <v>373</v>
      </c>
      <c r="FQ52" s="92"/>
      <c r="FT52" s="55"/>
      <c r="FU52" s="405" t="s">
        <v>317</v>
      </c>
      <c r="FV52" s="722" t="s">
        <v>605</v>
      </c>
      <c r="FW52" s="682" t="s">
        <v>343</v>
      </c>
      <c r="FX52" s="717"/>
    </row>
    <row r="53">
      <c r="A53" s="640">
        <v>2.0</v>
      </c>
      <c r="B53" s="740">
        <v>39.0</v>
      </c>
      <c r="C53" s="741" t="str">
        <f>'Schedule | 2 Division'!K19</f>
        <v>INVISION</v>
      </c>
      <c r="D53" s="753">
        <f t="shared" ref="D53:E53" si="80">DV61</f>
        <v>2</v>
      </c>
      <c r="E53" s="753">
        <f t="shared" si="80"/>
        <v>1</v>
      </c>
      <c r="F53" s="741" t="str">
        <f>'Schedule | 2 Division'!O19</f>
        <v>TSA White</v>
      </c>
      <c r="G53" s="740" t="str">
        <f t="shared" si="12"/>
        <v/>
      </c>
      <c r="H53" s="685" t="str">
        <f t="shared" si="13"/>
        <v>INVISION</v>
      </c>
      <c r="I53" s="688" t="str">
        <f t="shared" si="14"/>
        <v>TSA White</v>
      </c>
      <c r="J53" s="751" t="str">
        <f t="shared" si="15"/>
        <v/>
      </c>
      <c r="K53" s="733"/>
      <c r="L53" s="717"/>
      <c r="M53" s="66"/>
      <c r="N53" s="645" t="s">
        <v>331</v>
      </c>
      <c r="O53" s="722" t="s">
        <v>419</v>
      </c>
      <c r="P53" s="405" t="s">
        <v>343</v>
      </c>
      <c r="Q53" s="92"/>
      <c r="S53" s="92"/>
      <c r="U53" s="405" t="s">
        <v>385</v>
      </c>
      <c r="V53" s="722" t="s">
        <v>775</v>
      </c>
      <c r="W53" s="682" t="s">
        <v>342</v>
      </c>
      <c r="X53" s="717"/>
      <c r="Y53" s="66"/>
      <c r="Z53" s="645" t="s">
        <v>331</v>
      </c>
      <c r="AA53" s="722" t="s">
        <v>780</v>
      </c>
      <c r="AB53" s="405" t="s">
        <v>373</v>
      </c>
      <c r="AC53" s="92"/>
      <c r="AE53" s="92"/>
      <c r="AG53" s="405" t="s">
        <v>374</v>
      </c>
      <c r="AH53" s="722" t="s">
        <v>345</v>
      </c>
      <c r="AI53" s="682" t="s">
        <v>317</v>
      </c>
      <c r="AJ53" s="717"/>
      <c r="AK53" s="66"/>
      <c r="AL53" s="645" t="s">
        <v>331</v>
      </c>
      <c r="AM53" s="722" t="s">
        <v>772</v>
      </c>
      <c r="AN53" s="405" t="s">
        <v>377</v>
      </c>
      <c r="AO53" s="92"/>
      <c r="AQ53" s="92"/>
      <c r="AS53" s="405" t="s">
        <v>368</v>
      </c>
      <c r="AT53" s="722" t="s">
        <v>425</v>
      </c>
      <c r="AU53" s="682" t="s">
        <v>327</v>
      </c>
      <c r="AV53" s="717"/>
      <c r="AW53" s="66"/>
      <c r="AX53" s="645" t="s">
        <v>328</v>
      </c>
      <c r="AY53" s="722" t="s">
        <v>428</v>
      </c>
      <c r="AZ53" s="405" t="s">
        <v>375</v>
      </c>
      <c r="BA53" s="92"/>
      <c r="BC53" s="92"/>
      <c r="BE53" s="405" t="s">
        <v>315</v>
      </c>
      <c r="BF53" s="722" t="s">
        <v>780</v>
      </c>
      <c r="BG53" s="682" t="s">
        <v>337</v>
      </c>
      <c r="BH53" s="717"/>
      <c r="BI53" s="66"/>
      <c r="BJ53" s="645" t="s">
        <v>315</v>
      </c>
      <c r="BK53" s="722" t="s">
        <v>770</v>
      </c>
      <c r="BL53" s="405" t="s">
        <v>337</v>
      </c>
      <c r="BM53" s="92"/>
      <c r="BO53" s="92"/>
      <c r="BQ53" s="405" t="s">
        <v>327</v>
      </c>
      <c r="BR53" s="722" t="s">
        <v>782</v>
      </c>
      <c r="BS53" s="682" t="s">
        <v>385</v>
      </c>
      <c r="BT53" s="717"/>
      <c r="BU53" s="66"/>
      <c r="BV53" s="645" t="s">
        <v>369</v>
      </c>
      <c r="BW53" s="722" t="s">
        <v>461</v>
      </c>
      <c r="BX53" s="405" t="s">
        <v>325</v>
      </c>
      <c r="BY53" s="92"/>
      <c r="CA53" s="92"/>
      <c r="CC53" s="405" t="s">
        <v>391</v>
      </c>
      <c r="CD53" s="722" t="s">
        <v>627</v>
      </c>
      <c r="CE53" s="682" t="s">
        <v>342</v>
      </c>
      <c r="CF53" s="717"/>
      <c r="CG53" s="66"/>
      <c r="CH53" s="645" t="s">
        <v>342</v>
      </c>
      <c r="CI53" s="722" t="s">
        <v>459</v>
      </c>
      <c r="CJ53" s="405" t="s">
        <v>391</v>
      </c>
      <c r="CK53" s="92"/>
      <c r="CM53" s="92"/>
      <c r="CO53" s="405" t="s">
        <v>377</v>
      </c>
      <c r="CP53" s="722" t="s">
        <v>771</v>
      </c>
      <c r="CQ53" s="682" t="s">
        <v>337</v>
      </c>
      <c r="CR53" s="717"/>
      <c r="CS53" s="66"/>
      <c r="CT53" s="645" t="s">
        <v>325</v>
      </c>
      <c r="CU53" s="722" t="s">
        <v>779</v>
      </c>
      <c r="CV53" s="405" t="s">
        <v>389</v>
      </c>
      <c r="CW53" s="92"/>
      <c r="CY53" s="92"/>
      <c r="DA53" s="405" t="s">
        <v>391</v>
      </c>
      <c r="DB53" s="722" t="s">
        <v>627</v>
      </c>
      <c r="DC53" s="682" t="s">
        <v>317</v>
      </c>
      <c r="DD53" s="717"/>
      <c r="DE53" s="66"/>
      <c r="DF53" s="645" t="s">
        <v>317</v>
      </c>
      <c r="DG53" s="722" t="s">
        <v>779</v>
      </c>
      <c r="DH53" s="405" t="s">
        <v>434</v>
      </c>
      <c r="DI53" s="92"/>
      <c r="DL53" s="55"/>
      <c r="DM53" s="405" t="s">
        <v>325</v>
      </c>
      <c r="DN53" s="722" t="s">
        <v>476</v>
      </c>
      <c r="DO53" s="682" t="s">
        <v>334</v>
      </c>
      <c r="DP53" s="717"/>
      <c r="DQ53" s="66"/>
      <c r="DR53" s="645" t="s">
        <v>317</v>
      </c>
      <c r="DS53" s="722" t="s">
        <v>479</v>
      </c>
      <c r="DT53" s="405" t="s">
        <v>384</v>
      </c>
      <c r="DU53" s="92"/>
      <c r="DX53" s="55"/>
      <c r="DY53" s="405" t="s">
        <v>375</v>
      </c>
      <c r="DZ53" s="722" t="s">
        <v>463</v>
      </c>
      <c r="EA53" s="682" t="s">
        <v>369</v>
      </c>
      <c r="EB53" s="717"/>
      <c r="EC53" s="66"/>
      <c r="ED53" s="645" t="s">
        <v>400</v>
      </c>
      <c r="EE53" s="782" t="s">
        <v>780</v>
      </c>
      <c r="EF53" s="405" t="s">
        <v>373</v>
      </c>
      <c r="EG53" s="92"/>
      <c r="EJ53" s="55"/>
      <c r="EK53" s="405" t="s">
        <v>384</v>
      </c>
      <c r="EL53" s="722" t="s">
        <v>428</v>
      </c>
      <c r="EM53" s="682" t="s">
        <v>328</v>
      </c>
      <c r="EN53" s="717"/>
      <c r="EO53" s="66"/>
      <c r="EP53" s="645" t="s">
        <v>342</v>
      </c>
      <c r="EQ53" s="722" t="s">
        <v>428</v>
      </c>
      <c r="ER53" s="405" t="s">
        <v>328</v>
      </c>
      <c r="ES53" s="92"/>
      <c r="EV53" s="55"/>
      <c r="EW53" s="405" t="s">
        <v>324</v>
      </c>
      <c r="EX53" s="242" t="s">
        <v>457</v>
      </c>
      <c r="EY53" s="626" t="s">
        <v>382</v>
      </c>
      <c r="EZ53" s="717"/>
      <c r="FA53" s="66"/>
      <c r="FB53" s="645" t="s">
        <v>327</v>
      </c>
      <c r="FC53" s="722" t="s">
        <v>431</v>
      </c>
      <c r="FD53" s="405" t="s">
        <v>377</v>
      </c>
      <c r="FE53" s="92"/>
      <c r="FH53" s="55"/>
      <c r="FI53" s="405" t="s">
        <v>348</v>
      </c>
      <c r="FJ53" s="722" t="s">
        <v>427</v>
      </c>
      <c r="FK53" s="682" t="s">
        <v>369</v>
      </c>
      <c r="FL53" s="717"/>
      <c r="FM53" s="66"/>
      <c r="FN53" s="645" t="s">
        <v>328</v>
      </c>
      <c r="FO53" s="782" t="s">
        <v>370</v>
      </c>
      <c r="FP53" s="405" t="s">
        <v>389</v>
      </c>
      <c r="FQ53" s="92"/>
      <c r="FT53" s="55"/>
      <c r="FU53" s="405" t="s">
        <v>375</v>
      </c>
      <c r="FV53" s="722" t="s">
        <v>427</v>
      </c>
      <c r="FW53" s="682" t="s">
        <v>324</v>
      </c>
      <c r="FX53" s="717"/>
    </row>
    <row r="54">
      <c r="A54" s="754">
        <v>2.0</v>
      </c>
      <c r="B54" s="755">
        <v>40.0</v>
      </c>
      <c r="C54" s="756" t="str">
        <f>'Schedule | 2 Division'!K20</f>
        <v>Suplex team</v>
      </c>
      <c r="D54" s="757">
        <f t="shared" ref="D54:E54" si="81">DV81</f>
        <v>0</v>
      </c>
      <c r="E54" s="757">
        <f t="shared" si="81"/>
        <v>2</v>
      </c>
      <c r="F54" s="756" t="str">
        <f>'Schedule | 2 Division'!O20</f>
        <v>The Soulless Team</v>
      </c>
      <c r="G54" s="755" t="str">
        <f t="shared" si="12"/>
        <v>The Soulless Team</v>
      </c>
      <c r="H54" s="759" t="str">
        <f t="shared" si="13"/>
        <v/>
      </c>
      <c r="I54" s="760" t="str">
        <f t="shared" si="14"/>
        <v/>
      </c>
      <c r="J54" s="771" t="str">
        <f t="shared" si="15"/>
        <v>Suplex team</v>
      </c>
      <c r="K54" s="733"/>
      <c r="L54" s="717"/>
      <c r="M54" s="66"/>
      <c r="N54" s="645" t="s">
        <v>361</v>
      </c>
      <c r="O54" s="722" t="s">
        <v>772</v>
      </c>
      <c r="P54" s="405" t="s">
        <v>375</v>
      </c>
      <c r="Q54" s="92"/>
      <c r="S54" s="92"/>
      <c r="U54" s="405" t="s">
        <v>362</v>
      </c>
      <c r="V54" s="722" t="s">
        <v>784</v>
      </c>
      <c r="W54" s="682" t="s">
        <v>337</v>
      </c>
      <c r="X54" s="717"/>
      <c r="Y54" s="66"/>
      <c r="Z54" s="645" t="s">
        <v>384</v>
      </c>
      <c r="AA54" s="722" t="s">
        <v>370</v>
      </c>
      <c r="AB54" s="405" t="s">
        <v>324</v>
      </c>
      <c r="AC54" s="92"/>
      <c r="AE54" s="92"/>
      <c r="AG54" s="405" t="s">
        <v>401</v>
      </c>
      <c r="AH54" s="722" t="s">
        <v>390</v>
      </c>
      <c r="AI54" s="682" t="s">
        <v>375</v>
      </c>
      <c r="AJ54" s="717"/>
      <c r="AK54" s="66"/>
      <c r="AL54" s="645" t="s">
        <v>354</v>
      </c>
      <c r="AM54" s="722" t="s">
        <v>419</v>
      </c>
      <c r="AN54" s="405" t="s">
        <v>334</v>
      </c>
      <c r="AO54" s="92"/>
      <c r="AQ54" s="92"/>
      <c r="AS54" s="405" t="s">
        <v>328</v>
      </c>
      <c r="AT54" s="722" t="s">
        <v>463</v>
      </c>
      <c r="AU54" s="682" t="s">
        <v>432</v>
      </c>
      <c r="AV54" s="717"/>
      <c r="AW54" s="66"/>
      <c r="AX54" s="645" t="s">
        <v>414</v>
      </c>
      <c r="AY54" s="722" t="s">
        <v>768</v>
      </c>
      <c r="AZ54" s="405" t="s">
        <v>382</v>
      </c>
      <c r="BA54" s="92"/>
      <c r="BC54" s="92"/>
      <c r="BE54" s="405" t="s">
        <v>737</v>
      </c>
      <c r="BF54" s="722" t="s">
        <v>316</v>
      </c>
      <c r="BG54" s="682" t="s">
        <v>361</v>
      </c>
      <c r="BH54" s="717"/>
      <c r="BI54" s="66"/>
      <c r="BJ54" s="645" t="s">
        <v>411</v>
      </c>
      <c r="BK54" s="722" t="s">
        <v>417</v>
      </c>
      <c r="BL54" s="405" t="s">
        <v>382</v>
      </c>
      <c r="BM54" s="92"/>
      <c r="BO54" s="92"/>
      <c r="BQ54" s="405" t="s">
        <v>359</v>
      </c>
      <c r="BR54" s="722" t="s">
        <v>459</v>
      </c>
      <c r="BS54" s="682" t="s">
        <v>373</v>
      </c>
      <c r="BT54" s="717"/>
      <c r="BU54" s="66"/>
      <c r="BV54" s="645" t="s">
        <v>348</v>
      </c>
      <c r="BW54" s="722" t="s">
        <v>774</v>
      </c>
      <c r="BX54" s="405" t="s">
        <v>439</v>
      </c>
      <c r="BY54" s="92"/>
      <c r="CA54" s="92"/>
      <c r="CC54" s="405" t="s">
        <v>317</v>
      </c>
      <c r="CD54" s="722" t="s">
        <v>419</v>
      </c>
      <c r="CE54" s="682" t="s">
        <v>327</v>
      </c>
      <c r="CF54" s="717"/>
      <c r="CG54" s="66"/>
      <c r="CH54" s="645" t="s">
        <v>380</v>
      </c>
      <c r="CI54" s="722" t="s">
        <v>774</v>
      </c>
      <c r="CJ54" s="405" t="s">
        <v>352</v>
      </c>
      <c r="CK54" s="92"/>
      <c r="CM54" s="92"/>
      <c r="CO54" s="405" t="s">
        <v>315</v>
      </c>
      <c r="CP54" s="722" t="s">
        <v>474</v>
      </c>
      <c r="CQ54" s="682" t="s">
        <v>439</v>
      </c>
      <c r="CR54" s="717"/>
      <c r="CS54" s="66"/>
      <c r="CT54" s="645" t="s">
        <v>343</v>
      </c>
      <c r="CU54" s="722" t="s">
        <v>345</v>
      </c>
      <c r="CV54" s="405" t="s">
        <v>374</v>
      </c>
      <c r="CW54" s="92"/>
      <c r="CY54" s="92"/>
      <c r="DA54" s="405" t="s">
        <v>346</v>
      </c>
      <c r="DB54" s="722" t="s">
        <v>785</v>
      </c>
      <c r="DC54" s="682" t="s">
        <v>747</v>
      </c>
      <c r="DD54" s="717"/>
      <c r="DE54" s="66"/>
      <c r="DF54" s="645" t="s">
        <v>348</v>
      </c>
      <c r="DG54" s="722" t="s">
        <v>390</v>
      </c>
      <c r="DH54" s="405" t="s">
        <v>414</v>
      </c>
      <c r="DI54" s="92"/>
      <c r="DL54" s="55"/>
      <c r="DM54" s="405" t="s">
        <v>328</v>
      </c>
      <c r="DN54" s="722" t="s">
        <v>771</v>
      </c>
      <c r="DO54" s="682" t="s">
        <v>384</v>
      </c>
      <c r="DP54" s="717"/>
      <c r="DQ54" s="66"/>
      <c r="DR54" s="645" t="s">
        <v>401</v>
      </c>
      <c r="DS54" s="722" t="s">
        <v>473</v>
      </c>
      <c r="DT54" s="405" t="s">
        <v>409</v>
      </c>
      <c r="DU54" s="92"/>
      <c r="DX54" s="55"/>
      <c r="DY54" s="405" t="s">
        <v>361</v>
      </c>
      <c r="DZ54" s="722" t="s">
        <v>457</v>
      </c>
      <c r="EA54" s="682" t="s">
        <v>346</v>
      </c>
      <c r="EB54" s="717"/>
      <c r="EC54" s="66"/>
      <c r="ED54" s="645" t="s">
        <v>374</v>
      </c>
      <c r="EE54" s="782" t="s">
        <v>370</v>
      </c>
      <c r="EF54" s="405" t="s">
        <v>410</v>
      </c>
      <c r="EG54" s="92"/>
      <c r="EJ54" s="55"/>
      <c r="EK54" s="405" t="s">
        <v>362</v>
      </c>
      <c r="EL54" s="722" t="s">
        <v>627</v>
      </c>
      <c r="EM54" s="682" t="s">
        <v>325</v>
      </c>
      <c r="EN54" s="717"/>
      <c r="EO54" s="66"/>
      <c r="EP54" s="645" t="s">
        <v>346</v>
      </c>
      <c r="EQ54" s="722" t="s">
        <v>627</v>
      </c>
      <c r="ER54" s="405" t="s">
        <v>359</v>
      </c>
      <c r="ES54" s="92"/>
      <c r="EV54" s="55"/>
      <c r="EW54" s="405" t="s">
        <v>407</v>
      </c>
      <c r="EX54" s="242" t="s">
        <v>774</v>
      </c>
      <c r="EY54" s="682" t="s">
        <v>402</v>
      </c>
      <c r="EZ54" s="717"/>
      <c r="FA54" s="66"/>
      <c r="FB54" s="645" t="s">
        <v>382</v>
      </c>
      <c r="FC54" s="722" t="s">
        <v>481</v>
      </c>
      <c r="FD54" s="405" t="s">
        <v>385</v>
      </c>
      <c r="FE54" s="92"/>
      <c r="FH54" s="55"/>
      <c r="FI54" s="405" t="s">
        <v>376</v>
      </c>
      <c r="FJ54" s="722" t="s">
        <v>417</v>
      </c>
      <c r="FK54" s="682" t="s">
        <v>368</v>
      </c>
      <c r="FL54" s="717"/>
      <c r="FM54" s="66"/>
      <c r="FN54" s="645" t="s">
        <v>387</v>
      </c>
      <c r="FO54" s="782" t="s">
        <v>786</v>
      </c>
      <c r="FP54" s="405" t="s">
        <v>738</v>
      </c>
      <c r="FQ54" s="92"/>
      <c r="FT54" s="55"/>
      <c r="FU54" s="405" t="s">
        <v>376</v>
      </c>
      <c r="FV54" s="722" t="s">
        <v>417</v>
      </c>
      <c r="FW54" s="682" t="s">
        <v>361</v>
      </c>
      <c r="FX54" s="717"/>
    </row>
    <row r="55">
      <c r="A55" s="640">
        <v>2.0</v>
      </c>
      <c r="B55" s="740">
        <v>41.0</v>
      </c>
      <c r="C55" s="741" t="str">
        <f>'Schedule | 2 Division'!K23</f>
        <v>TSA White</v>
      </c>
      <c r="D55" s="753">
        <f t="shared" ref="D55:E55" si="82">EH21</f>
        <v>2</v>
      </c>
      <c r="E55" s="753">
        <f t="shared" si="82"/>
        <v>0</v>
      </c>
      <c r="F55" s="741" t="str">
        <f>'Schedule | 2 Division'!O23</f>
        <v>Suplex team</v>
      </c>
      <c r="G55" s="740" t="str">
        <f t="shared" si="12"/>
        <v>TSA White</v>
      </c>
      <c r="H55" s="685" t="str">
        <f t="shared" si="13"/>
        <v/>
      </c>
      <c r="I55" s="688" t="str">
        <f t="shared" si="14"/>
        <v/>
      </c>
      <c r="J55" s="751" t="str">
        <f t="shared" si="15"/>
        <v>Suplex team</v>
      </c>
      <c r="K55" s="733"/>
      <c r="L55" s="717"/>
      <c r="M55" s="134"/>
      <c r="N55" s="744" t="s">
        <v>19</v>
      </c>
      <c r="O55" s="723" t="s">
        <v>783</v>
      </c>
      <c r="P55" s="745" t="s">
        <v>346</v>
      </c>
      <c r="Q55" s="375"/>
      <c r="R55" s="374"/>
      <c r="S55" s="375"/>
      <c r="T55" s="374"/>
      <c r="U55" s="745" t="s">
        <v>396</v>
      </c>
      <c r="V55" s="723" t="s">
        <v>435</v>
      </c>
      <c r="W55" s="746" t="s">
        <v>405</v>
      </c>
      <c r="X55" s="717"/>
      <c r="Y55" s="134"/>
      <c r="Z55" s="744" t="s">
        <v>315</v>
      </c>
      <c r="AA55" s="723" t="s">
        <v>460</v>
      </c>
      <c r="AB55" s="745" t="s">
        <v>740</v>
      </c>
      <c r="AC55" s="375"/>
      <c r="AD55" s="374"/>
      <c r="AE55" s="375"/>
      <c r="AF55" s="374"/>
      <c r="AG55" s="745" t="s">
        <v>400</v>
      </c>
      <c r="AH55" s="723" t="s">
        <v>773</v>
      </c>
      <c r="AI55" s="746" t="s">
        <v>343</v>
      </c>
      <c r="AJ55" s="717"/>
      <c r="AK55" s="134"/>
      <c r="AL55" s="744" t="s">
        <v>373</v>
      </c>
      <c r="AM55" s="723" t="s">
        <v>627</v>
      </c>
      <c r="AN55" s="745" t="s">
        <v>374</v>
      </c>
      <c r="AO55" s="375"/>
      <c r="AP55" s="374"/>
      <c r="AQ55" s="375"/>
      <c r="AR55" s="374"/>
      <c r="AS55" s="745" t="s">
        <v>352</v>
      </c>
      <c r="AT55" s="723" t="s">
        <v>770</v>
      </c>
      <c r="AU55" s="746" t="s">
        <v>411</v>
      </c>
      <c r="AV55" s="717"/>
      <c r="AW55" s="134"/>
      <c r="AX55" s="744" t="s">
        <v>412</v>
      </c>
      <c r="AY55" s="723" t="s">
        <v>627</v>
      </c>
      <c r="AZ55" s="745" t="s">
        <v>348</v>
      </c>
      <c r="BA55" s="375"/>
      <c r="BB55" s="374"/>
      <c r="BC55" s="375"/>
      <c r="BD55" s="374"/>
      <c r="BE55" s="745" t="s">
        <v>334</v>
      </c>
      <c r="BF55" s="723" t="s">
        <v>460</v>
      </c>
      <c r="BG55" s="746" t="s">
        <v>374</v>
      </c>
      <c r="BH55" s="717"/>
      <c r="BI55" s="134"/>
      <c r="BJ55" s="744" t="s">
        <v>331</v>
      </c>
      <c r="BK55" s="723" t="s">
        <v>425</v>
      </c>
      <c r="BL55" s="745" t="s">
        <v>470</v>
      </c>
      <c r="BM55" s="375"/>
      <c r="BN55" s="374"/>
      <c r="BO55" s="375"/>
      <c r="BP55" s="374"/>
      <c r="BQ55" s="745" t="s">
        <v>742</v>
      </c>
      <c r="BR55" s="723" t="s">
        <v>461</v>
      </c>
      <c r="BS55" s="746" t="s">
        <v>408</v>
      </c>
      <c r="BT55" s="717"/>
      <c r="BU55" s="134"/>
      <c r="BV55" s="744" t="s">
        <v>470</v>
      </c>
      <c r="BW55" s="723" t="s">
        <v>457</v>
      </c>
      <c r="BX55" s="745" t="s">
        <v>322</v>
      </c>
      <c r="BY55" s="375"/>
      <c r="BZ55" s="374"/>
      <c r="CA55" s="375"/>
      <c r="CB55" s="374"/>
      <c r="CC55" s="745" t="s">
        <v>405</v>
      </c>
      <c r="CD55" s="723" t="s">
        <v>785</v>
      </c>
      <c r="CE55" s="746" t="s">
        <v>324</v>
      </c>
      <c r="CF55" s="717"/>
      <c r="CG55" s="134"/>
      <c r="CH55" s="744" t="s">
        <v>389</v>
      </c>
      <c r="CI55" s="723" t="s">
        <v>461</v>
      </c>
      <c r="CJ55" s="745" t="s">
        <v>343</v>
      </c>
      <c r="CK55" s="375"/>
      <c r="CL55" s="374"/>
      <c r="CM55" s="375"/>
      <c r="CN55" s="374"/>
      <c r="CO55" s="745" t="s">
        <v>387</v>
      </c>
      <c r="CP55" s="722" t="s">
        <v>481</v>
      </c>
      <c r="CQ55" s="746" t="s">
        <v>405</v>
      </c>
      <c r="CR55" s="717"/>
      <c r="CS55" s="134"/>
      <c r="CT55" s="744" t="s">
        <v>432</v>
      </c>
      <c r="CU55" s="723" t="s">
        <v>773</v>
      </c>
      <c r="CV55" s="745" t="s">
        <v>742</v>
      </c>
      <c r="CW55" s="375"/>
      <c r="CX55" s="374"/>
      <c r="CY55" s="375"/>
      <c r="CZ55" s="374"/>
      <c r="DA55" s="745" t="s">
        <v>328</v>
      </c>
      <c r="DB55" s="723" t="s">
        <v>428</v>
      </c>
      <c r="DC55" s="746" t="s">
        <v>315</v>
      </c>
      <c r="DD55" s="717"/>
      <c r="DE55" s="134"/>
      <c r="DF55" s="744" t="s">
        <v>337</v>
      </c>
      <c r="DG55" s="723" t="s">
        <v>372</v>
      </c>
      <c r="DH55" s="745" t="s">
        <v>387</v>
      </c>
      <c r="DI55" s="375"/>
      <c r="DJ55" s="374"/>
      <c r="DK55" s="374"/>
      <c r="DL55" s="386"/>
      <c r="DM55" s="745" t="s">
        <v>341</v>
      </c>
      <c r="DN55" s="723" t="s">
        <v>474</v>
      </c>
      <c r="DO55" s="746" t="s">
        <v>401</v>
      </c>
      <c r="DP55" s="717"/>
      <c r="DQ55" s="134"/>
      <c r="DR55" s="744" t="s">
        <v>327</v>
      </c>
      <c r="DS55" s="722" t="s">
        <v>482</v>
      </c>
      <c r="DT55" s="745" t="s">
        <v>407</v>
      </c>
      <c r="DU55" s="375"/>
      <c r="DV55" s="374"/>
      <c r="DW55" s="374"/>
      <c r="DX55" s="386"/>
      <c r="DY55" s="745" t="s">
        <v>352</v>
      </c>
      <c r="DZ55" s="723" t="s">
        <v>774</v>
      </c>
      <c r="EA55" s="746" t="s">
        <v>376</v>
      </c>
      <c r="EB55" s="717"/>
      <c r="EC55" s="134"/>
      <c r="ED55" s="744" t="s">
        <v>315</v>
      </c>
      <c r="EE55" s="792" t="s">
        <v>786</v>
      </c>
      <c r="EF55" s="745" t="s">
        <v>411</v>
      </c>
      <c r="EG55" s="375"/>
      <c r="EH55" s="374"/>
      <c r="EI55" s="374"/>
      <c r="EJ55" s="386"/>
      <c r="EK55" s="745" t="s">
        <v>337</v>
      </c>
      <c r="EL55" s="723" t="s">
        <v>785</v>
      </c>
      <c r="EM55" s="746" t="s">
        <v>412</v>
      </c>
      <c r="EN55" s="717"/>
      <c r="EO55" s="134"/>
      <c r="EP55" s="744" t="s">
        <v>352</v>
      </c>
      <c r="EQ55" s="723" t="s">
        <v>785</v>
      </c>
      <c r="ER55" s="745" t="s">
        <v>385</v>
      </c>
      <c r="ES55" s="375"/>
      <c r="ET55" s="374"/>
      <c r="EU55" s="374"/>
      <c r="EV55" s="386"/>
      <c r="EW55" s="745" t="s">
        <v>375</v>
      </c>
      <c r="EX55" s="391" t="s">
        <v>463</v>
      </c>
      <c r="EY55" s="746" t="s">
        <v>374</v>
      </c>
      <c r="EZ55" s="717"/>
      <c r="FA55" s="134"/>
      <c r="FB55" s="744" t="s">
        <v>337</v>
      </c>
      <c r="FC55" s="723" t="s">
        <v>474</v>
      </c>
      <c r="FD55" s="745" t="s">
        <v>391</v>
      </c>
      <c r="FE55" s="375"/>
      <c r="FF55" s="374"/>
      <c r="FG55" s="374"/>
      <c r="FH55" s="386"/>
      <c r="FI55" s="745" t="s">
        <v>346</v>
      </c>
      <c r="FJ55" s="723" t="s">
        <v>781</v>
      </c>
      <c r="FK55" s="746" t="s">
        <v>373</v>
      </c>
      <c r="FL55" s="717"/>
      <c r="FM55" s="134"/>
      <c r="FN55" s="744" t="s">
        <v>337</v>
      </c>
      <c r="FO55" s="792" t="s">
        <v>316</v>
      </c>
      <c r="FP55" s="745" t="s">
        <v>384</v>
      </c>
      <c r="FQ55" s="375"/>
      <c r="FR55" s="374"/>
      <c r="FS55" s="374"/>
      <c r="FT55" s="386"/>
      <c r="FU55" s="745" t="s">
        <v>439</v>
      </c>
      <c r="FV55" s="723" t="s">
        <v>781</v>
      </c>
      <c r="FW55" s="746" t="s">
        <v>322</v>
      </c>
      <c r="FX55" s="717"/>
    </row>
    <row r="56">
      <c r="A56" s="640">
        <v>2.0</v>
      </c>
      <c r="B56" s="740">
        <v>42.0</v>
      </c>
      <c r="C56" s="741" t="str">
        <f>'Schedule | 2 Division'!K24</f>
        <v>HARD GRIND</v>
      </c>
      <c r="D56" s="753">
        <f t="shared" ref="D56:E56" si="83">EH41</f>
        <v>0</v>
      </c>
      <c r="E56" s="753">
        <f t="shared" si="83"/>
        <v>2</v>
      </c>
      <c r="F56" s="741" t="str">
        <f>'Schedule | 2 Division'!O24</f>
        <v>INVISION</v>
      </c>
      <c r="G56" s="740" t="str">
        <f t="shared" si="12"/>
        <v>INVISION</v>
      </c>
      <c r="H56" s="685" t="str">
        <f t="shared" si="13"/>
        <v/>
      </c>
      <c r="I56" s="688" t="str">
        <f t="shared" si="14"/>
        <v/>
      </c>
      <c r="J56" s="751" t="str">
        <f t="shared" si="15"/>
        <v>HARD GRIND</v>
      </c>
      <c r="K56" s="733"/>
      <c r="L56" s="717"/>
      <c r="M56" s="656">
        <v>3.0</v>
      </c>
      <c r="N56" s="645"/>
      <c r="O56" s="722"/>
      <c r="P56" s="405"/>
      <c r="Q56" s="682"/>
      <c r="R56" s="730"/>
      <c r="S56" s="731"/>
      <c r="T56" s="405"/>
      <c r="U56" s="405"/>
      <c r="V56" s="722"/>
      <c r="W56" s="682"/>
      <c r="X56" s="717"/>
      <c r="Y56" s="656">
        <v>3.0</v>
      </c>
      <c r="Z56" s="645"/>
      <c r="AA56" s="722"/>
      <c r="AB56" s="405"/>
      <c r="AC56" s="682"/>
      <c r="AD56" s="730"/>
      <c r="AE56" s="731"/>
      <c r="AF56" s="405"/>
      <c r="AG56" s="405"/>
      <c r="AH56" s="722"/>
      <c r="AI56" s="682"/>
      <c r="AJ56" s="717"/>
      <c r="AK56" s="656">
        <v>3.0</v>
      </c>
      <c r="AL56" s="645"/>
      <c r="AM56" s="722"/>
      <c r="AN56" s="405"/>
      <c r="AO56" s="682"/>
      <c r="AP56" s="730"/>
      <c r="AQ56" s="731"/>
      <c r="AR56" s="405"/>
      <c r="AS56" s="405"/>
      <c r="AT56" s="722"/>
      <c r="AU56" s="682"/>
      <c r="AV56" s="717"/>
      <c r="AW56" s="656">
        <v>3.0</v>
      </c>
      <c r="AX56" s="645" t="s">
        <v>324</v>
      </c>
      <c r="AY56" s="722" t="s">
        <v>428</v>
      </c>
      <c r="AZ56" s="405" t="s">
        <v>328</v>
      </c>
      <c r="BA56" s="682" t="s">
        <v>318</v>
      </c>
      <c r="BB56" s="730" t="s">
        <v>319</v>
      </c>
      <c r="BC56" s="731" t="s">
        <v>320</v>
      </c>
      <c r="BD56" s="405" t="s">
        <v>321</v>
      </c>
      <c r="BE56" s="405" t="s">
        <v>315</v>
      </c>
      <c r="BF56" s="722" t="s">
        <v>780</v>
      </c>
      <c r="BG56" s="682" t="s">
        <v>325</v>
      </c>
      <c r="BH56" s="717"/>
      <c r="BI56" s="656">
        <v>3.0</v>
      </c>
      <c r="BJ56" s="645"/>
      <c r="BK56" s="722"/>
      <c r="BL56" s="405"/>
      <c r="BM56" s="682"/>
      <c r="BN56" s="730"/>
      <c r="BO56" s="731"/>
      <c r="BP56" s="405"/>
      <c r="BQ56" s="405"/>
      <c r="BR56" s="722"/>
      <c r="BS56" s="682"/>
      <c r="BT56" s="717"/>
      <c r="BU56" s="656">
        <v>3.0</v>
      </c>
      <c r="BV56" s="645" t="s">
        <v>324</v>
      </c>
      <c r="BW56" s="722" t="s">
        <v>774</v>
      </c>
      <c r="BX56" s="405" t="s">
        <v>342</v>
      </c>
      <c r="BY56" s="682" t="s">
        <v>321</v>
      </c>
      <c r="BZ56" s="730" t="s">
        <v>319</v>
      </c>
      <c r="CA56" s="731" t="s">
        <v>320</v>
      </c>
      <c r="CB56" s="405" t="s">
        <v>318</v>
      </c>
      <c r="CC56" s="405" t="s">
        <v>328</v>
      </c>
      <c r="CD56" s="722" t="s">
        <v>428</v>
      </c>
      <c r="CE56" s="682" t="s">
        <v>325</v>
      </c>
      <c r="CF56" s="717"/>
      <c r="CG56" s="656">
        <v>3.0</v>
      </c>
      <c r="CH56" s="645"/>
      <c r="CI56" s="722"/>
      <c r="CJ56" s="405"/>
      <c r="CK56" s="682"/>
      <c r="CL56" s="730"/>
      <c r="CM56" s="731"/>
      <c r="CN56" s="405"/>
      <c r="CO56" s="405"/>
      <c r="CP56" s="727"/>
      <c r="CQ56" s="682"/>
      <c r="CR56" s="717"/>
      <c r="CS56" s="656">
        <v>3.0</v>
      </c>
      <c r="CT56" s="645" t="s">
        <v>342</v>
      </c>
      <c r="CU56" s="722" t="s">
        <v>345</v>
      </c>
      <c r="CV56" s="405" t="s">
        <v>374</v>
      </c>
      <c r="CW56" s="682" t="s">
        <v>321</v>
      </c>
      <c r="CX56" s="730" t="s">
        <v>320</v>
      </c>
      <c r="CY56" s="731" t="s">
        <v>319</v>
      </c>
      <c r="CZ56" s="405" t="s">
        <v>318</v>
      </c>
      <c r="DA56" s="405" t="s">
        <v>396</v>
      </c>
      <c r="DB56" s="722" t="s">
        <v>768</v>
      </c>
      <c r="DC56" s="682" t="s">
        <v>342</v>
      </c>
      <c r="DD56" s="717"/>
      <c r="DE56" s="656">
        <v>3.0</v>
      </c>
      <c r="DF56" s="645" t="s">
        <v>331</v>
      </c>
      <c r="DG56" s="722" t="s">
        <v>779</v>
      </c>
      <c r="DH56" s="405" t="s">
        <v>324</v>
      </c>
      <c r="DI56" s="682" t="s">
        <v>318</v>
      </c>
      <c r="DJ56" s="730" t="s">
        <v>320</v>
      </c>
      <c r="DK56" s="730" t="s">
        <v>319</v>
      </c>
      <c r="DL56" s="645" t="s">
        <v>321</v>
      </c>
      <c r="DM56" s="405" t="s">
        <v>405</v>
      </c>
      <c r="DN56" s="727" t="s">
        <v>481</v>
      </c>
      <c r="DO56" s="682" t="s">
        <v>334</v>
      </c>
      <c r="DP56" s="717"/>
      <c r="DQ56" s="656">
        <v>3.0</v>
      </c>
      <c r="DR56" s="645" t="s">
        <v>337</v>
      </c>
      <c r="DS56" s="718" t="s">
        <v>482</v>
      </c>
      <c r="DT56" s="405" t="s">
        <v>342</v>
      </c>
      <c r="DU56" s="682" t="s">
        <v>318</v>
      </c>
      <c r="DV56" s="730" t="s">
        <v>319</v>
      </c>
      <c r="DW56" s="730" t="s">
        <v>320</v>
      </c>
      <c r="DX56" s="645" t="s">
        <v>321</v>
      </c>
      <c r="DY56" s="405" t="s">
        <v>400</v>
      </c>
      <c r="DZ56" s="727" t="s">
        <v>461</v>
      </c>
      <c r="EA56" s="682" t="s">
        <v>324</v>
      </c>
      <c r="EB56" s="717"/>
      <c r="EC56" s="656">
        <v>3.0</v>
      </c>
      <c r="ED56" s="645"/>
      <c r="EE56" s="722"/>
      <c r="EF56" s="405"/>
      <c r="EG56" s="682"/>
      <c r="EH56" s="730"/>
      <c r="EI56" s="730"/>
      <c r="EJ56" s="645"/>
      <c r="EK56" s="405"/>
      <c r="EL56" s="722"/>
      <c r="EM56" s="682"/>
      <c r="EN56" s="717"/>
      <c r="EO56" s="656">
        <v>3.0</v>
      </c>
      <c r="EP56" s="645"/>
      <c r="EQ56" s="722"/>
      <c r="ER56" s="405"/>
      <c r="ES56" s="682"/>
      <c r="ET56" s="730"/>
      <c r="EU56" s="730"/>
      <c r="EV56" s="645"/>
      <c r="EW56" s="405"/>
      <c r="EX56" s="752"/>
      <c r="EY56" s="682"/>
      <c r="EZ56" s="717"/>
      <c r="FA56" s="656">
        <v>3.0</v>
      </c>
      <c r="FB56" s="645" t="s">
        <v>315</v>
      </c>
      <c r="FC56" s="727" t="s">
        <v>480</v>
      </c>
      <c r="FD56" s="405" t="s">
        <v>369</v>
      </c>
      <c r="FE56" s="682" t="s">
        <v>318</v>
      </c>
      <c r="FF56" s="730" t="s">
        <v>319</v>
      </c>
      <c r="FG56" s="730" t="s">
        <v>320</v>
      </c>
      <c r="FH56" s="645" t="s">
        <v>321</v>
      </c>
      <c r="FI56" s="405" t="s">
        <v>337</v>
      </c>
      <c r="FJ56" s="722" t="s">
        <v>781</v>
      </c>
      <c r="FK56" s="682" t="s">
        <v>341</v>
      </c>
      <c r="FL56" s="717"/>
      <c r="FM56" s="656">
        <v>3.0</v>
      </c>
      <c r="FN56" s="645" t="s">
        <v>341</v>
      </c>
      <c r="FO56" s="789" t="s">
        <v>344</v>
      </c>
      <c r="FP56" s="405" t="s">
        <v>342</v>
      </c>
      <c r="FQ56" s="682" t="s">
        <v>318</v>
      </c>
      <c r="FR56" s="730" t="s">
        <v>320</v>
      </c>
      <c r="FS56" s="730" t="s">
        <v>319</v>
      </c>
      <c r="FT56" s="645" t="s">
        <v>321</v>
      </c>
      <c r="FU56" s="405" t="s">
        <v>375</v>
      </c>
      <c r="FV56" s="722" t="s">
        <v>599</v>
      </c>
      <c r="FW56" s="682" t="s">
        <v>324</v>
      </c>
      <c r="FX56" s="717"/>
    </row>
    <row r="57">
      <c r="A57" s="640">
        <v>2.0</v>
      </c>
      <c r="B57" s="740">
        <v>43.0</v>
      </c>
      <c r="C57" s="741" t="str">
        <f>'Schedule | 2 Division'!K25</f>
        <v>The Soulless Team</v>
      </c>
      <c r="D57" s="748">
        <f t="shared" ref="D57:E57" si="84">EH61</f>
        <v>2</v>
      </c>
      <c r="E57" s="748">
        <f t="shared" si="84"/>
        <v>0</v>
      </c>
      <c r="F57" s="741" t="str">
        <f>'Schedule | 2 Division'!O25</f>
        <v>Dark Phoenix</v>
      </c>
      <c r="G57" s="740" t="str">
        <f t="shared" si="12"/>
        <v>The Soulless Team</v>
      </c>
      <c r="H57" s="685" t="str">
        <f t="shared" si="13"/>
        <v/>
      </c>
      <c r="I57" s="688" t="str">
        <f t="shared" si="14"/>
        <v/>
      </c>
      <c r="J57" s="751" t="str">
        <f t="shared" si="15"/>
        <v>Dark Phoenix</v>
      </c>
      <c r="K57" s="733"/>
      <c r="L57" s="717"/>
      <c r="M57" s="66"/>
      <c r="N57" s="645"/>
      <c r="O57" s="722"/>
      <c r="P57" s="405"/>
      <c r="Q57" s="92"/>
      <c r="S57" s="92"/>
      <c r="U57" s="405"/>
      <c r="V57" s="722"/>
      <c r="W57" s="682"/>
      <c r="X57" s="717"/>
      <c r="Y57" s="66"/>
      <c r="Z57" s="645"/>
      <c r="AA57" s="722"/>
      <c r="AB57" s="405"/>
      <c r="AC57" s="92"/>
      <c r="AE57" s="92"/>
      <c r="AG57" s="405"/>
      <c r="AH57" s="722"/>
      <c r="AI57" s="682"/>
      <c r="AJ57" s="717"/>
      <c r="AK57" s="66"/>
      <c r="AL57" s="645"/>
      <c r="AM57" s="722"/>
      <c r="AN57" s="405"/>
      <c r="AO57" s="92"/>
      <c r="AQ57" s="92"/>
      <c r="AS57" s="405"/>
      <c r="AT57" s="722"/>
      <c r="AU57" s="682"/>
      <c r="AV57" s="717"/>
      <c r="AW57" s="66"/>
      <c r="AX57" s="645" t="s">
        <v>327</v>
      </c>
      <c r="AY57" s="722" t="s">
        <v>419</v>
      </c>
      <c r="AZ57" s="405" t="s">
        <v>400</v>
      </c>
      <c r="BA57" s="92"/>
      <c r="BC57" s="92"/>
      <c r="BE57" s="405" t="s">
        <v>337</v>
      </c>
      <c r="BF57" s="722" t="s">
        <v>344</v>
      </c>
      <c r="BG57" s="682" t="s">
        <v>317</v>
      </c>
      <c r="BH57" s="717"/>
      <c r="BI57" s="66"/>
      <c r="BJ57" s="645"/>
      <c r="BK57" s="722"/>
      <c r="BL57" s="405"/>
      <c r="BM57" s="92"/>
      <c r="BO57" s="92"/>
      <c r="BQ57" s="405"/>
      <c r="BR57" s="722"/>
      <c r="BS57" s="682"/>
      <c r="BT57" s="717"/>
      <c r="BU57" s="66"/>
      <c r="BV57" s="645" t="s">
        <v>396</v>
      </c>
      <c r="BW57" s="722" t="s">
        <v>461</v>
      </c>
      <c r="BX57" s="405" t="s">
        <v>317</v>
      </c>
      <c r="BY57" s="92"/>
      <c r="CA57" s="92"/>
      <c r="CC57" s="405" t="s">
        <v>19</v>
      </c>
      <c r="CD57" s="722" t="s">
        <v>768</v>
      </c>
      <c r="CE57" s="682" t="s">
        <v>327</v>
      </c>
      <c r="CF57" s="717"/>
      <c r="CG57" s="66"/>
      <c r="CH57" s="645"/>
      <c r="CI57" s="722"/>
      <c r="CJ57" s="405"/>
      <c r="CK57" s="92"/>
      <c r="CM57" s="92"/>
      <c r="CO57" s="405"/>
      <c r="CP57" s="722"/>
      <c r="CQ57" s="682"/>
      <c r="CR57" s="717"/>
      <c r="CS57" s="66"/>
      <c r="CT57" s="645" t="s">
        <v>434</v>
      </c>
      <c r="CU57" s="722" t="s">
        <v>773</v>
      </c>
      <c r="CV57" s="405" t="s">
        <v>325</v>
      </c>
      <c r="CW57" s="92"/>
      <c r="CY57" s="92"/>
      <c r="DA57" s="405" t="s">
        <v>432</v>
      </c>
      <c r="DB57" s="722" t="s">
        <v>419</v>
      </c>
      <c r="DC57" s="682" t="s">
        <v>434</v>
      </c>
      <c r="DD57" s="717"/>
      <c r="DE57" s="66"/>
      <c r="DF57" s="645" t="s">
        <v>328</v>
      </c>
      <c r="DG57" s="722" t="s">
        <v>390</v>
      </c>
      <c r="DH57" s="405" t="s">
        <v>384</v>
      </c>
      <c r="DI57" s="92"/>
      <c r="DL57" s="55"/>
      <c r="DM57" s="405" t="s">
        <v>369</v>
      </c>
      <c r="DN57" s="722" t="s">
        <v>480</v>
      </c>
      <c r="DO57" s="682" t="s">
        <v>327</v>
      </c>
      <c r="DP57" s="717"/>
      <c r="DQ57" s="66"/>
      <c r="DR57" s="645" t="s">
        <v>331</v>
      </c>
      <c r="DS57" s="722" t="s">
        <v>475</v>
      </c>
      <c r="DT57" s="405" t="s">
        <v>317</v>
      </c>
      <c r="DU57" s="92"/>
      <c r="DX57" s="55"/>
      <c r="DY57" s="405" t="s">
        <v>362</v>
      </c>
      <c r="DZ57" s="722" t="s">
        <v>459</v>
      </c>
      <c r="EA57" s="682" t="s">
        <v>328</v>
      </c>
      <c r="EB57" s="717"/>
      <c r="EC57" s="66"/>
      <c r="ED57" s="645"/>
      <c r="EE57" s="722"/>
      <c r="EF57" s="405"/>
      <c r="EG57" s="92"/>
      <c r="EJ57" s="55"/>
      <c r="EK57" s="405"/>
      <c r="EL57" s="722"/>
      <c r="EM57" s="682"/>
      <c r="EN57" s="717"/>
      <c r="EO57" s="66"/>
      <c r="EP57" s="645"/>
      <c r="EQ57" s="722"/>
      <c r="ER57" s="405"/>
      <c r="ES57" s="92"/>
      <c r="EV57" s="55"/>
      <c r="EW57" s="405"/>
      <c r="EX57" s="606"/>
      <c r="EY57" s="682"/>
      <c r="EZ57" s="717"/>
      <c r="FA57" s="66"/>
      <c r="FB57" s="645" t="s">
        <v>343</v>
      </c>
      <c r="FC57" s="722" t="s">
        <v>476</v>
      </c>
      <c r="FD57" s="405" t="s">
        <v>331</v>
      </c>
      <c r="FE57" s="92"/>
      <c r="FH57" s="55"/>
      <c r="FI57" s="405" t="s">
        <v>328</v>
      </c>
      <c r="FJ57" s="722" t="s">
        <v>599</v>
      </c>
      <c r="FK57" s="682" t="s">
        <v>342</v>
      </c>
      <c r="FL57" s="717"/>
      <c r="FM57" s="66"/>
      <c r="FN57" s="645" t="s">
        <v>325</v>
      </c>
      <c r="FO57" s="782" t="s">
        <v>780</v>
      </c>
      <c r="FP57" s="405" t="s">
        <v>352</v>
      </c>
      <c r="FQ57" s="92"/>
      <c r="FT57" s="55"/>
      <c r="FU57" s="405" t="s">
        <v>317</v>
      </c>
      <c r="FV57" s="722" t="s">
        <v>605</v>
      </c>
      <c r="FW57" s="682" t="s">
        <v>410</v>
      </c>
      <c r="FX57" s="717"/>
    </row>
    <row r="58">
      <c r="A58" s="754">
        <v>2.0</v>
      </c>
      <c r="B58" s="755">
        <v>44.0</v>
      </c>
      <c r="C58" s="799" t="str">
        <f>'Schedule | 2 Division'!K26</f>
        <v>Omnix</v>
      </c>
      <c r="D58" s="800">
        <f t="shared" ref="D58:E58" si="85">EH81</f>
        <v>0</v>
      </c>
      <c r="E58" s="800">
        <f t="shared" si="85"/>
        <v>2</v>
      </c>
      <c r="F58" s="799" t="str">
        <f>'Schedule | 2 Division'!O26</f>
        <v>Aterion Esports</v>
      </c>
      <c r="G58" s="755" t="str">
        <f t="shared" si="12"/>
        <v>Aterion Esports</v>
      </c>
      <c r="H58" s="759" t="str">
        <f t="shared" si="13"/>
        <v/>
      </c>
      <c r="I58" s="760" t="str">
        <f t="shared" si="14"/>
        <v/>
      </c>
      <c r="J58" s="771" t="str">
        <f t="shared" si="15"/>
        <v>Omnix</v>
      </c>
      <c r="K58" s="733"/>
      <c r="L58" s="717"/>
      <c r="M58" s="66"/>
      <c r="N58" s="645"/>
      <c r="O58" s="722"/>
      <c r="P58" s="405"/>
      <c r="Q58" s="92"/>
      <c r="S58" s="92"/>
      <c r="U58" s="405"/>
      <c r="V58" s="722"/>
      <c r="W58" s="682"/>
      <c r="X58" s="717"/>
      <c r="Y58" s="66"/>
      <c r="Z58" s="645"/>
      <c r="AA58" s="722"/>
      <c r="AB58" s="405"/>
      <c r="AC58" s="92"/>
      <c r="AE58" s="92"/>
      <c r="AG58" s="405"/>
      <c r="AH58" s="722"/>
      <c r="AI58" s="682"/>
      <c r="AJ58" s="717"/>
      <c r="AK58" s="66"/>
      <c r="AL58" s="645"/>
      <c r="AM58" s="722"/>
      <c r="AN58" s="405"/>
      <c r="AO58" s="92"/>
      <c r="AQ58" s="92"/>
      <c r="AS58" s="405"/>
      <c r="AT58" s="722"/>
      <c r="AU58" s="682"/>
      <c r="AV58" s="717"/>
      <c r="AW58" s="66"/>
      <c r="AX58" s="645" t="s">
        <v>334</v>
      </c>
      <c r="AY58" s="722" t="s">
        <v>768</v>
      </c>
      <c r="AZ58" s="405" t="s">
        <v>396</v>
      </c>
      <c r="BA58" s="92"/>
      <c r="BC58" s="92"/>
      <c r="BE58" s="405" t="s">
        <v>742</v>
      </c>
      <c r="BF58" s="722" t="s">
        <v>460</v>
      </c>
      <c r="BG58" s="682" t="s">
        <v>342</v>
      </c>
      <c r="BH58" s="717"/>
      <c r="BI58" s="66"/>
      <c r="BJ58" s="645"/>
      <c r="BK58" s="722"/>
      <c r="BL58" s="405"/>
      <c r="BM58" s="92"/>
      <c r="BO58" s="92"/>
      <c r="BQ58" s="405"/>
      <c r="BR58" s="722"/>
      <c r="BS58" s="682"/>
      <c r="BT58" s="717"/>
      <c r="BU58" s="66"/>
      <c r="BV58" s="645" t="s">
        <v>374</v>
      </c>
      <c r="BW58" s="722" t="s">
        <v>782</v>
      </c>
      <c r="BX58" s="405" t="s">
        <v>377</v>
      </c>
      <c r="BY58" s="92"/>
      <c r="CA58" s="92"/>
      <c r="CC58" s="405" t="s">
        <v>400</v>
      </c>
      <c r="CD58" s="722" t="s">
        <v>419</v>
      </c>
      <c r="CE58" s="682" t="s">
        <v>315</v>
      </c>
      <c r="CF58" s="717"/>
      <c r="CG58" s="66"/>
      <c r="CH58" s="645"/>
      <c r="CI58" s="722"/>
      <c r="CJ58" s="405"/>
      <c r="CK58" s="92"/>
      <c r="CM58" s="92"/>
      <c r="CO58" s="405"/>
      <c r="CP58" s="722"/>
      <c r="CQ58" s="682"/>
      <c r="CR58" s="717"/>
      <c r="CS58" s="66"/>
      <c r="CT58" s="645" t="s">
        <v>324</v>
      </c>
      <c r="CU58" s="722" t="s">
        <v>390</v>
      </c>
      <c r="CV58" s="405" t="s">
        <v>384</v>
      </c>
      <c r="CW58" s="92"/>
      <c r="CY58" s="92"/>
      <c r="DA58" s="405" t="s">
        <v>391</v>
      </c>
      <c r="DB58" s="722" t="s">
        <v>627</v>
      </c>
      <c r="DC58" s="682" t="s">
        <v>324</v>
      </c>
      <c r="DD58" s="717"/>
      <c r="DE58" s="66"/>
      <c r="DF58" s="645" t="s">
        <v>317</v>
      </c>
      <c r="DG58" s="722" t="s">
        <v>773</v>
      </c>
      <c r="DH58" s="405" t="s">
        <v>747</v>
      </c>
      <c r="DI58" s="92"/>
      <c r="DL58" s="55"/>
      <c r="DM58" s="405" t="s">
        <v>325</v>
      </c>
      <c r="DN58" s="722" t="s">
        <v>476</v>
      </c>
      <c r="DO58" s="682" t="s">
        <v>342</v>
      </c>
      <c r="DP58" s="717"/>
      <c r="DQ58" s="66"/>
      <c r="DR58" s="645" t="s">
        <v>387</v>
      </c>
      <c r="DS58" s="722" t="s">
        <v>473</v>
      </c>
      <c r="DT58" s="405" t="s">
        <v>322</v>
      </c>
      <c r="DU58" s="92"/>
      <c r="DX58" s="55"/>
      <c r="DY58" s="405" t="s">
        <v>375</v>
      </c>
      <c r="DZ58" s="722" t="s">
        <v>463</v>
      </c>
      <c r="EA58" s="682" t="s">
        <v>369</v>
      </c>
      <c r="EB58" s="717"/>
      <c r="EC58" s="66"/>
      <c r="ED58" s="645"/>
      <c r="EE58" s="722"/>
      <c r="EF58" s="405"/>
      <c r="EG58" s="92"/>
      <c r="EJ58" s="55"/>
      <c r="EK58" s="405"/>
      <c r="EL58" s="722"/>
      <c r="EM58" s="682"/>
      <c r="EN58" s="717"/>
      <c r="EO58" s="66"/>
      <c r="EP58" s="645"/>
      <c r="EQ58" s="722"/>
      <c r="ER58" s="405"/>
      <c r="ES58" s="92"/>
      <c r="EV58" s="55"/>
      <c r="EW58" s="405"/>
      <c r="EX58" s="606"/>
      <c r="EY58" s="682"/>
      <c r="EZ58" s="717"/>
      <c r="FA58" s="66"/>
      <c r="FB58" s="645" t="s">
        <v>327</v>
      </c>
      <c r="FC58" s="722" t="s">
        <v>431</v>
      </c>
      <c r="FD58" s="405" t="s">
        <v>377</v>
      </c>
      <c r="FE58" s="92"/>
      <c r="FH58" s="55"/>
      <c r="FI58" s="405" t="s">
        <v>446</v>
      </c>
      <c r="FJ58" s="722" t="s">
        <v>777</v>
      </c>
      <c r="FK58" s="682" t="s">
        <v>324</v>
      </c>
      <c r="FL58" s="717"/>
      <c r="FM58" s="66"/>
      <c r="FN58" s="645" t="s">
        <v>315</v>
      </c>
      <c r="FO58" s="782" t="s">
        <v>370</v>
      </c>
      <c r="FP58" s="405" t="s">
        <v>418</v>
      </c>
      <c r="FQ58" s="92"/>
      <c r="FT58" s="55"/>
      <c r="FU58" s="405" t="s">
        <v>373</v>
      </c>
      <c r="FV58" s="722" t="s">
        <v>427</v>
      </c>
      <c r="FW58" s="682" t="s">
        <v>327</v>
      </c>
      <c r="FX58" s="717"/>
    </row>
    <row r="59">
      <c r="A59" s="640">
        <v>2.0</v>
      </c>
      <c r="B59" s="740">
        <v>45.0</v>
      </c>
      <c r="C59" s="741" t="str">
        <f>'Schedule | 2 Division'!K29</f>
        <v>Suplex team</v>
      </c>
      <c r="D59" s="753">
        <f t="shared" ref="D59:E59" si="86">ET21</f>
        <v>0</v>
      </c>
      <c r="E59" s="753">
        <f t="shared" si="86"/>
        <v>2</v>
      </c>
      <c r="F59" s="741" t="str">
        <f>'Schedule | 2 Division'!O29</f>
        <v>HARD GRIND</v>
      </c>
      <c r="G59" s="740" t="str">
        <f t="shared" si="12"/>
        <v>HARD GRIND</v>
      </c>
      <c r="H59" s="685" t="str">
        <f t="shared" si="13"/>
        <v/>
      </c>
      <c r="I59" s="688" t="str">
        <f t="shared" si="14"/>
        <v/>
      </c>
      <c r="J59" s="751" t="str">
        <f t="shared" si="15"/>
        <v>Suplex team</v>
      </c>
      <c r="K59" s="733"/>
      <c r="L59" s="717"/>
      <c r="M59" s="66"/>
      <c r="N59" s="645"/>
      <c r="O59" s="722"/>
      <c r="P59" s="405"/>
      <c r="Q59" s="92"/>
      <c r="S59" s="92"/>
      <c r="U59" s="405"/>
      <c r="V59" s="722"/>
      <c r="W59" s="682"/>
      <c r="X59" s="717"/>
      <c r="Y59" s="66"/>
      <c r="Z59" s="645"/>
      <c r="AA59" s="722"/>
      <c r="AB59" s="405"/>
      <c r="AC59" s="92"/>
      <c r="AE59" s="92"/>
      <c r="AG59" s="405"/>
      <c r="AH59" s="722"/>
      <c r="AI59" s="682"/>
      <c r="AJ59" s="717"/>
      <c r="AK59" s="66"/>
      <c r="AL59" s="645"/>
      <c r="AM59" s="722"/>
      <c r="AN59" s="405"/>
      <c r="AO59" s="92"/>
      <c r="AQ59" s="92"/>
      <c r="AS59" s="405"/>
      <c r="AT59" s="722"/>
      <c r="AU59" s="682"/>
      <c r="AV59" s="717"/>
      <c r="AW59" s="66"/>
      <c r="AX59" s="645" t="s">
        <v>369</v>
      </c>
      <c r="AY59" s="722" t="s">
        <v>627</v>
      </c>
      <c r="AZ59" s="405" t="s">
        <v>391</v>
      </c>
      <c r="BA59" s="92"/>
      <c r="BC59" s="92"/>
      <c r="BE59" s="405" t="s">
        <v>389</v>
      </c>
      <c r="BF59" s="722" t="s">
        <v>370</v>
      </c>
      <c r="BG59" s="682" t="s">
        <v>374</v>
      </c>
      <c r="BH59" s="717"/>
      <c r="BI59" s="66"/>
      <c r="BJ59" s="645"/>
      <c r="BK59" s="722"/>
      <c r="BL59" s="405"/>
      <c r="BM59" s="92"/>
      <c r="BO59" s="92"/>
      <c r="BQ59" s="405"/>
      <c r="BR59" s="722"/>
      <c r="BS59" s="682"/>
      <c r="BT59" s="717"/>
      <c r="BU59" s="66"/>
      <c r="BV59" s="645" t="s">
        <v>470</v>
      </c>
      <c r="BW59" s="722" t="s">
        <v>459</v>
      </c>
      <c r="BX59" s="405" t="s">
        <v>391</v>
      </c>
      <c r="BY59" s="92"/>
      <c r="CA59" s="92"/>
      <c r="CC59" s="405" t="s">
        <v>348</v>
      </c>
      <c r="CD59" s="722" t="s">
        <v>627</v>
      </c>
      <c r="CE59" s="682" t="s">
        <v>322</v>
      </c>
      <c r="CF59" s="717"/>
      <c r="CG59" s="66"/>
      <c r="CH59" s="645"/>
      <c r="CI59" s="722"/>
      <c r="CJ59" s="405"/>
      <c r="CK59" s="92"/>
      <c r="CM59" s="92"/>
      <c r="CO59" s="405"/>
      <c r="CP59" s="722"/>
      <c r="CQ59" s="682"/>
      <c r="CR59" s="717"/>
      <c r="CS59" s="66"/>
      <c r="CT59" s="645" t="s">
        <v>376</v>
      </c>
      <c r="CU59" s="722" t="s">
        <v>372</v>
      </c>
      <c r="CV59" s="405" t="s">
        <v>352</v>
      </c>
      <c r="CW59" s="92"/>
      <c r="CY59" s="92"/>
      <c r="DA59" s="405" t="s">
        <v>375</v>
      </c>
      <c r="DB59" s="722" t="s">
        <v>428</v>
      </c>
      <c r="DC59" s="682" t="s">
        <v>376</v>
      </c>
      <c r="DD59" s="717"/>
      <c r="DE59" s="66"/>
      <c r="DF59" s="645" t="s">
        <v>375</v>
      </c>
      <c r="DG59" s="722" t="s">
        <v>345</v>
      </c>
      <c r="DH59" s="405" t="s">
        <v>362</v>
      </c>
      <c r="DI59" s="92"/>
      <c r="DL59" s="55"/>
      <c r="DM59" s="405" t="s">
        <v>483</v>
      </c>
      <c r="DN59" s="722" t="s">
        <v>771</v>
      </c>
      <c r="DO59" s="682" t="s">
        <v>387</v>
      </c>
      <c r="DP59" s="717"/>
      <c r="DQ59" s="66"/>
      <c r="DR59" s="645" t="s">
        <v>439</v>
      </c>
      <c r="DS59" s="722" t="s">
        <v>479</v>
      </c>
      <c r="DT59" s="405" t="s">
        <v>483</v>
      </c>
      <c r="DU59" s="92"/>
      <c r="DX59" s="55"/>
      <c r="DY59" s="405" t="s">
        <v>361</v>
      </c>
      <c r="DZ59" s="722" t="s">
        <v>457</v>
      </c>
      <c r="EA59" s="682" t="s">
        <v>315</v>
      </c>
      <c r="EB59" s="717"/>
      <c r="EC59" s="66"/>
      <c r="ED59" s="645"/>
      <c r="EE59" s="722"/>
      <c r="EF59" s="405"/>
      <c r="EG59" s="92"/>
      <c r="EJ59" s="55"/>
      <c r="EK59" s="405"/>
      <c r="EL59" s="722"/>
      <c r="EM59" s="682"/>
      <c r="EN59" s="717"/>
      <c r="EO59" s="66"/>
      <c r="EP59" s="645"/>
      <c r="EQ59" s="722"/>
      <c r="ER59" s="405"/>
      <c r="ES59" s="92"/>
      <c r="EV59" s="55"/>
      <c r="EW59" s="405"/>
      <c r="EX59" s="606"/>
      <c r="EY59" s="682"/>
      <c r="EZ59" s="717"/>
      <c r="FA59" s="66"/>
      <c r="FB59" s="645" t="s">
        <v>376</v>
      </c>
      <c r="FC59" s="722" t="s">
        <v>481</v>
      </c>
      <c r="FD59" s="405" t="s">
        <v>352</v>
      </c>
      <c r="FE59" s="92"/>
      <c r="FH59" s="55"/>
      <c r="FI59" s="405" t="s">
        <v>362</v>
      </c>
      <c r="FJ59" s="722" t="s">
        <v>427</v>
      </c>
      <c r="FK59" s="682" t="s">
        <v>368</v>
      </c>
      <c r="FL59" s="717"/>
      <c r="FM59" s="66"/>
      <c r="FN59" s="645" t="s">
        <v>439</v>
      </c>
      <c r="FO59" s="782" t="s">
        <v>786</v>
      </c>
      <c r="FP59" s="405" t="s">
        <v>343</v>
      </c>
      <c r="FQ59" s="92"/>
      <c r="FT59" s="55"/>
      <c r="FU59" s="405" t="s">
        <v>376</v>
      </c>
      <c r="FV59" s="722" t="s">
        <v>417</v>
      </c>
      <c r="FW59" s="682" t="s">
        <v>361</v>
      </c>
      <c r="FX59" s="717"/>
    </row>
    <row r="60">
      <c r="A60" s="640">
        <v>2.0</v>
      </c>
      <c r="B60" s="740">
        <v>46.0</v>
      </c>
      <c r="C60" s="741" t="str">
        <f>'Schedule | 2 Division'!K30</f>
        <v>Omnix</v>
      </c>
      <c r="D60" s="753">
        <f t="shared" ref="D60:E60" si="87">ET41</f>
        <v>2</v>
      </c>
      <c r="E60" s="753">
        <f t="shared" si="87"/>
        <v>0</v>
      </c>
      <c r="F60" s="741" t="str">
        <f>'Schedule | 2 Division'!O30</f>
        <v>The Soulless Team</v>
      </c>
      <c r="G60" s="740" t="str">
        <f t="shared" si="12"/>
        <v>Omnix</v>
      </c>
      <c r="H60" s="685" t="str">
        <f t="shared" si="13"/>
        <v/>
      </c>
      <c r="I60" s="688" t="str">
        <f t="shared" si="14"/>
        <v/>
      </c>
      <c r="J60" s="751" t="str">
        <f t="shared" si="15"/>
        <v>The Soulless Team</v>
      </c>
      <c r="K60" s="733"/>
      <c r="L60" s="717"/>
      <c r="M60" s="94"/>
      <c r="N60" s="672"/>
      <c r="O60" s="763"/>
      <c r="P60" s="764"/>
      <c r="Q60" s="93"/>
      <c r="S60" s="92"/>
      <c r="T60" s="22"/>
      <c r="U60" s="764"/>
      <c r="V60" s="763"/>
      <c r="W60" s="683"/>
      <c r="X60" s="717"/>
      <c r="Y60" s="94"/>
      <c r="Z60" s="672"/>
      <c r="AA60" s="763"/>
      <c r="AB60" s="764"/>
      <c r="AC60" s="93"/>
      <c r="AE60" s="92"/>
      <c r="AF60" s="22"/>
      <c r="AG60" s="764"/>
      <c r="AH60" s="763"/>
      <c r="AI60" s="683"/>
      <c r="AJ60" s="717"/>
      <c r="AK60" s="94"/>
      <c r="AL60" s="672"/>
      <c r="AM60" s="763"/>
      <c r="AN60" s="764"/>
      <c r="AO60" s="93"/>
      <c r="AQ60" s="92"/>
      <c r="AR60" s="22"/>
      <c r="AS60" s="764"/>
      <c r="AT60" s="763"/>
      <c r="AU60" s="683"/>
      <c r="AV60" s="717"/>
      <c r="AW60" s="94"/>
      <c r="AX60" s="672" t="s">
        <v>376</v>
      </c>
      <c r="AY60" s="763" t="s">
        <v>785</v>
      </c>
      <c r="AZ60" s="764" t="s">
        <v>379</v>
      </c>
      <c r="BA60" s="93"/>
      <c r="BC60" s="92"/>
      <c r="BD60" s="22"/>
      <c r="BE60" s="764" t="s">
        <v>741</v>
      </c>
      <c r="BF60" s="763" t="s">
        <v>316</v>
      </c>
      <c r="BG60" s="683" t="s">
        <v>439</v>
      </c>
      <c r="BH60" s="717"/>
      <c r="BI60" s="94"/>
      <c r="BJ60" s="672"/>
      <c r="BK60" s="763"/>
      <c r="BL60" s="764"/>
      <c r="BM60" s="93"/>
      <c r="BO60" s="92"/>
      <c r="BP60" s="22"/>
      <c r="BQ60" s="764"/>
      <c r="BR60" s="763"/>
      <c r="BS60" s="683"/>
      <c r="BT60" s="717"/>
      <c r="BU60" s="94"/>
      <c r="BV60" s="672" t="s">
        <v>359</v>
      </c>
      <c r="BW60" s="763" t="s">
        <v>457</v>
      </c>
      <c r="BX60" s="764" t="s">
        <v>389</v>
      </c>
      <c r="BY60" s="93"/>
      <c r="CA60" s="92"/>
      <c r="CB60" s="22"/>
      <c r="CC60" s="764" t="s">
        <v>352</v>
      </c>
      <c r="CD60" s="763" t="s">
        <v>785</v>
      </c>
      <c r="CE60" s="683" t="s">
        <v>369</v>
      </c>
      <c r="CF60" s="717"/>
      <c r="CG60" s="94"/>
      <c r="CH60" s="672"/>
      <c r="CI60" s="763"/>
      <c r="CJ60" s="764"/>
      <c r="CK60" s="93"/>
      <c r="CM60" s="92"/>
      <c r="CN60" s="22"/>
      <c r="CO60" s="764"/>
      <c r="CP60" s="763"/>
      <c r="CQ60" s="683"/>
      <c r="CR60" s="717"/>
      <c r="CS60" s="94"/>
      <c r="CT60" s="672" t="s">
        <v>389</v>
      </c>
      <c r="CU60" s="763" t="s">
        <v>779</v>
      </c>
      <c r="CV60" s="764" t="s">
        <v>399</v>
      </c>
      <c r="CW60" s="93"/>
      <c r="CY60" s="92"/>
      <c r="CZ60" s="22"/>
      <c r="DA60" s="764" t="s">
        <v>337</v>
      </c>
      <c r="DB60" s="763" t="s">
        <v>785</v>
      </c>
      <c r="DC60" s="683" t="s">
        <v>389</v>
      </c>
      <c r="DD60" s="717"/>
      <c r="DE60" s="94"/>
      <c r="DF60" s="672" t="s">
        <v>377</v>
      </c>
      <c r="DG60" s="763" t="s">
        <v>372</v>
      </c>
      <c r="DH60" s="764" t="s">
        <v>352</v>
      </c>
      <c r="DI60" s="93"/>
      <c r="DJ60" s="22"/>
      <c r="DK60" s="22"/>
      <c r="DL60" s="61"/>
      <c r="DM60" s="764" t="s">
        <v>341</v>
      </c>
      <c r="DN60" s="763" t="s">
        <v>474</v>
      </c>
      <c r="DO60" s="683" t="s">
        <v>337</v>
      </c>
      <c r="DP60" s="717"/>
      <c r="DQ60" s="94"/>
      <c r="DR60" s="672" t="s">
        <v>414</v>
      </c>
      <c r="DS60" s="722" t="s">
        <v>477</v>
      </c>
      <c r="DT60" s="764" t="s">
        <v>374</v>
      </c>
      <c r="DU60" s="93"/>
      <c r="DV60" s="22"/>
      <c r="DW60" s="22"/>
      <c r="DX60" s="61"/>
      <c r="DY60" s="764" t="s">
        <v>352</v>
      </c>
      <c r="DZ60" s="723" t="s">
        <v>774</v>
      </c>
      <c r="EA60" s="683" t="s">
        <v>373</v>
      </c>
      <c r="EB60" s="717"/>
      <c r="EC60" s="94"/>
      <c r="ED60" s="672"/>
      <c r="EE60" s="763"/>
      <c r="EF60" s="764"/>
      <c r="EG60" s="93"/>
      <c r="EH60" s="22"/>
      <c r="EI60" s="22"/>
      <c r="EJ60" s="61"/>
      <c r="EK60" s="764"/>
      <c r="EL60" s="763"/>
      <c r="EM60" s="683"/>
      <c r="EN60" s="717"/>
      <c r="EO60" s="94"/>
      <c r="EP60" s="672"/>
      <c r="EQ60" s="763"/>
      <c r="ER60" s="764"/>
      <c r="ES60" s="93"/>
      <c r="ET60" s="22"/>
      <c r="EU60" s="22"/>
      <c r="EV60" s="61"/>
      <c r="EW60" s="764"/>
      <c r="EX60" s="766"/>
      <c r="EY60" s="683"/>
      <c r="EZ60" s="717"/>
      <c r="FA60" s="94"/>
      <c r="FB60" s="672" t="s">
        <v>382</v>
      </c>
      <c r="FC60" s="723" t="s">
        <v>474</v>
      </c>
      <c r="FD60" s="764" t="s">
        <v>354</v>
      </c>
      <c r="FE60" s="93"/>
      <c r="FF60" s="22"/>
      <c r="FG60" s="22"/>
      <c r="FH60" s="61"/>
      <c r="FI60" s="764" t="s">
        <v>19</v>
      </c>
      <c r="FJ60" s="723" t="s">
        <v>417</v>
      </c>
      <c r="FK60" s="683" t="s">
        <v>346</v>
      </c>
      <c r="FL60" s="717"/>
      <c r="FM60" s="94"/>
      <c r="FN60" s="672" t="s">
        <v>337</v>
      </c>
      <c r="FO60" s="792" t="s">
        <v>316</v>
      </c>
      <c r="FP60" s="764" t="s">
        <v>328</v>
      </c>
      <c r="FQ60" s="93"/>
      <c r="FR60" s="22"/>
      <c r="FS60" s="22"/>
      <c r="FT60" s="61"/>
      <c r="FU60" s="764" t="s">
        <v>346</v>
      </c>
      <c r="FV60" s="723" t="s">
        <v>781</v>
      </c>
      <c r="FW60" s="683" t="s">
        <v>322</v>
      </c>
      <c r="FX60" s="717"/>
    </row>
    <row r="61">
      <c r="A61" s="640">
        <v>2.0</v>
      </c>
      <c r="B61" s="740">
        <v>47.0</v>
      </c>
      <c r="C61" s="741" t="str">
        <f>'Schedule | 2 Division'!K31</f>
        <v>Dark Phoenix</v>
      </c>
      <c r="D61" s="753">
        <f t="shared" ref="D61:E61" si="88">ET61</f>
        <v>2</v>
      </c>
      <c r="E61" s="753">
        <f t="shared" si="88"/>
        <v>0</v>
      </c>
      <c r="F61" s="741" t="str">
        <f>'Schedule | 2 Division'!O31</f>
        <v>TSA White</v>
      </c>
      <c r="G61" s="740" t="str">
        <f t="shared" si="12"/>
        <v>Dark Phoenix</v>
      </c>
      <c r="H61" s="685" t="str">
        <f t="shared" si="13"/>
        <v/>
      </c>
      <c r="I61" s="688" t="str">
        <f t="shared" si="14"/>
        <v/>
      </c>
      <c r="J61" s="751" t="str">
        <f t="shared" si="15"/>
        <v>TSA White</v>
      </c>
      <c r="K61" s="733"/>
      <c r="L61" s="717"/>
      <c r="M61" s="767"/>
      <c r="N61" s="767"/>
      <c r="O61" s="767"/>
      <c r="P61" s="767"/>
      <c r="Q61" s="732"/>
      <c r="R61" s="768">
        <f t="shared" ref="R61:S61" si="89">COUNTIF(R46:R60, "W")</f>
        <v>0</v>
      </c>
      <c r="S61" s="769">
        <f t="shared" si="89"/>
        <v>2</v>
      </c>
      <c r="T61" s="732"/>
      <c r="U61" s="767"/>
      <c r="V61" s="767"/>
      <c r="W61" s="767"/>
      <c r="X61" s="717"/>
      <c r="Y61" s="767"/>
      <c r="Z61" s="767"/>
      <c r="AA61" s="767"/>
      <c r="AB61" s="767"/>
      <c r="AC61" s="732"/>
      <c r="AD61" s="768">
        <f t="shared" ref="AD61:AE61" si="90">COUNTIF(AD46:AD60, "W")</f>
        <v>2</v>
      </c>
      <c r="AE61" s="769">
        <f t="shared" si="90"/>
        <v>0</v>
      </c>
      <c r="AF61" s="732"/>
      <c r="AG61" s="767"/>
      <c r="AH61" s="767"/>
      <c r="AI61" s="767"/>
      <c r="AJ61" s="717"/>
      <c r="AK61" s="767"/>
      <c r="AL61" s="767"/>
      <c r="AM61" s="767"/>
      <c r="AN61" s="767"/>
      <c r="AO61" s="732"/>
      <c r="AP61" s="768">
        <f t="shared" ref="AP61:AQ61" si="91">COUNTIF(AP46:AP60, "W")</f>
        <v>0</v>
      </c>
      <c r="AQ61" s="769">
        <f t="shared" si="91"/>
        <v>2</v>
      </c>
      <c r="AR61" s="732"/>
      <c r="AS61" s="767"/>
      <c r="AT61" s="767"/>
      <c r="AU61" s="767"/>
      <c r="AV61" s="717"/>
      <c r="AW61" s="767"/>
      <c r="AX61" s="767"/>
      <c r="AY61" s="767"/>
      <c r="AZ61" s="767"/>
      <c r="BA61" s="732"/>
      <c r="BB61" s="768">
        <f t="shared" ref="BB61:BC61" si="92">COUNTIF(BB46:BB60, "W")</f>
        <v>2</v>
      </c>
      <c r="BC61" s="769">
        <f t="shared" si="92"/>
        <v>1</v>
      </c>
      <c r="BD61" s="732"/>
      <c r="BE61" s="767"/>
      <c r="BF61" s="767"/>
      <c r="BG61" s="767"/>
      <c r="BH61" s="717"/>
      <c r="BI61" s="767"/>
      <c r="BJ61" s="767"/>
      <c r="BK61" s="767"/>
      <c r="BL61" s="767"/>
      <c r="BM61" s="732"/>
      <c r="BN61" s="768">
        <f t="shared" ref="BN61:BO61" si="93">COUNTIF(BN46:BN60, "W")</f>
        <v>2</v>
      </c>
      <c r="BO61" s="769">
        <f t="shared" si="93"/>
        <v>0</v>
      </c>
      <c r="BP61" s="732"/>
      <c r="BQ61" s="767"/>
      <c r="BR61" s="767"/>
      <c r="BS61" s="767"/>
      <c r="BT61" s="717"/>
      <c r="BU61" s="767"/>
      <c r="BV61" s="767"/>
      <c r="BW61" s="767"/>
      <c r="BX61" s="767"/>
      <c r="BY61" s="732"/>
      <c r="BZ61" s="768">
        <f t="shared" ref="BZ61:CA61" si="94">COUNTIF(BZ46:BZ60, "W")</f>
        <v>2</v>
      </c>
      <c r="CA61" s="769">
        <f t="shared" si="94"/>
        <v>1</v>
      </c>
      <c r="CB61" s="732"/>
      <c r="CC61" s="767"/>
      <c r="CD61" s="767"/>
      <c r="CE61" s="767"/>
      <c r="CF61" s="717"/>
      <c r="CG61" s="767"/>
      <c r="CH61" s="767"/>
      <c r="CI61" s="767"/>
      <c r="CJ61" s="767"/>
      <c r="CK61" s="732"/>
      <c r="CL61" s="768">
        <f t="shared" ref="CL61:CM61" si="95">COUNTIF(CL46:CL60, "W")</f>
        <v>2</v>
      </c>
      <c r="CM61" s="769">
        <f t="shared" si="95"/>
        <v>0</v>
      </c>
      <c r="CN61" s="732"/>
      <c r="CO61" s="767"/>
      <c r="CP61" s="767"/>
      <c r="CQ61" s="767"/>
      <c r="CR61" s="717"/>
      <c r="CS61" s="767"/>
      <c r="CT61" s="767"/>
      <c r="CU61" s="767"/>
      <c r="CV61" s="767"/>
      <c r="CW61" s="732"/>
      <c r="CX61" s="768">
        <f t="shared" ref="CX61:CY61" si="96">COUNTIF(CX46:CX60, "W")</f>
        <v>1</v>
      </c>
      <c r="CY61" s="769">
        <f t="shared" si="96"/>
        <v>2</v>
      </c>
      <c r="CZ61" s="732"/>
      <c r="DA61" s="767"/>
      <c r="DB61" s="767"/>
      <c r="DC61" s="767"/>
      <c r="DD61" s="717"/>
      <c r="DE61" s="767"/>
      <c r="DF61" s="767"/>
      <c r="DG61" s="767"/>
      <c r="DH61" s="767"/>
      <c r="DI61" s="732"/>
      <c r="DJ61" s="768">
        <f t="shared" ref="DJ61:DK61" si="97">COUNTIF(DJ46:DJ60, "W")</f>
        <v>1</v>
      </c>
      <c r="DK61" s="769">
        <f t="shared" si="97"/>
        <v>2</v>
      </c>
      <c r="DL61" s="732"/>
      <c r="DM61" s="767"/>
      <c r="DN61" s="767"/>
      <c r="DO61" s="767"/>
      <c r="DP61" s="717"/>
      <c r="DQ61" s="767"/>
      <c r="DR61" s="767"/>
      <c r="DS61" s="767"/>
      <c r="DT61" s="767"/>
      <c r="DU61" s="732"/>
      <c r="DV61" s="768">
        <f t="shared" ref="DV61:DW61" si="98">COUNTIF(DV46:DV60, "W")</f>
        <v>2</v>
      </c>
      <c r="DW61" s="769">
        <f t="shared" si="98"/>
        <v>1</v>
      </c>
      <c r="DX61" s="732"/>
      <c r="DY61" s="767"/>
      <c r="DZ61" s="767"/>
      <c r="EA61" s="767"/>
      <c r="EB61" s="717"/>
      <c r="EC61" s="767"/>
      <c r="ED61" s="767"/>
      <c r="EE61" s="767"/>
      <c r="EF61" s="767"/>
      <c r="EG61" s="732"/>
      <c r="EH61" s="768">
        <f t="shared" ref="EH61:EI61" si="99">COUNTIF(EH46:EH60, "W")</f>
        <v>2</v>
      </c>
      <c r="EI61" s="769">
        <f t="shared" si="99"/>
        <v>0</v>
      </c>
      <c r="EJ61" s="732"/>
      <c r="EK61" s="767"/>
      <c r="EL61" s="767"/>
      <c r="EM61" s="767"/>
      <c r="EN61" s="717"/>
      <c r="EO61" s="767"/>
      <c r="EP61" s="767"/>
      <c r="EQ61" s="767"/>
      <c r="ER61" s="767"/>
      <c r="ES61" s="732"/>
      <c r="ET61" s="768">
        <f t="shared" ref="ET61:EU61" si="100">COUNTIF(ET46:ET60, "W")</f>
        <v>2</v>
      </c>
      <c r="EU61" s="769">
        <f t="shared" si="100"/>
        <v>0</v>
      </c>
      <c r="EV61" s="732"/>
      <c r="EW61" s="767"/>
      <c r="EX61" s="767"/>
      <c r="EY61" s="767"/>
      <c r="EZ61" s="717"/>
      <c r="FA61" s="767"/>
      <c r="FB61" s="767"/>
      <c r="FC61" s="767"/>
      <c r="FD61" s="767"/>
      <c r="FE61" s="732"/>
      <c r="FF61" s="768">
        <f t="shared" ref="FF61:FG61" si="101">COUNTIF(FF46:FF60, "W")</f>
        <v>2</v>
      </c>
      <c r="FG61" s="769">
        <f t="shared" si="101"/>
        <v>1</v>
      </c>
      <c r="FH61" s="732"/>
      <c r="FI61" s="767"/>
      <c r="FJ61" s="767"/>
      <c r="FK61" s="767"/>
      <c r="FL61" s="717"/>
      <c r="FM61" s="767"/>
      <c r="FN61" s="767"/>
      <c r="FO61" s="767"/>
      <c r="FP61" s="767"/>
      <c r="FQ61" s="732"/>
      <c r="FR61" s="768">
        <f t="shared" ref="FR61:FS61" si="102">COUNTIF(FR46:FR60, "W")</f>
        <v>1</v>
      </c>
      <c r="FS61" s="769">
        <f t="shared" si="102"/>
        <v>2</v>
      </c>
      <c r="FT61" s="732"/>
      <c r="FU61" s="767"/>
      <c r="FV61" s="767"/>
      <c r="FW61" s="767"/>
      <c r="FX61" s="717"/>
    </row>
    <row r="62">
      <c r="A62" s="754">
        <v>2.0</v>
      </c>
      <c r="B62" s="755">
        <v>48.0</v>
      </c>
      <c r="C62" s="756" t="str">
        <f>'Schedule | 2 Division'!K32</f>
        <v>INVISION</v>
      </c>
      <c r="D62" s="757">
        <f t="shared" ref="D62:E62" si="103">ET81</f>
        <v>1</v>
      </c>
      <c r="E62" s="757">
        <f t="shared" si="103"/>
        <v>2</v>
      </c>
      <c r="F62" s="756" t="str">
        <f>'Schedule | 2 Division'!O32</f>
        <v>Aterion Esports</v>
      </c>
      <c r="G62" s="755" t="str">
        <f t="shared" si="12"/>
        <v/>
      </c>
      <c r="H62" s="759" t="str">
        <f t="shared" si="13"/>
        <v>Aterion Esports</v>
      </c>
      <c r="I62" s="760" t="str">
        <f t="shared" si="14"/>
        <v>INVISION</v>
      </c>
      <c r="J62" s="771" t="str">
        <f t="shared" si="15"/>
        <v/>
      </c>
      <c r="K62" s="733"/>
      <c r="L62" s="717"/>
      <c r="M62" s="767"/>
      <c r="N62" s="767"/>
      <c r="O62" s="767"/>
      <c r="P62" s="767"/>
      <c r="Q62" s="732"/>
      <c r="R62" s="767"/>
      <c r="S62" s="767"/>
      <c r="T62" s="767"/>
      <c r="U62" s="767"/>
      <c r="V62" s="767"/>
      <c r="W62" s="767"/>
      <c r="X62" s="717"/>
      <c r="Y62" s="767"/>
      <c r="Z62" s="767"/>
      <c r="AA62" s="767"/>
      <c r="AB62" s="767"/>
      <c r="AC62" s="732"/>
      <c r="AD62" s="767"/>
      <c r="AE62" s="767"/>
      <c r="AF62" s="767"/>
      <c r="AG62" s="767"/>
      <c r="AH62" s="767"/>
      <c r="AI62" s="767"/>
      <c r="AJ62" s="717"/>
      <c r="AK62" s="767"/>
      <c r="AL62" s="767"/>
      <c r="AM62" s="767"/>
      <c r="AN62" s="767"/>
      <c r="AO62" s="732"/>
      <c r="AP62" s="767"/>
      <c r="AQ62" s="767"/>
      <c r="AR62" s="767"/>
      <c r="AS62" s="767"/>
      <c r="AT62" s="767"/>
      <c r="AU62" s="767"/>
      <c r="AV62" s="717"/>
      <c r="AW62" s="767"/>
      <c r="AX62" s="767"/>
      <c r="AY62" s="767"/>
      <c r="AZ62" s="767"/>
      <c r="BA62" s="732"/>
      <c r="BB62" s="767"/>
      <c r="BC62" s="767"/>
      <c r="BD62" s="767"/>
      <c r="BE62" s="767"/>
      <c r="BF62" s="767"/>
      <c r="BG62" s="767"/>
      <c r="BH62" s="717"/>
      <c r="BI62" s="767"/>
      <c r="BJ62" s="767"/>
      <c r="BK62" s="767"/>
      <c r="BL62" s="767"/>
      <c r="BM62" s="732"/>
      <c r="BN62" s="767"/>
      <c r="BO62" s="767"/>
      <c r="BP62" s="767"/>
      <c r="BQ62" s="767"/>
      <c r="BR62" s="767"/>
      <c r="BS62" s="767"/>
      <c r="BT62" s="717"/>
      <c r="BU62" s="767"/>
      <c r="BV62" s="767"/>
      <c r="BW62" s="767"/>
      <c r="BX62" s="767"/>
      <c r="BY62" s="732"/>
      <c r="BZ62" s="767"/>
      <c r="CA62" s="767"/>
      <c r="CB62" s="767"/>
      <c r="CC62" s="767"/>
      <c r="CD62" s="767"/>
      <c r="CE62" s="767"/>
      <c r="CF62" s="717"/>
      <c r="CG62" s="767"/>
      <c r="CH62" s="767"/>
      <c r="CI62" s="767"/>
      <c r="CJ62" s="767"/>
      <c r="CK62" s="732"/>
      <c r="CL62" s="767"/>
      <c r="CM62" s="767"/>
      <c r="CN62" s="767"/>
      <c r="CO62" s="767"/>
      <c r="CP62" s="767"/>
      <c r="CQ62" s="767"/>
      <c r="CR62" s="717"/>
      <c r="CS62" s="767"/>
      <c r="CT62" s="767"/>
      <c r="CU62" s="767"/>
      <c r="CV62" s="767"/>
      <c r="CW62" s="732"/>
      <c r="CX62" s="767"/>
      <c r="CY62" s="767"/>
      <c r="CZ62" s="767"/>
      <c r="DA62" s="767"/>
      <c r="DB62" s="767"/>
      <c r="DC62" s="767"/>
      <c r="DD62" s="717"/>
      <c r="DE62" s="767"/>
      <c r="DF62" s="767"/>
      <c r="DG62" s="767"/>
      <c r="DH62" s="767"/>
      <c r="DI62" s="732"/>
      <c r="DJ62" s="767"/>
      <c r="DK62" s="767"/>
      <c r="DL62" s="767"/>
      <c r="DM62" s="767"/>
      <c r="DN62" s="767"/>
      <c r="DO62" s="767"/>
      <c r="DP62" s="717"/>
      <c r="DQ62" s="767"/>
      <c r="DR62" s="767"/>
      <c r="DS62" s="767"/>
      <c r="DT62" s="767"/>
      <c r="DU62" s="732"/>
      <c r="DV62" s="767"/>
      <c r="DW62" s="767"/>
      <c r="DX62" s="767"/>
      <c r="DY62" s="767"/>
      <c r="DZ62" s="767"/>
      <c r="EA62" s="767"/>
      <c r="EB62" s="717"/>
      <c r="EC62" s="767"/>
      <c r="ED62" s="767"/>
      <c r="EE62" s="767"/>
      <c r="EF62" s="767"/>
      <c r="EG62" s="732"/>
      <c r="EH62" s="767"/>
      <c r="EI62" s="767"/>
      <c r="EJ62" s="767"/>
      <c r="EK62" s="767"/>
      <c r="EL62" s="767"/>
      <c r="EM62" s="767"/>
      <c r="EN62" s="717"/>
      <c r="EO62" s="767"/>
      <c r="EP62" s="767"/>
      <c r="EQ62" s="767"/>
      <c r="ER62" s="767"/>
      <c r="ES62" s="732"/>
      <c r="ET62" s="767"/>
      <c r="EU62" s="767"/>
      <c r="EV62" s="767"/>
      <c r="EW62" s="767"/>
      <c r="EX62" s="767"/>
      <c r="EY62" s="767"/>
      <c r="EZ62" s="717"/>
      <c r="FA62" s="767"/>
      <c r="FB62" s="767"/>
      <c r="FC62" s="767"/>
      <c r="FD62" s="767"/>
      <c r="FE62" s="732"/>
      <c r="FF62" s="767"/>
      <c r="FG62" s="767"/>
      <c r="FH62" s="767"/>
      <c r="FI62" s="767"/>
      <c r="FJ62" s="767"/>
      <c r="FK62" s="767"/>
      <c r="FL62" s="717"/>
      <c r="FM62" s="767"/>
      <c r="FN62" s="767"/>
      <c r="FO62" s="767"/>
      <c r="FP62" s="767"/>
      <c r="FQ62" s="732"/>
      <c r="FR62" s="767"/>
      <c r="FS62" s="767"/>
      <c r="FT62" s="767"/>
      <c r="FU62" s="767"/>
      <c r="FV62" s="767"/>
      <c r="FW62" s="767"/>
      <c r="FX62" s="717"/>
    </row>
    <row r="63">
      <c r="A63" s="640">
        <v>2.0</v>
      </c>
      <c r="B63" s="740">
        <v>49.0</v>
      </c>
      <c r="C63" s="741" t="str">
        <f>'Schedule | 2 Division'!K35</f>
        <v>INVISION</v>
      </c>
      <c r="D63" s="753">
        <f t="shared" ref="D63:E63" si="104">FF21</f>
        <v>2</v>
      </c>
      <c r="E63" s="753">
        <f t="shared" si="104"/>
        <v>1</v>
      </c>
      <c r="F63" s="741" t="str">
        <f>'Schedule | 2 Division'!O35</f>
        <v>Suplex team</v>
      </c>
      <c r="G63" s="740" t="str">
        <f t="shared" si="12"/>
        <v/>
      </c>
      <c r="H63" s="685" t="str">
        <f t="shared" si="13"/>
        <v>INVISION</v>
      </c>
      <c r="I63" s="688" t="str">
        <f t="shared" si="14"/>
        <v>Suplex team</v>
      </c>
      <c r="J63" s="751" t="str">
        <f t="shared" si="15"/>
        <v/>
      </c>
      <c r="K63" s="733"/>
      <c r="L63" s="717"/>
      <c r="M63" s="351" t="str">
        <f>'Schedule | 2 Division'!E8</f>
        <v>The Soulless Team</v>
      </c>
      <c r="N63" s="8"/>
      <c r="O63" s="8"/>
      <c r="P63" s="8"/>
      <c r="Q63" s="8"/>
      <c r="R63" s="351" t="str">
        <f>'Schedule | 2 Division'!J8</f>
        <v>Match 4</v>
      </c>
      <c r="S63" s="68"/>
      <c r="T63" s="401" t="str">
        <f>'Schedule | 2 Division'!I8</f>
        <v>TSA White</v>
      </c>
      <c r="U63" s="8"/>
      <c r="V63" s="8"/>
      <c r="W63" s="68"/>
      <c r="X63" s="717"/>
      <c r="Y63" s="351" t="str">
        <f>'Schedule | 2 Division'!E14</f>
        <v>Omnix</v>
      </c>
      <c r="Z63" s="8"/>
      <c r="AA63" s="8"/>
      <c r="AB63" s="8"/>
      <c r="AC63" s="8"/>
      <c r="AD63" s="351" t="str">
        <f>'Schedule | 2 Division'!J14</f>
        <v>Match 8</v>
      </c>
      <c r="AE63" s="68"/>
      <c r="AF63" s="798" t="s">
        <v>754</v>
      </c>
      <c r="AG63" s="8"/>
      <c r="AH63" s="8"/>
      <c r="AI63" s="68"/>
      <c r="AJ63" s="717"/>
      <c r="AK63" s="351" t="str">
        <f>'Schedule | 2 Division'!E20</f>
        <v>INVISION</v>
      </c>
      <c r="AL63" s="8"/>
      <c r="AM63" s="8"/>
      <c r="AN63" s="8"/>
      <c r="AO63" s="8"/>
      <c r="AP63" s="351" t="str">
        <f>'Schedule | 2 Division'!J20</f>
        <v>Match 12</v>
      </c>
      <c r="AQ63" s="68"/>
      <c r="AR63" s="402" t="str">
        <f>'Schedule | 2 Division'!I20</f>
        <v>The Soulless Team</v>
      </c>
      <c r="AS63" s="8"/>
      <c r="AT63" s="8"/>
      <c r="AU63" s="68"/>
      <c r="AV63" s="717"/>
      <c r="AW63" s="351" t="str">
        <f>'Schedule | 2 Division'!E26</f>
        <v>Suplex team</v>
      </c>
      <c r="AX63" s="8"/>
      <c r="AY63" s="8"/>
      <c r="AZ63" s="8"/>
      <c r="BA63" s="8"/>
      <c r="BB63" s="351" t="str">
        <f>'Schedule | 2 Division'!J26</f>
        <v>Match 16</v>
      </c>
      <c r="BC63" s="68"/>
      <c r="BD63" s="402" t="str">
        <f>'Schedule | 2 Division'!I26</f>
        <v>TSA White</v>
      </c>
      <c r="BE63" s="8"/>
      <c r="BF63" s="8"/>
      <c r="BG63" s="68"/>
      <c r="BH63" s="717"/>
      <c r="BI63" s="351" t="str">
        <f>'Schedule | 2 Division'!E32</f>
        <v>The Soulless Team</v>
      </c>
      <c r="BJ63" s="8"/>
      <c r="BK63" s="8"/>
      <c r="BL63" s="8"/>
      <c r="BM63" s="8"/>
      <c r="BN63" s="351" t="str">
        <f>'Schedule | 2 Division'!J32</f>
        <v>Match 20</v>
      </c>
      <c r="BO63" s="68"/>
      <c r="BP63" s="402" t="str">
        <f>'Schedule | 2 Division'!I32</f>
        <v>Aterion Esports</v>
      </c>
      <c r="BQ63" s="8"/>
      <c r="BR63" s="8"/>
      <c r="BS63" s="68"/>
      <c r="BT63" s="717"/>
      <c r="BU63" s="351" t="str">
        <f>'Schedule | 2 Division'!E38</f>
        <v>Aterion Esports</v>
      </c>
      <c r="BV63" s="8"/>
      <c r="BW63" s="8"/>
      <c r="BX63" s="8"/>
      <c r="BY63" s="8"/>
      <c r="BZ63" s="351" t="str">
        <f>'Schedule | 2 Division'!J38</f>
        <v>Match 24</v>
      </c>
      <c r="CA63" s="68"/>
      <c r="CB63" s="402" t="str">
        <f>'Schedule | 2 Division'!I38</f>
        <v>INVISION</v>
      </c>
      <c r="CC63" s="8"/>
      <c r="CD63" s="8"/>
      <c r="CE63" s="68"/>
      <c r="CF63" s="717"/>
      <c r="CG63" s="351" t="str">
        <f>'Schedule | 2 Division'!E44</f>
        <v>INVISION</v>
      </c>
      <c r="CH63" s="8"/>
      <c r="CI63" s="8"/>
      <c r="CJ63" s="8"/>
      <c r="CK63" s="8"/>
      <c r="CL63" s="351" t="str">
        <f>'Schedule | 2 Division'!J44</f>
        <v>Match 28</v>
      </c>
      <c r="CM63" s="68"/>
      <c r="CN63" s="402" t="str">
        <f>'Schedule | 2 Division'!I44</f>
        <v>Dark Phoenix</v>
      </c>
      <c r="CO63" s="8"/>
      <c r="CP63" s="8"/>
      <c r="CQ63" s="68"/>
      <c r="CR63" s="717"/>
      <c r="CS63" s="351" t="str">
        <f>'Schedule | 2 Division'!K8</f>
        <v>TSA White</v>
      </c>
      <c r="CT63" s="8"/>
      <c r="CU63" s="8"/>
      <c r="CV63" s="8"/>
      <c r="CW63" s="8"/>
      <c r="CX63" s="351" t="str">
        <f>'Schedule | 2 Division'!P8</f>
        <v>Match 32</v>
      </c>
      <c r="CY63" s="68"/>
      <c r="CZ63" s="402" t="str">
        <f>'Schedule | 2 Division'!O8</f>
        <v>HARD GRIND</v>
      </c>
      <c r="DA63" s="8"/>
      <c r="DB63" s="8"/>
      <c r="DC63" s="68"/>
      <c r="DD63" s="717"/>
      <c r="DE63" s="351" t="str">
        <f>'Schedule | 2 Division'!K14</f>
        <v>HARD GRIND</v>
      </c>
      <c r="DF63" s="8"/>
      <c r="DG63" s="8"/>
      <c r="DH63" s="8"/>
      <c r="DI63" s="8"/>
      <c r="DJ63" s="351" t="str">
        <f>'Schedule | 2 Division'!P14</f>
        <v>Match 36</v>
      </c>
      <c r="DK63" s="68"/>
      <c r="DL63" s="402" t="str">
        <f>'Schedule | 2 Division'!O14</f>
        <v>Dark Phoenix</v>
      </c>
      <c r="DM63" s="8"/>
      <c r="DN63" s="8"/>
      <c r="DO63" s="68"/>
      <c r="DP63" s="717"/>
      <c r="DQ63" s="351" t="str">
        <f>'Schedule | 2 Division'!K20</f>
        <v>Suplex team</v>
      </c>
      <c r="DR63" s="8"/>
      <c r="DS63" s="8"/>
      <c r="DT63" s="8"/>
      <c r="DU63" s="8"/>
      <c r="DV63" s="351" t="str">
        <f>'Schedule | 2 Division'!P20</f>
        <v>Match 40</v>
      </c>
      <c r="DW63" s="68"/>
      <c r="DX63" s="402" t="str">
        <f>'Schedule | 2 Division'!O20</f>
        <v>The Soulless Team</v>
      </c>
      <c r="DY63" s="8"/>
      <c r="DZ63" s="8"/>
      <c r="EA63" s="68"/>
      <c r="EB63" s="717"/>
      <c r="EC63" s="351" t="str">
        <f>'Schedule | 2 Division'!K26</f>
        <v>Omnix</v>
      </c>
      <c r="ED63" s="8"/>
      <c r="EE63" s="8"/>
      <c r="EF63" s="8"/>
      <c r="EG63" s="8"/>
      <c r="EH63" s="351" t="str">
        <f>'Schedule | 2 Division'!P26</f>
        <v>Match 44</v>
      </c>
      <c r="EI63" s="68"/>
      <c r="EJ63" s="402" t="str">
        <f>'Schedule | 2 Division'!O26</f>
        <v>Aterion Esports</v>
      </c>
      <c r="EK63" s="8"/>
      <c r="EL63" s="8"/>
      <c r="EM63" s="68"/>
      <c r="EN63" s="717"/>
      <c r="EO63" s="351" t="str">
        <f>'Schedule | 2 Division'!K32</f>
        <v>INVISION</v>
      </c>
      <c r="EP63" s="8"/>
      <c r="EQ63" s="8"/>
      <c r="ER63" s="8"/>
      <c r="ES63" s="8"/>
      <c r="ET63" s="351" t="str">
        <f>'Schedule | 2 Division'!P32</f>
        <v>Match 48</v>
      </c>
      <c r="EU63" s="68"/>
      <c r="EV63" s="402" t="str">
        <f>'Schedule | 2 Division'!O32</f>
        <v>Aterion Esports</v>
      </c>
      <c r="EW63" s="8"/>
      <c r="EX63" s="8"/>
      <c r="EY63" s="68"/>
      <c r="EZ63" s="717"/>
      <c r="FA63" s="351" t="str">
        <f>'Schedule | 2 Division'!K38</f>
        <v>Omnix</v>
      </c>
      <c r="FB63" s="8"/>
      <c r="FC63" s="8"/>
      <c r="FD63" s="8"/>
      <c r="FE63" s="8"/>
      <c r="FF63" s="351" t="str">
        <f>'Schedule | 2 Division'!P38</f>
        <v>Match 52</v>
      </c>
      <c r="FG63" s="68"/>
      <c r="FH63" s="402" t="str">
        <f>'Schedule | 2 Division'!O38</f>
        <v>Dark Phoenix</v>
      </c>
      <c r="FI63" s="8"/>
      <c r="FJ63" s="8"/>
      <c r="FK63" s="68"/>
      <c r="FL63" s="717"/>
      <c r="FM63" s="351" t="str">
        <f>'Schedule | 2 Division'!K44</f>
        <v>Aterion Esports</v>
      </c>
      <c r="FN63" s="8"/>
      <c r="FO63" s="8"/>
      <c r="FP63" s="8"/>
      <c r="FQ63" s="8"/>
      <c r="FR63" s="351" t="str">
        <f>'Schedule | 2 Division'!P44</f>
        <v>Match 56</v>
      </c>
      <c r="FS63" s="68"/>
      <c r="FT63" s="402" t="str">
        <f>'Schedule | 2 Division'!O44</f>
        <v>TSA White</v>
      </c>
      <c r="FU63" s="8"/>
      <c r="FV63" s="8"/>
      <c r="FW63" s="68"/>
      <c r="FX63" s="717"/>
    </row>
    <row r="64">
      <c r="A64" s="640">
        <v>2.0</v>
      </c>
      <c r="B64" s="740">
        <v>50.0</v>
      </c>
      <c r="C64" s="741" t="str">
        <f>'Schedule | 2 Division'!K36</f>
        <v>TSA White</v>
      </c>
      <c r="D64" s="753">
        <f t="shared" ref="D64:E64" si="105">FF41</f>
        <v>2</v>
      </c>
      <c r="E64" s="753">
        <f t="shared" si="105"/>
        <v>0</v>
      </c>
      <c r="F64" s="741" t="str">
        <f>'Schedule | 2 Division'!O36</f>
        <v>The Soulless Team</v>
      </c>
      <c r="G64" s="740" t="str">
        <f t="shared" si="12"/>
        <v>TSA White</v>
      </c>
      <c r="H64" s="685" t="str">
        <f t="shared" si="13"/>
        <v/>
      </c>
      <c r="I64" s="688" t="str">
        <f t="shared" si="14"/>
        <v/>
      </c>
      <c r="J64" s="751" t="str">
        <f t="shared" si="15"/>
        <v>The Soulless Team</v>
      </c>
      <c r="K64" s="733"/>
      <c r="L64" s="717"/>
      <c r="M64" s="61"/>
      <c r="N64" s="22"/>
      <c r="O64" s="22"/>
      <c r="P64" s="22"/>
      <c r="Q64" s="22"/>
      <c r="R64" s="61"/>
      <c r="S64" s="93"/>
      <c r="T64" s="22"/>
      <c r="U64" s="22"/>
      <c r="V64" s="22"/>
      <c r="W64" s="93"/>
      <c r="X64" s="717"/>
      <c r="Y64" s="61"/>
      <c r="Z64" s="22"/>
      <c r="AA64" s="22"/>
      <c r="AB64" s="22"/>
      <c r="AC64" s="22"/>
      <c r="AD64" s="61"/>
      <c r="AE64" s="93"/>
      <c r="AF64" s="22"/>
      <c r="AG64" s="22"/>
      <c r="AH64" s="22"/>
      <c r="AI64" s="93"/>
      <c r="AJ64" s="717"/>
      <c r="AK64" s="61"/>
      <c r="AL64" s="22"/>
      <c r="AM64" s="22"/>
      <c r="AN64" s="22"/>
      <c r="AO64" s="22"/>
      <c r="AP64" s="61"/>
      <c r="AQ64" s="93"/>
      <c r="AR64" s="22"/>
      <c r="AS64" s="22"/>
      <c r="AT64" s="22"/>
      <c r="AU64" s="93"/>
      <c r="AV64" s="717"/>
      <c r="AW64" s="61"/>
      <c r="AX64" s="22"/>
      <c r="AY64" s="22"/>
      <c r="AZ64" s="22"/>
      <c r="BA64" s="22"/>
      <c r="BB64" s="61"/>
      <c r="BC64" s="93"/>
      <c r="BD64" s="22"/>
      <c r="BE64" s="22"/>
      <c r="BF64" s="22"/>
      <c r="BG64" s="93"/>
      <c r="BH64" s="717"/>
      <c r="BI64" s="61"/>
      <c r="BJ64" s="22"/>
      <c r="BK64" s="22"/>
      <c r="BL64" s="22"/>
      <c r="BM64" s="22"/>
      <c r="BN64" s="61"/>
      <c r="BO64" s="93"/>
      <c r="BP64" s="22"/>
      <c r="BQ64" s="22"/>
      <c r="BR64" s="22"/>
      <c r="BS64" s="93"/>
      <c r="BT64" s="717"/>
      <c r="BU64" s="61"/>
      <c r="BV64" s="22"/>
      <c r="BW64" s="22"/>
      <c r="BX64" s="22"/>
      <c r="BY64" s="22"/>
      <c r="BZ64" s="61"/>
      <c r="CA64" s="93"/>
      <c r="CB64" s="22"/>
      <c r="CC64" s="22"/>
      <c r="CD64" s="22"/>
      <c r="CE64" s="93"/>
      <c r="CF64" s="717"/>
      <c r="CG64" s="61"/>
      <c r="CH64" s="22"/>
      <c r="CI64" s="22"/>
      <c r="CJ64" s="22"/>
      <c r="CK64" s="22"/>
      <c r="CL64" s="61"/>
      <c r="CM64" s="93"/>
      <c r="CN64" s="22"/>
      <c r="CO64" s="22"/>
      <c r="CP64" s="22"/>
      <c r="CQ64" s="93"/>
      <c r="CR64" s="717"/>
      <c r="CS64" s="61"/>
      <c r="CT64" s="22"/>
      <c r="CU64" s="22"/>
      <c r="CV64" s="22"/>
      <c r="CW64" s="22"/>
      <c r="CX64" s="61"/>
      <c r="CY64" s="93"/>
      <c r="CZ64" s="22"/>
      <c r="DA64" s="22"/>
      <c r="DB64" s="22"/>
      <c r="DC64" s="93"/>
      <c r="DD64" s="717"/>
      <c r="DE64" s="61"/>
      <c r="DF64" s="22"/>
      <c r="DG64" s="22"/>
      <c r="DH64" s="22"/>
      <c r="DI64" s="22"/>
      <c r="DJ64" s="61"/>
      <c r="DK64" s="93"/>
      <c r="DL64" s="22"/>
      <c r="DM64" s="22"/>
      <c r="DN64" s="22"/>
      <c r="DO64" s="93"/>
      <c r="DP64" s="717"/>
      <c r="DQ64" s="61"/>
      <c r="DR64" s="22"/>
      <c r="DS64" s="22"/>
      <c r="DT64" s="22"/>
      <c r="DU64" s="22"/>
      <c r="DV64" s="61"/>
      <c r="DW64" s="93"/>
      <c r="DX64" s="22"/>
      <c r="DY64" s="22"/>
      <c r="DZ64" s="22"/>
      <c r="EA64" s="93"/>
      <c r="EB64" s="717"/>
      <c r="EC64" s="61"/>
      <c r="ED64" s="22"/>
      <c r="EE64" s="22"/>
      <c r="EF64" s="22"/>
      <c r="EG64" s="22"/>
      <c r="EH64" s="61"/>
      <c r="EI64" s="93"/>
      <c r="EJ64" s="22"/>
      <c r="EK64" s="22"/>
      <c r="EL64" s="22"/>
      <c r="EM64" s="93"/>
      <c r="EN64" s="717"/>
      <c r="EO64" s="61"/>
      <c r="EP64" s="22"/>
      <c r="EQ64" s="22"/>
      <c r="ER64" s="22"/>
      <c r="ES64" s="22"/>
      <c r="ET64" s="61"/>
      <c r="EU64" s="93"/>
      <c r="EV64" s="22"/>
      <c r="EW64" s="22"/>
      <c r="EX64" s="22"/>
      <c r="EY64" s="93"/>
      <c r="EZ64" s="717"/>
      <c r="FA64" s="61"/>
      <c r="FB64" s="22"/>
      <c r="FC64" s="22"/>
      <c r="FD64" s="22"/>
      <c r="FE64" s="22"/>
      <c r="FF64" s="61"/>
      <c r="FG64" s="93"/>
      <c r="FH64" s="22"/>
      <c r="FI64" s="22"/>
      <c r="FJ64" s="22"/>
      <c r="FK64" s="93"/>
      <c r="FL64" s="717"/>
      <c r="FM64" s="61"/>
      <c r="FN64" s="22"/>
      <c r="FO64" s="22"/>
      <c r="FP64" s="22"/>
      <c r="FQ64" s="22"/>
      <c r="FR64" s="61"/>
      <c r="FS64" s="93"/>
      <c r="FT64" s="22"/>
      <c r="FU64" s="22"/>
      <c r="FV64" s="22"/>
      <c r="FW64" s="93"/>
      <c r="FX64" s="717"/>
    </row>
    <row r="65">
      <c r="A65" s="640">
        <v>2.0</v>
      </c>
      <c r="B65" s="740">
        <v>51.0</v>
      </c>
      <c r="C65" s="741" t="str">
        <f>'Schedule | 2 Division'!K37</f>
        <v>Aterion Esports</v>
      </c>
      <c r="D65" s="762">
        <f t="shared" ref="D65:E65" si="106">FF61</f>
        <v>2</v>
      </c>
      <c r="E65" s="762">
        <f t="shared" si="106"/>
        <v>1</v>
      </c>
      <c r="F65" s="741" t="str">
        <f>'Schedule | 2 Division'!O37</f>
        <v>HARD GRIND</v>
      </c>
      <c r="G65" s="740" t="str">
        <f t="shared" si="12"/>
        <v/>
      </c>
      <c r="H65" s="685" t="str">
        <f t="shared" si="13"/>
        <v>Aterion Esports</v>
      </c>
      <c r="I65" s="688" t="str">
        <f t="shared" si="14"/>
        <v>HARD GRIND</v>
      </c>
      <c r="J65" s="751" t="str">
        <f t="shared" si="15"/>
        <v/>
      </c>
      <c r="K65" s="733"/>
      <c r="L65" s="717"/>
      <c r="M65" s="356" t="s">
        <v>307</v>
      </c>
      <c r="N65" s="365" t="s">
        <v>308</v>
      </c>
      <c r="O65" s="358" t="s">
        <v>309</v>
      </c>
      <c r="P65" s="363" t="s">
        <v>310</v>
      </c>
      <c r="Q65" s="366" t="s">
        <v>311</v>
      </c>
      <c r="R65" s="360" t="s">
        <v>259</v>
      </c>
      <c r="S65" s="100"/>
      <c r="T65" s="360" t="s">
        <v>311</v>
      </c>
      <c r="U65" s="363" t="s">
        <v>312</v>
      </c>
      <c r="V65" s="358" t="s">
        <v>313</v>
      </c>
      <c r="W65" s="364" t="s">
        <v>314</v>
      </c>
      <c r="X65" s="717"/>
      <c r="Y65" s="356" t="s">
        <v>307</v>
      </c>
      <c r="Z65" s="365" t="s">
        <v>308</v>
      </c>
      <c r="AA65" s="363" t="s">
        <v>309</v>
      </c>
      <c r="AB65" s="363" t="s">
        <v>310</v>
      </c>
      <c r="AC65" s="366" t="s">
        <v>311</v>
      </c>
      <c r="AD65" s="360" t="s">
        <v>259</v>
      </c>
      <c r="AE65" s="100"/>
      <c r="AF65" s="360" t="s">
        <v>311</v>
      </c>
      <c r="AG65" s="363" t="s">
        <v>312</v>
      </c>
      <c r="AH65" s="363" t="s">
        <v>313</v>
      </c>
      <c r="AI65" s="364" t="s">
        <v>314</v>
      </c>
      <c r="AJ65" s="717"/>
      <c r="AK65" s="356" t="s">
        <v>307</v>
      </c>
      <c r="AL65" s="365" t="s">
        <v>308</v>
      </c>
      <c r="AM65" s="363" t="s">
        <v>309</v>
      </c>
      <c r="AN65" s="363" t="s">
        <v>310</v>
      </c>
      <c r="AO65" s="366" t="s">
        <v>311</v>
      </c>
      <c r="AP65" s="360" t="s">
        <v>259</v>
      </c>
      <c r="AQ65" s="100"/>
      <c r="AR65" s="360" t="s">
        <v>311</v>
      </c>
      <c r="AS65" s="363" t="s">
        <v>312</v>
      </c>
      <c r="AT65" s="363" t="s">
        <v>313</v>
      </c>
      <c r="AU65" s="364" t="s">
        <v>314</v>
      </c>
      <c r="AV65" s="717"/>
      <c r="AW65" s="356" t="s">
        <v>307</v>
      </c>
      <c r="AX65" s="365" t="s">
        <v>308</v>
      </c>
      <c r="AY65" s="363" t="s">
        <v>309</v>
      </c>
      <c r="AZ65" s="363" t="s">
        <v>310</v>
      </c>
      <c r="BA65" s="366" t="s">
        <v>311</v>
      </c>
      <c r="BB65" s="360" t="s">
        <v>259</v>
      </c>
      <c r="BC65" s="100"/>
      <c r="BD65" s="360" t="s">
        <v>311</v>
      </c>
      <c r="BE65" s="363" t="s">
        <v>312</v>
      </c>
      <c r="BF65" s="363" t="s">
        <v>313</v>
      </c>
      <c r="BG65" s="364" t="s">
        <v>314</v>
      </c>
      <c r="BH65" s="717"/>
      <c r="BI65" s="356" t="s">
        <v>307</v>
      </c>
      <c r="BJ65" s="365" t="s">
        <v>308</v>
      </c>
      <c r="BK65" s="363" t="s">
        <v>309</v>
      </c>
      <c r="BL65" s="363" t="s">
        <v>310</v>
      </c>
      <c r="BM65" s="366" t="s">
        <v>311</v>
      </c>
      <c r="BN65" s="360" t="s">
        <v>259</v>
      </c>
      <c r="BO65" s="100"/>
      <c r="BP65" s="360" t="s">
        <v>311</v>
      </c>
      <c r="BQ65" s="363" t="s">
        <v>312</v>
      </c>
      <c r="BR65" s="363" t="s">
        <v>313</v>
      </c>
      <c r="BS65" s="364" t="s">
        <v>314</v>
      </c>
      <c r="BT65" s="717"/>
      <c r="BU65" s="356" t="s">
        <v>307</v>
      </c>
      <c r="BV65" s="365" t="s">
        <v>308</v>
      </c>
      <c r="BW65" s="363" t="s">
        <v>309</v>
      </c>
      <c r="BX65" s="363" t="s">
        <v>310</v>
      </c>
      <c r="BY65" s="366" t="s">
        <v>311</v>
      </c>
      <c r="BZ65" s="360" t="s">
        <v>259</v>
      </c>
      <c r="CA65" s="100"/>
      <c r="CB65" s="360" t="s">
        <v>311</v>
      </c>
      <c r="CC65" s="363" t="s">
        <v>312</v>
      </c>
      <c r="CD65" s="363" t="s">
        <v>313</v>
      </c>
      <c r="CE65" s="364" t="s">
        <v>314</v>
      </c>
      <c r="CF65" s="717"/>
      <c r="CG65" s="356" t="s">
        <v>307</v>
      </c>
      <c r="CH65" s="365" t="s">
        <v>308</v>
      </c>
      <c r="CI65" s="363" t="s">
        <v>309</v>
      </c>
      <c r="CJ65" s="363" t="s">
        <v>310</v>
      </c>
      <c r="CK65" s="366" t="s">
        <v>311</v>
      </c>
      <c r="CL65" s="360" t="s">
        <v>259</v>
      </c>
      <c r="CM65" s="100"/>
      <c r="CN65" s="360" t="s">
        <v>311</v>
      </c>
      <c r="CO65" s="363" t="s">
        <v>312</v>
      </c>
      <c r="CP65" s="363" t="s">
        <v>313</v>
      </c>
      <c r="CQ65" s="364" t="s">
        <v>314</v>
      </c>
      <c r="CR65" s="717"/>
      <c r="CS65" s="356" t="s">
        <v>307</v>
      </c>
      <c r="CT65" s="365" t="s">
        <v>308</v>
      </c>
      <c r="CU65" s="363" t="s">
        <v>309</v>
      </c>
      <c r="CV65" s="363" t="s">
        <v>310</v>
      </c>
      <c r="CW65" s="366" t="s">
        <v>311</v>
      </c>
      <c r="CX65" s="360" t="s">
        <v>259</v>
      </c>
      <c r="CY65" s="100"/>
      <c r="CZ65" s="360" t="s">
        <v>311</v>
      </c>
      <c r="DA65" s="363" t="s">
        <v>312</v>
      </c>
      <c r="DB65" s="363" t="s">
        <v>313</v>
      </c>
      <c r="DC65" s="364" t="s">
        <v>314</v>
      </c>
      <c r="DD65" s="717"/>
      <c r="DE65" s="356" t="s">
        <v>307</v>
      </c>
      <c r="DF65" s="365" t="s">
        <v>308</v>
      </c>
      <c r="DG65" s="363" t="s">
        <v>309</v>
      </c>
      <c r="DH65" s="363" t="s">
        <v>310</v>
      </c>
      <c r="DI65" s="366" t="s">
        <v>311</v>
      </c>
      <c r="DJ65" s="360" t="s">
        <v>259</v>
      </c>
      <c r="DK65" s="100"/>
      <c r="DL65" s="360" t="s">
        <v>311</v>
      </c>
      <c r="DM65" s="363" t="s">
        <v>312</v>
      </c>
      <c r="DN65" s="363" t="s">
        <v>313</v>
      </c>
      <c r="DO65" s="364" t="s">
        <v>314</v>
      </c>
      <c r="DP65" s="717"/>
      <c r="DQ65" s="356" t="s">
        <v>307</v>
      </c>
      <c r="DR65" s="365" t="s">
        <v>308</v>
      </c>
      <c r="DS65" s="363" t="s">
        <v>309</v>
      </c>
      <c r="DT65" s="363" t="s">
        <v>310</v>
      </c>
      <c r="DU65" s="366" t="s">
        <v>311</v>
      </c>
      <c r="DV65" s="360" t="s">
        <v>259</v>
      </c>
      <c r="DW65" s="100"/>
      <c r="DX65" s="360" t="s">
        <v>311</v>
      </c>
      <c r="DY65" s="363" t="s">
        <v>312</v>
      </c>
      <c r="DZ65" s="363" t="s">
        <v>313</v>
      </c>
      <c r="EA65" s="364" t="s">
        <v>314</v>
      </c>
      <c r="EB65" s="717"/>
      <c r="EC65" s="356" t="s">
        <v>307</v>
      </c>
      <c r="ED65" s="365" t="s">
        <v>308</v>
      </c>
      <c r="EE65" s="363" t="s">
        <v>309</v>
      </c>
      <c r="EF65" s="363" t="s">
        <v>310</v>
      </c>
      <c r="EG65" s="366" t="s">
        <v>311</v>
      </c>
      <c r="EH65" s="360" t="s">
        <v>259</v>
      </c>
      <c r="EI65" s="100"/>
      <c r="EJ65" s="360" t="s">
        <v>311</v>
      </c>
      <c r="EK65" s="363" t="s">
        <v>312</v>
      </c>
      <c r="EL65" s="363" t="s">
        <v>313</v>
      </c>
      <c r="EM65" s="364" t="s">
        <v>314</v>
      </c>
      <c r="EN65" s="717"/>
      <c r="EO65" s="356" t="s">
        <v>307</v>
      </c>
      <c r="EP65" s="365" t="s">
        <v>308</v>
      </c>
      <c r="EQ65" s="363" t="s">
        <v>309</v>
      </c>
      <c r="ER65" s="363" t="s">
        <v>310</v>
      </c>
      <c r="ES65" s="366" t="s">
        <v>311</v>
      </c>
      <c r="ET65" s="360" t="s">
        <v>259</v>
      </c>
      <c r="EU65" s="100"/>
      <c r="EV65" s="360" t="s">
        <v>311</v>
      </c>
      <c r="EW65" s="363" t="s">
        <v>312</v>
      </c>
      <c r="EX65" s="363" t="s">
        <v>313</v>
      </c>
      <c r="EY65" s="364" t="s">
        <v>314</v>
      </c>
      <c r="EZ65" s="717"/>
      <c r="FA65" s="356" t="s">
        <v>307</v>
      </c>
      <c r="FB65" s="365" t="s">
        <v>308</v>
      </c>
      <c r="FC65" s="363" t="s">
        <v>309</v>
      </c>
      <c r="FD65" s="363" t="s">
        <v>310</v>
      </c>
      <c r="FE65" s="366" t="s">
        <v>311</v>
      </c>
      <c r="FF65" s="360" t="s">
        <v>259</v>
      </c>
      <c r="FG65" s="100"/>
      <c r="FH65" s="360" t="s">
        <v>311</v>
      </c>
      <c r="FI65" s="363" t="s">
        <v>312</v>
      </c>
      <c r="FJ65" s="363" t="s">
        <v>313</v>
      </c>
      <c r="FK65" s="364" t="s">
        <v>314</v>
      </c>
      <c r="FL65" s="717"/>
      <c r="FM65" s="356" t="s">
        <v>307</v>
      </c>
      <c r="FN65" s="365" t="s">
        <v>308</v>
      </c>
      <c r="FO65" s="363" t="s">
        <v>309</v>
      </c>
      <c r="FP65" s="363" t="s">
        <v>310</v>
      </c>
      <c r="FQ65" s="366" t="s">
        <v>311</v>
      </c>
      <c r="FR65" s="360" t="s">
        <v>259</v>
      </c>
      <c r="FS65" s="100"/>
      <c r="FT65" s="360" t="s">
        <v>311</v>
      </c>
      <c r="FU65" s="363" t="s">
        <v>312</v>
      </c>
      <c r="FV65" s="363" t="s">
        <v>313</v>
      </c>
      <c r="FW65" s="364" t="s">
        <v>314</v>
      </c>
      <c r="FX65" s="717"/>
    </row>
    <row r="66">
      <c r="A66" s="754">
        <v>2.0</v>
      </c>
      <c r="B66" s="755">
        <v>52.0</v>
      </c>
      <c r="C66" s="756" t="str">
        <f>'Schedule | 2 Division'!K38</f>
        <v>Omnix</v>
      </c>
      <c r="D66" s="757">
        <f t="shared" ref="D66:E66" si="107">FF81</f>
        <v>2</v>
      </c>
      <c r="E66" s="757">
        <f t="shared" si="107"/>
        <v>0</v>
      </c>
      <c r="F66" s="756" t="str">
        <f>'Schedule | 2 Division'!O38</f>
        <v>Dark Phoenix</v>
      </c>
      <c r="G66" s="755" t="str">
        <f t="shared" si="12"/>
        <v>Omnix</v>
      </c>
      <c r="H66" s="759" t="str">
        <f t="shared" si="13"/>
        <v/>
      </c>
      <c r="I66" s="760" t="str">
        <f t="shared" si="14"/>
        <v/>
      </c>
      <c r="J66" s="771" t="str">
        <f t="shared" si="15"/>
        <v>Dark Phoenix</v>
      </c>
      <c r="K66" s="733"/>
      <c r="L66" s="717"/>
      <c r="M66" s="656">
        <v>1.0</v>
      </c>
      <c r="N66" s="357" t="s">
        <v>325</v>
      </c>
      <c r="O66" s="718" t="s">
        <v>316</v>
      </c>
      <c r="P66" s="358" t="s">
        <v>327</v>
      </c>
      <c r="Q66" s="362" t="s">
        <v>318</v>
      </c>
      <c r="R66" s="719" t="s">
        <v>319</v>
      </c>
      <c r="S66" s="720" t="s">
        <v>320</v>
      </c>
      <c r="T66" s="405" t="s">
        <v>321</v>
      </c>
      <c r="U66" s="358" t="s">
        <v>317</v>
      </c>
      <c r="V66" s="718" t="s">
        <v>461</v>
      </c>
      <c r="W66" s="362" t="s">
        <v>324</v>
      </c>
      <c r="X66" s="717"/>
      <c r="Y66" s="656">
        <v>1.0</v>
      </c>
      <c r="Z66" s="357" t="s">
        <v>354</v>
      </c>
      <c r="AA66" s="718" t="s">
        <v>435</v>
      </c>
      <c r="AB66" s="358" t="s">
        <v>369</v>
      </c>
      <c r="AC66" s="362" t="s">
        <v>318</v>
      </c>
      <c r="AD66" s="719" t="s">
        <v>320</v>
      </c>
      <c r="AE66" s="720" t="s">
        <v>319</v>
      </c>
      <c r="AF66" s="405" t="s">
        <v>321</v>
      </c>
      <c r="AG66" s="358" t="s">
        <v>361</v>
      </c>
      <c r="AH66" s="718" t="s">
        <v>417</v>
      </c>
      <c r="AI66" s="362" t="s">
        <v>324</v>
      </c>
      <c r="AJ66" s="717"/>
      <c r="AK66" s="656">
        <v>1.0</v>
      </c>
      <c r="AL66" s="357" t="s">
        <v>327</v>
      </c>
      <c r="AM66" s="718" t="s">
        <v>479</v>
      </c>
      <c r="AN66" s="358" t="s">
        <v>328</v>
      </c>
      <c r="AO66" s="362" t="s">
        <v>318</v>
      </c>
      <c r="AP66" s="719" t="s">
        <v>320</v>
      </c>
      <c r="AQ66" s="720" t="s">
        <v>319</v>
      </c>
      <c r="AR66" s="405" t="s">
        <v>321</v>
      </c>
      <c r="AS66" s="358" t="s">
        <v>741</v>
      </c>
      <c r="AT66" s="718" t="s">
        <v>316</v>
      </c>
      <c r="AU66" s="362" t="s">
        <v>325</v>
      </c>
      <c r="AV66" s="717"/>
      <c r="AW66" s="656">
        <v>1.0</v>
      </c>
      <c r="AX66" s="357" t="s">
        <v>327</v>
      </c>
      <c r="AY66" s="718" t="s">
        <v>773</v>
      </c>
      <c r="AZ66" s="358" t="s">
        <v>317</v>
      </c>
      <c r="BA66" s="362" t="s">
        <v>318</v>
      </c>
      <c r="BB66" s="719" t="s">
        <v>320</v>
      </c>
      <c r="BC66" s="720" t="s">
        <v>319</v>
      </c>
      <c r="BD66" s="405" t="s">
        <v>321</v>
      </c>
      <c r="BE66" s="358" t="s">
        <v>352</v>
      </c>
      <c r="BF66" s="718" t="s">
        <v>774</v>
      </c>
      <c r="BG66" s="362" t="s">
        <v>434</v>
      </c>
      <c r="BH66" s="717"/>
      <c r="BI66" s="656">
        <v>1.0</v>
      </c>
      <c r="BJ66" s="357" t="s">
        <v>325</v>
      </c>
      <c r="BK66" s="718" t="s">
        <v>460</v>
      </c>
      <c r="BL66" s="358" t="s">
        <v>317</v>
      </c>
      <c r="BM66" s="362" t="s">
        <v>318</v>
      </c>
      <c r="BN66" s="719" t="s">
        <v>319</v>
      </c>
      <c r="BO66" s="720" t="s">
        <v>320</v>
      </c>
      <c r="BP66" s="405" t="s">
        <v>321</v>
      </c>
      <c r="BQ66" s="358" t="s">
        <v>352</v>
      </c>
      <c r="BR66" s="718" t="s">
        <v>481</v>
      </c>
      <c r="BS66" s="362" t="s">
        <v>324</v>
      </c>
      <c r="BT66" s="717"/>
      <c r="BU66" s="656">
        <v>1.0</v>
      </c>
      <c r="BV66" s="801" t="s">
        <v>317</v>
      </c>
      <c r="BW66" s="718" t="s">
        <v>481</v>
      </c>
      <c r="BX66" s="358" t="s">
        <v>342</v>
      </c>
      <c r="BY66" s="362" t="s">
        <v>318</v>
      </c>
      <c r="BZ66" s="719" t="s">
        <v>319</v>
      </c>
      <c r="CA66" s="720" t="s">
        <v>320</v>
      </c>
      <c r="CB66" s="405" t="s">
        <v>321</v>
      </c>
      <c r="CC66" s="358" t="s">
        <v>400</v>
      </c>
      <c r="CD66" s="718" t="s">
        <v>475</v>
      </c>
      <c r="CE66" s="362" t="s">
        <v>324</v>
      </c>
      <c r="CF66" s="717"/>
      <c r="CG66" s="656">
        <v>1.0</v>
      </c>
      <c r="CH66" s="357" t="s">
        <v>337</v>
      </c>
      <c r="CI66" s="718" t="s">
        <v>475</v>
      </c>
      <c r="CJ66" s="358" t="s">
        <v>400</v>
      </c>
      <c r="CK66" s="362" t="s">
        <v>318</v>
      </c>
      <c r="CL66" s="719" t="s">
        <v>320</v>
      </c>
      <c r="CM66" s="720" t="s">
        <v>319</v>
      </c>
      <c r="CN66" s="405" t="s">
        <v>321</v>
      </c>
      <c r="CO66" s="358" t="s">
        <v>325</v>
      </c>
      <c r="CP66" s="718" t="s">
        <v>419</v>
      </c>
      <c r="CQ66" s="362" t="s">
        <v>317</v>
      </c>
      <c r="CR66" s="717"/>
      <c r="CS66" s="656">
        <v>1.0</v>
      </c>
      <c r="CT66" s="357" t="s">
        <v>328</v>
      </c>
      <c r="CU66" s="718" t="s">
        <v>459</v>
      </c>
      <c r="CV66" s="358" t="s">
        <v>315</v>
      </c>
      <c r="CW66" s="362" t="s">
        <v>318</v>
      </c>
      <c r="CX66" s="719" t="s">
        <v>320</v>
      </c>
      <c r="CY66" s="720" t="s">
        <v>319</v>
      </c>
      <c r="CZ66" s="405" t="s">
        <v>321</v>
      </c>
      <c r="DA66" s="358" t="s">
        <v>19</v>
      </c>
      <c r="DB66" s="718" t="s">
        <v>417</v>
      </c>
      <c r="DC66" s="362" t="s">
        <v>324</v>
      </c>
      <c r="DD66" s="717"/>
      <c r="DE66" s="656">
        <v>1.0</v>
      </c>
      <c r="DF66" s="357" t="s">
        <v>369</v>
      </c>
      <c r="DG66" s="718" t="s">
        <v>767</v>
      </c>
      <c r="DH66" s="358" t="s">
        <v>317</v>
      </c>
      <c r="DI66" s="362" t="s">
        <v>318</v>
      </c>
      <c r="DJ66" s="719" t="s">
        <v>320</v>
      </c>
      <c r="DK66" s="719" t="s">
        <v>319</v>
      </c>
      <c r="DL66" s="357" t="s">
        <v>321</v>
      </c>
      <c r="DM66" s="358" t="s">
        <v>396</v>
      </c>
      <c r="DN66" s="718" t="s">
        <v>768</v>
      </c>
      <c r="DO66" s="362" t="s">
        <v>324</v>
      </c>
      <c r="DP66" s="717"/>
      <c r="DQ66" s="656">
        <v>1.0</v>
      </c>
      <c r="DR66" s="357" t="s">
        <v>331</v>
      </c>
      <c r="DS66" s="718" t="s">
        <v>372</v>
      </c>
      <c r="DT66" s="358" t="s">
        <v>385</v>
      </c>
      <c r="DU66" s="362" t="s">
        <v>318</v>
      </c>
      <c r="DV66" s="719" t="s">
        <v>320</v>
      </c>
      <c r="DW66" s="719" t="s">
        <v>319</v>
      </c>
      <c r="DX66" s="357" t="s">
        <v>321</v>
      </c>
      <c r="DY66" s="358" t="s">
        <v>328</v>
      </c>
      <c r="DZ66" s="718" t="s">
        <v>316</v>
      </c>
      <c r="EA66" s="362" t="s">
        <v>434</v>
      </c>
      <c r="EB66" s="717"/>
      <c r="EC66" s="656">
        <v>1.0</v>
      </c>
      <c r="ED66" s="357" t="s">
        <v>328</v>
      </c>
      <c r="EE66" s="718" t="s">
        <v>435</v>
      </c>
      <c r="EF66" s="358" t="s">
        <v>387</v>
      </c>
      <c r="EG66" s="362" t="s">
        <v>318</v>
      </c>
      <c r="EH66" s="719" t="s">
        <v>320</v>
      </c>
      <c r="EI66" s="719" t="s">
        <v>319</v>
      </c>
      <c r="EJ66" s="357" t="s">
        <v>321</v>
      </c>
      <c r="EK66" s="358" t="s">
        <v>369</v>
      </c>
      <c r="EL66" s="718" t="s">
        <v>480</v>
      </c>
      <c r="EM66" s="362" t="s">
        <v>317</v>
      </c>
      <c r="EN66" s="717"/>
      <c r="EO66" s="656">
        <v>1.0</v>
      </c>
      <c r="EP66" s="357" t="s">
        <v>315</v>
      </c>
      <c r="EQ66" s="718" t="s">
        <v>473</v>
      </c>
      <c r="ER66" s="358" t="s">
        <v>332</v>
      </c>
      <c r="ES66" s="362" t="s">
        <v>318</v>
      </c>
      <c r="ET66" s="719" t="s">
        <v>320</v>
      </c>
      <c r="EU66" s="719" t="s">
        <v>319</v>
      </c>
      <c r="EV66" s="357" t="s">
        <v>321</v>
      </c>
      <c r="EW66" s="358" t="s">
        <v>341</v>
      </c>
      <c r="EX66" s="718" t="s">
        <v>474</v>
      </c>
      <c r="EY66" s="362" t="s">
        <v>324</v>
      </c>
      <c r="EZ66" s="717"/>
      <c r="FA66" s="656">
        <v>1.0</v>
      </c>
      <c r="FB66" s="357" t="s">
        <v>315</v>
      </c>
      <c r="FC66" s="718" t="s">
        <v>435</v>
      </c>
      <c r="FD66" s="358" t="s">
        <v>387</v>
      </c>
      <c r="FE66" s="362" t="s">
        <v>318</v>
      </c>
      <c r="FF66" s="719" t="s">
        <v>319</v>
      </c>
      <c r="FG66" s="719" t="s">
        <v>320</v>
      </c>
      <c r="FH66" s="357" t="s">
        <v>321</v>
      </c>
      <c r="FI66" s="358" t="s">
        <v>400</v>
      </c>
      <c r="FJ66" s="718" t="s">
        <v>419</v>
      </c>
      <c r="FK66" s="362" t="s">
        <v>342</v>
      </c>
      <c r="FL66" s="717"/>
      <c r="FM66" s="656">
        <v>1.0</v>
      </c>
      <c r="FN66" s="357" t="s">
        <v>400</v>
      </c>
      <c r="FO66" s="718" t="s">
        <v>474</v>
      </c>
      <c r="FP66" s="358" t="s">
        <v>341</v>
      </c>
      <c r="FQ66" s="362" t="s">
        <v>318</v>
      </c>
      <c r="FR66" s="719" t="s">
        <v>320</v>
      </c>
      <c r="FS66" s="719" t="s">
        <v>319</v>
      </c>
      <c r="FT66" s="357" t="s">
        <v>321</v>
      </c>
      <c r="FU66" s="358" t="s">
        <v>343</v>
      </c>
      <c r="FV66" s="234" t="s">
        <v>461</v>
      </c>
      <c r="FW66" s="362" t="s">
        <v>331</v>
      </c>
      <c r="FX66" s="717"/>
    </row>
    <row r="67">
      <c r="A67" s="640">
        <v>2.0</v>
      </c>
      <c r="B67" s="740">
        <v>53.0</v>
      </c>
      <c r="C67" s="741" t="str">
        <f>'Schedule | 2 Division'!K41</f>
        <v>Dark Phoenix</v>
      </c>
      <c r="D67" s="753">
        <f t="shared" ref="D67:E67" si="108">FR21</f>
        <v>0</v>
      </c>
      <c r="E67" s="753">
        <f t="shared" si="108"/>
        <v>2</v>
      </c>
      <c r="F67" s="741" t="str">
        <f>'Schedule | 2 Division'!O41</f>
        <v>INVISION</v>
      </c>
      <c r="G67" s="740" t="str">
        <f t="shared" si="12"/>
        <v>INVISION</v>
      </c>
      <c r="H67" s="685" t="str">
        <f t="shared" si="13"/>
        <v/>
      </c>
      <c r="I67" s="688" t="str">
        <f t="shared" si="14"/>
        <v/>
      </c>
      <c r="J67" s="751" t="str">
        <f t="shared" si="15"/>
        <v>Dark Phoenix</v>
      </c>
      <c r="K67" s="733"/>
      <c r="L67" s="717"/>
      <c r="M67" s="66"/>
      <c r="N67" s="645" t="s">
        <v>331</v>
      </c>
      <c r="O67" s="722" t="s">
        <v>370</v>
      </c>
      <c r="P67" s="405" t="s">
        <v>389</v>
      </c>
      <c r="Q67" s="92"/>
      <c r="S67" s="92"/>
      <c r="U67" s="405" t="s">
        <v>352</v>
      </c>
      <c r="V67" s="722" t="s">
        <v>774</v>
      </c>
      <c r="W67" s="682" t="s">
        <v>315</v>
      </c>
      <c r="X67" s="717"/>
      <c r="Y67" s="66"/>
      <c r="Z67" s="645" t="s">
        <v>328</v>
      </c>
      <c r="AA67" s="722" t="s">
        <v>775</v>
      </c>
      <c r="AB67" s="405" t="s">
        <v>337</v>
      </c>
      <c r="AC67" s="92"/>
      <c r="AE67" s="92"/>
      <c r="AG67" s="405" t="s">
        <v>325</v>
      </c>
      <c r="AH67" s="722" t="s">
        <v>767</v>
      </c>
      <c r="AI67" s="682" t="s">
        <v>368</v>
      </c>
      <c r="AJ67" s="717"/>
      <c r="AK67" s="66"/>
      <c r="AL67" s="645" t="s">
        <v>315</v>
      </c>
      <c r="AM67" s="722" t="s">
        <v>473</v>
      </c>
      <c r="AN67" s="405" t="s">
        <v>369</v>
      </c>
      <c r="AO67" s="92"/>
      <c r="AQ67" s="92"/>
      <c r="AS67" s="405" t="s">
        <v>342</v>
      </c>
      <c r="AT67" s="722" t="s">
        <v>344</v>
      </c>
      <c r="AU67" s="682" t="s">
        <v>331</v>
      </c>
      <c r="AV67" s="717"/>
      <c r="AW67" s="66"/>
      <c r="AX67" s="645" t="s">
        <v>337</v>
      </c>
      <c r="AY67" s="722" t="s">
        <v>345</v>
      </c>
      <c r="AZ67" s="405" t="s">
        <v>374</v>
      </c>
      <c r="BA67" s="92"/>
      <c r="BC67" s="92"/>
      <c r="BE67" s="405" t="s">
        <v>315</v>
      </c>
      <c r="BF67" s="722" t="s">
        <v>459</v>
      </c>
      <c r="BG67" s="682" t="s">
        <v>334</v>
      </c>
      <c r="BH67" s="717"/>
      <c r="BI67" s="66"/>
      <c r="BJ67" s="645" t="s">
        <v>408</v>
      </c>
      <c r="BK67" s="722" t="s">
        <v>780</v>
      </c>
      <c r="BL67" s="405" t="s">
        <v>315</v>
      </c>
      <c r="BM67" s="92"/>
      <c r="BO67" s="92"/>
      <c r="BQ67" s="405" t="s">
        <v>369</v>
      </c>
      <c r="BR67" s="722" t="s">
        <v>480</v>
      </c>
      <c r="BS67" s="682" t="s">
        <v>342</v>
      </c>
      <c r="BT67" s="717"/>
      <c r="BU67" s="66"/>
      <c r="BV67" s="802" t="s">
        <v>315</v>
      </c>
      <c r="BW67" s="722" t="s">
        <v>474</v>
      </c>
      <c r="BX67" s="405" t="s">
        <v>368</v>
      </c>
      <c r="BY67" s="92"/>
      <c r="CA67" s="92"/>
      <c r="CC67" s="405" t="s">
        <v>369</v>
      </c>
      <c r="CD67" s="722" t="s">
        <v>473</v>
      </c>
      <c r="CE67" s="682" t="s">
        <v>327</v>
      </c>
      <c r="CF67" s="717"/>
      <c r="CG67" s="66"/>
      <c r="CH67" s="645" t="s">
        <v>396</v>
      </c>
      <c r="CI67" s="722" t="s">
        <v>473</v>
      </c>
      <c r="CJ67" s="405" t="s">
        <v>369</v>
      </c>
      <c r="CK67" s="92"/>
      <c r="CM67" s="92"/>
      <c r="CO67" s="405" t="s">
        <v>327</v>
      </c>
      <c r="CP67" s="722" t="s">
        <v>428</v>
      </c>
      <c r="CQ67" s="682" t="s">
        <v>324</v>
      </c>
      <c r="CR67" s="717"/>
      <c r="CS67" s="66"/>
      <c r="CT67" s="645" t="s">
        <v>327</v>
      </c>
      <c r="CU67" s="722" t="s">
        <v>457</v>
      </c>
      <c r="CV67" s="405" t="s">
        <v>322</v>
      </c>
      <c r="CW67" s="92"/>
      <c r="CY67" s="92"/>
      <c r="DA67" s="405" t="s">
        <v>400</v>
      </c>
      <c r="DB67" s="722" t="s">
        <v>767</v>
      </c>
      <c r="DC67" s="682" t="s">
        <v>317</v>
      </c>
      <c r="DD67" s="717"/>
      <c r="DE67" s="66"/>
      <c r="DF67" s="645" t="s">
        <v>315</v>
      </c>
      <c r="DG67" s="722" t="s">
        <v>417</v>
      </c>
      <c r="DH67" s="405" t="s">
        <v>382</v>
      </c>
      <c r="DI67" s="92"/>
      <c r="DL67" s="55"/>
      <c r="DM67" s="405" t="s">
        <v>352</v>
      </c>
      <c r="DN67" s="722" t="s">
        <v>785</v>
      </c>
      <c r="DO67" s="682" t="s">
        <v>327</v>
      </c>
      <c r="DP67" s="717"/>
      <c r="DQ67" s="66"/>
      <c r="DR67" s="645" t="s">
        <v>327</v>
      </c>
      <c r="DS67" s="722" t="s">
        <v>390</v>
      </c>
      <c r="DT67" s="405" t="s">
        <v>377</v>
      </c>
      <c r="DU67" s="92"/>
      <c r="DX67" s="55"/>
      <c r="DY67" s="405" t="s">
        <v>346</v>
      </c>
      <c r="DZ67" s="722" t="s">
        <v>344</v>
      </c>
      <c r="EA67" s="682" t="s">
        <v>324</v>
      </c>
      <c r="EB67" s="717"/>
      <c r="EC67" s="66"/>
      <c r="ED67" s="645" t="s">
        <v>315</v>
      </c>
      <c r="EE67" s="722" t="s">
        <v>430</v>
      </c>
      <c r="EF67" s="405" t="s">
        <v>382</v>
      </c>
      <c r="EG67" s="92"/>
      <c r="EJ67" s="55"/>
      <c r="EK67" s="405" t="s">
        <v>377</v>
      </c>
      <c r="EL67" s="722" t="s">
        <v>431</v>
      </c>
      <c r="EM67" s="682" t="s">
        <v>327</v>
      </c>
      <c r="EN67" s="717"/>
      <c r="EO67" s="66"/>
      <c r="EP67" s="645" t="s">
        <v>369</v>
      </c>
      <c r="EQ67" s="722" t="s">
        <v>475</v>
      </c>
      <c r="ER67" s="405" t="s">
        <v>411</v>
      </c>
      <c r="ES67" s="92"/>
      <c r="EV67" s="55"/>
      <c r="EW67" s="405" t="s">
        <v>343</v>
      </c>
      <c r="EX67" s="722" t="s">
        <v>476</v>
      </c>
      <c r="EY67" s="682" t="s">
        <v>362</v>
      </c>
      <c r="EZ67" s="717"/>
      <c r="FA67" s="66"/>
      <c r="FB67" s="645" t="s">
        <v>384</v>
      </c>
      <c r="FC67" s="722" t="s">
        <v>430</v>
      </c>
      <c r="FD67" s="405" t="s">
        <v>324</v>
      </c>
      <c r="FE67" s="92"/>
      <c r="FH67" s="55"/>
      <c r="FI67" s="405" t="s">
        <v>396</v>
      </c>
      <c r="FJ67" s="722" t="s">
        <v>768</v>
      </c>
      <c r="FK67" s="682" t="s">
        <v>327</v>
      </c>
      <c r="FL67" s="717"/>
      <c r="FM67" s="66"/>
      <c r="FN67" s="645" t="s">
        <v>315</v>
      </c>
      <c r="FO67" s="722" t="s">
        <v>431</v>
      </c>
      <c r="FP67" s="405" t="s">
        <v>377</v>
      </c>
      <c r="FQ67" s="92"/>
      <c r="FT67" s="55"/>
      <c r="FU67" s="405" t="s">
        <v>348</v>
      </c>
      <c r="FV67" s="242" t="s">
        <v>459</v>
      </c>
      <c r="FW67" s="682" t="s">
        <v>328</v>
      </c>
      <c r="FX67" s="717"/>
    </row>
    <row r="68">
      <c r="A68" s="640">
        <v>2.0</v>
      </c>
      <c r="B68" s="740">
        <v>54.0</v>
      </c>
      <c r="C68" s="741" t="str">
        <f>'Schedule | 2 Division'!K42</f>
        <v>Suplex team</v>
      </c>
      <c r="D68" s="753">
        <f t="shared" ref="D68:E68" si="109">FR41</f>
        <v>0</v>
      </c>
      <c r="E68" s="753">
        <f t="shared" si="109"/>
        <v>2</v>
      </c>
      <c r="F68" s="741" t="str">
        <f>'Schedule | 2 Division'!O42</f>
        <v>Omnix</v>
      </c>
      <c r="G68" s="740" t="str">
        <f t="shared" si="12"/>
        <v>Omnix</v>
      </c>
      <c r="H68" s="685" t="str">
        <f t="shared" si="13"/>
        <v/>
      </c>
      <c r="I68" s="688" t="str">
        <f t="shared" si="14"/>
        <v/>
      </c>
      <c r="J68" s="751" t="str">
        <f t="shared" si="15"/>
        <v>Suplex team</v>
      </c>
      <c r="K68" s="733"/>
      <c r="L68" s="717"/>
      <c r="M68" s="66"/>
      <c r="N68" s="645" t="s">
        <v>369</v>
      </c>
      <c r="O68" s="722" t="s">
        <v>780</v>
      </c>
      <c r="P68" s="405" t="s">
        <v>373</v>
      </c>
      <c r="Q68" s="92"/>
      <c r="S68" s="92"/>
      <c r="U68" s="405" t="s">
        <v>322</v>
      </c>
      <c r="V68" s="722" t="s">
        <v>457</v>
      </c>
      <c r="W68" s="682" t="s">
        <v>342</v>
      </c>
      <c r="X68" s="717"/>
      <c r="Y68" s="66"/>
      <c r="Z68" s="645" t="s">
        <v>317</v>
      </c>
      <c r="AA68" s="722" t="s">
        <v>778</v>
      </c>
      <c r="AB68" s="405" t="s">
        <v>384</v>
      </c>
      <c r="AC68" s="92"/>
      <c r="AE68" s="92"/>
      <c r="AG68" s="405" t="s">
        <v>373</v>
      </c>
      <c r="AH68" s="722" t="s">
        <v>425</v>
      </c>
      <c r="AI68" s="682" t="s">
        <v>331</v>
      </c>
      <c r="AJ68" s="717"/>
      <c r="AK68" s="66"/>
      <c r="AL68" s="645" t="s">
        <v>373</v>
      </c>
      <c r="AM68" s="722" t="s">
        <v>475</v>
      </c>
      <c r="AN68" s="405" t="s">
        <v>343</v>
      </c>
      <c r="AO68" s="92"/>
      <c r="AQ68" s="92"/>
      <c r="AS68" s="405" t="s">
        <v>359</v>
      </c>
      <c r="AT68" s="722" t="s">
        <v>780</v>
      </c>
      <c r="AU68" s="682" t="s">
        <v>324</v>
      </c>
      <c r="AV68" s="717"/>
      <c r="AW68" s="66"/>
      <c r="AX68" s="645" t="s">
        <v>324</v>
      </c>
      <c r="AY68" s="722" t="s">
        <v>372</v>
      </c>
      <c r="AZ68" s="405" t="s">
        <v>387</v>
      </c>
      <c r="BA68" s="92"/>
      <c r="BC68" s="92"/>
      <c r="BE68" s="405" t="s">
        <v>322</v>
      </c>
      <c r="BF68" s="722" t="s">
        <v>457</v>
      </c>
      <c r="BG68" s="682" t="s">
        <v>342</v>
      </c>
      <c r="BH68" s="717"/>
      <c r="BI68" s="66"/>
      <c r="BJ68" s="645" t="s">
        <v>328</v>
      </c>
      <c r="BK68" s="722" t="s">
        <v>316</v>
      </c>
      <c r="BL68" s="405" t="s">
        <v>327</v>
      </c>
      <c r="BM68" s="92"/>
      <c r="BO68" s="92"/>
      <c r="BQ68" s="405" t="s">
        <v>400</v>
      </c>
      <c r="BR68" s="722" t="s">
        <v>476</v>
      </c>
      <c r="BS68" s="682" t="s">
        <v>334</v>
      </c>
      <c r="BT68" s="717"/>
      <c r="BU68" s="66"/>
      <c r="BV68" s="802" t="s">
        <v>325</v>
      </c>
      <c r="BW68" s="722" t="s">
        <v>476</v>
      </c>
      <c r="BX68" s="405" t="s">
        <v>412</v>
      </c>
      <c r="BY68" s="92"/>
      <c r="CA68" s="92"/>
      <c r="CC68" s="405" t="s">
        <v>483</v>
      </c>
      <c r="CD68" s="722" t="s">
        <v>479</v>
      </c>
      <c r="CE68" s="682" t="s">
        <v>328</v>
      </c>
      <c r="CF68" s="717"/>
      <c r="CG68" s="66"/>
      <c r="CH68" s="645" t="s">
        <v>342</v>
      </c>
      <c r="CI68" s="722" t="s">
        <v>477</v>
      </c>
      <c r="CJ68" s="405" t="s">
        <v>315</v>
      </c>
      <c r="CK68" s="92"/>
      <c r="CM68" s="92"/>
      <c r="CO68" s="405" t="s">
        <v>387</v>
      </c>
      <c r="CP68" s="722" t="s">
        <v>785</v>
      </c>
      <c r="CQ68" s="682" t="s">
        <v>328</v>
      </c>
      <c r="CR68" s="717"/>
      <c r="CS68" s="66"/>
      <c r="CT68" s="645" t="s">
        <v>325</v>
      </c>
      <c r="CU68" s="722" t="s">
        <v>774</v>
      </c>
      <c r="CV68" s="405" t="s">
        <v>352</v>
      </c>
      <c r="CW68" s="92"/>
      <c r="CY68" s="92"/>
      <c r="DA68" s="405" t="s">
        <v>391</v>
      </c>
      <c r="DB68" s="722" t="s">
        <v>425</v>
      </c>
      <c r="DC68" s="682" t="s">
        <v>369</v>
      </c>
      <c r="DD68" s="717"/>
      <c r="DE68" s="66"/>
      <c r="DF68" s="645" t="s">
        <v>337</v>
      </c>
      <c r="DG68" s="722" t="s">
        <v>463</v>
      </c>
      <c r="DH68" s="405" t="s">
        <v>328</v>
      </c>
      <c r="DI68" s="92"/>
      <c r="DL68" s="55"/>
      <c r="DM68" s="405" t="s">
        <v>384</v>
      </c>
      <c r="DN68" s="722" t="s">
        <v>627</v>
      </c>
      <c r="DO68" s="682" t="s">
        <v>342</v>
      </c>
      <c r="DP68" s="717"/>
      <c r="DQ68" s="66"/>
      <c r="DR68" s="645" t="s">
        <v>317</v>
      </c>
      <c r="DS68" s="722" t="s">
        <v>779</v>
      </c>
      <c r="DT68" s="405" t="s">
        <v>399</v>
      </c>
      <c r="DU68" s="92"/>
      <c r="DX68" s="55"/>
      <c r="DY68" s="405" t="s">
        <v>373</v>
      </c>
      <c r="DZ68" s="722" t="s">
        <v>780</v>
      </c>
      <c r="EA68" s="682" t="s">
        <v>342</v>
      </c>
      <c r="EB68" s="717"/>
      <c r="EC68" s="66"/>
      <c r="ED68" s="645" t="s">
        <v>342</v>
      </c>
      <c r="EE68" s="722" t="s">
        <v>441</v>
      </c>
      <c r="EF68" s="405" t="s">
        <v>343</v>
      </c>
      <c r="EG68" s="92"/>
      <c r="EJ68" s="55"/>
      <c r="EK68" s="405" t="s">
        <v>331</v>
      </c>
      <c r="EL68" s="722" t="s">
        <v>476</v>
      </c>
      <c r="EM68" s="682" t="s">
        <v>324</v>
      </c>
      <c r="EN68" s="717"/>
      <c r="EO68" s="66"/>
      <c r="EP68" s="645" t="s">
        <v>317</v>
      </c>
      <c r="EQ68" s="722" t="s">
        <v>477</v>
      </c>
      <c r="ER68" s="405" t="s">
        <v>391</v>
      </c>
      <c r="ES68" s="92"/>
      <c r="EV68" s="55"/>
      <c r="EW68" s="405" t="s">
        <v>337</v>
      </c>
      <c r="EX68" s="722" t="s">
        <v>481</v>
      </c>
      <c r="EY68" s="682" t="s">
        <v>331</v>
      </c>
      <c r="EZ68" s="717"/>
      <c r="FA68" s="66"/>
      <c r="FB68" s="645" t="s">
        <v>325</v>
      </c>
      <c r="FC68" s="722" t="s">
        <v>441</v>
      </c>
      <c r="FD68" s="405" t="s">
        <v>343</v>
      </c>
      <c r="FE68" s="92"/>
      <c r="FH68" s="55"/>
      <c r="FI68" s="405" t="s">
        <v>359</v>
      </c>
      <c r="FJ68" s="722" t="s">
        <v>627</v>
      </c>
      <c r="FK68" s="682" t="s">
        <v>317</v>
      </c>
      <c r="FL68" s="717"/>
      <c r="FM68" s="66"/>
      <c r="FN68" s="645" t="s">
        <v>324</v>
      </c>
      <c r="FO68" s="722" t="s">
        <v>476</v>
      </c>
      <c r="FP68" s="405" t="s">
        <v>412</v>
      </c>
      <c r="FQ68" s="92"/>
      <c r="FT68" s="55"/>
      <c r="FU68" s="405" t="s">
        <v>375</v>
      </c>
      <c r="FV68" s="242" t="s">
        <v>463</v>
      </c>
      <c r="FW68" s="682" t="s">
        <v>327</v>
      </c>
      <c r="FX68" s="717"/>
    </row>
    <row r="69">
      <c r="A69" s="640">
        <v>2.0</v>
      </c>
      <c r="B69" s="740">
        <v>55.0</v>
      </c>
      <c r="C69" s="741" t="str">
        <f>'Schedule | 2 Division'!K43</f>
        <v>The Soulless Team</v>
      </c>
      <c r="D69" s="753">
        <f t="shared" ref="D69:E69" si="110">FR61</f>
        <v>1</v>
      </c>
      <c r="E69" s="753">
        <f t="shared" si="110"/>
        <v>2</v>
      </c>
      <c r="F69" s="741" t="str">
        <f>'Schedule | 2 Division'!O43</f>
        <v>HARD GRIND</v>
      </c>
      <c r="G69" s="740" t="str">
        <f t="shared" si="12"/>
        <v/>
      </c>
      <c r="H69" s="685" t="str">
        <f t="shared" si="13"/>
        <v>HARD GRIND</v>
      </c>
      <c r="I69" s="688" t="str">
        <f t="shared" si="14"/>
        <v>The Soulless Team</v>
      </c>
      <c r="J69" s="751" t="str">
        <f t="shared" si="15"/>
        <v/>
      </c>
      <c r="K69" s="733"/>
      <c r="L69" s="717"/>
      <c r="M69" s="66"/>
      <c r="N69" s="645" t="s">
        <v>384</v>
      </c>
      <c r="O69" s="722" t="s">
        <v>344</v>
      </c>
      <c r="P69" s="405" t="s">
        <v>337</v>
      </c>
      <c r="Q69" s="92"/>
      <c r="S69" s="92"/>
      <c r="U69" s="405" t="s">
        <v>328</v>
      </c>
      <c r="V69" s="722" t="s">
        <v>782</v>
      </c>
      <c r="W69" s="682" t="s">
        <v>334</v>
      </c>
      <c r="X69" s="717"/>
      <c r="Y69" s="66"/>
      <c r="Z69" s="645" t="s">
        <v>389</v>
      </c>
      <c r="AA69" s="722" t="s">
        <v>784</v>
      </c>
      <c r="AB69" s="405" t="s">
        <v>408</v>
      </c>
      <c r="AC69" s="92"/>
      <c r="AE69" s="92"/>
      <c r="AG69" s="405" t="s">
        <v>375</v>
      </c>
      <c r="AH69" s="722" t="s">
        <v>463</v>
      </c>
      <c r="AI69" s="682" t="s">
        <v>352</v>
      </c>
      <c r="AJ69" s="717"/>
      <c r="AK69" s="66"/>
      <c r="AL69" s="645" t="s">
        <v>374</v>
      </c>
      <c r="AM69" s="722" t="s">
        <v>482</v>
      </c>
      <c r="AN69" s="405" t="s">
        <v>404</v>
      </c>
      <c r="AO69" s="92"/>
      <c r="AQ69" s="92"/>
      <c r="AS69" s="405" t="s">
        <v>389</v>
      </c>
      <c r="AT69" s="722" t="s">
        <v>370</v>
      </c>
      <c r="AU69" s="682" t="s">
        <v>408</v>
      </c>
      <c r="AV69" s="717"/>
      <c r="AW69" s="66"/>
      <c r="AX69" s="645" t="s">
        <v>325</v>
      </c>
      <c r="AY69" s="722" t="s">
        <v>390</v>
      </c>
      <c r="AZ69" s="405" t="s">
        <v>414</v>
      </c>
      <c r="BA69" s="92"/>
      <c r="BC69" s="92"/>
      <c r="BE69" s="405" t="s">
        <v>328</v>
      </c>
      <c r="BF69" s="722" t="s">
        <v>782</v>
      </c>
      <c r="BG69" s="682" t="s">
        <v>384</v>
      </c>
      <c r="BH69" s="717"/>
      <c r="BI69" s="66"/>
      <c r="BJ69" s="645" t="s">
        <v>384</v>
      </c>
      <c r="BK69" s="722" t="s">
        <v>370</v>
      </c>
      <c r="BL69" s="405" t="s">
        <v>418</v>
      </c>
      <c r="BM69" s="92"/>
      <c r="BO69" s="92"/>
      <c r="BQ69" s="405" t="s">
        <v>362</v>
      </c>
      <c r="BR69" s="722" t="s">
        <v>474</v>
      </c>
      <c r="BS69" s="682" t="s">
        <v>389</v>
      </c>
      <c r="BT69" s="717"/>
      <c r="BU69" s="66"/>
      <c r="BV69" s="802" t="s">
        <v>387</v>
      </c>
      <c r="BW69" s="722" t="s">
        <v>771</v>
      </c>
      <c r="BX69" s="405" t="s">
        <v>401</v>
      </c>
      <c r="BY69" s="92"/>
      <c r="CA69" s="92"/>
      <c r="CC69" s="405" t="s">
        <v>19</v>
      </c>
      <c r="CD69" s="722" t="s">
        <v>477</v>
      </c>
      <c r="CE69" s="682" t="s">
        <v>322</v>
      </c>
      <c r="CF69" s="717"/>
      <c r="CG69" s="66"/>
      <c r="CH69" s="645" t="s">
        <v>322</v>
      </c>
      <c r="CI69" s="722" t="s">
        <v>482</v>
      </c>
      <c r="CJ69" s="405" t="s">
        <v>346</v>
      </c>
      <c r="CK69" s="92"/>
      <c r="CM69" s="92"/>
      <c r="CO69" s="405" t="s">
        <v>348</v>
      </c>
      <c r="CP69" s="722" t="s">
        <v>627</v>
      </c>
      <c r="CQ69" s="682" t="s">
        <v>384</v>
      </c>
      <c r="CR69" s="717"/>
      <c r="CS69" s="66"/>
      <c r="CT69" s="645" t="s">
        <v>361</v>
      </c>
      <c r="CU69" s="722" t="s">
        <v>782</v>
      </c>
      <c r="CV69" s="405" t="s">
        <v>375</v>
      </c>
      <c r="CW69" s="92"/>
      <c r="CY69" s="92"/>
      <c r="DA69" s="405" t="s">
        <v>384</v>
      </c>
      <c r="DB69" s="722" t="s">
        <v>463</v>
      </c>
      <c r="DC69" s="682" t="s">
        <v>414</v>
      </c>
      <c r="DD69" s="717"/>
      <c r="DE69" s="66"/>
      <c r="DF69" s="645" t="s">
        <v>400</v>
      </c>
      <c r="DG69" s="722" t="s">
        <v>784</v>
      </c>
      <c r="DH69" s="405" t="s">
        <v>341</v>
      </c>
      <c r="DI69" s="92"/>
      <c r="DL69" s="55"/>
      <c r="DM69" s="405" t="s">
        <v>374</v>
      </c>
      <c r="DN69" s="722" t="s">
        <v>428</v>
      </c>
      <c r="DO69" s="682" t="s">
        <v>405</v>
      </c>
      <c r="DP69" s="717"/>
      <c r="DQ69" s="66"/>
      <c r="DR69" s="645" t="s">
        <v>387</v>
      </c>
      <c r="DS69" s="722" t="s">
        <v>773</v>
      </c>
      <c r="DT69" s="405" t="s">
        <v>400</v>
      </c>
      <c r="DU69" s="92"/>
      <c r="DX69" s="55"/>
      <c r="DY69" s="405" t="s">
        <v>410</v>
      </c>
      <c r="DZ69" s="722" t="s">
        <v>370</v>
      </c>
      <c r="EA69" s="682" t="s">
        <v>315</v>
      </c>
      <c r="EB69" s="717"/>
      <c r="EC69" s="66"/>
      <c r="ED69" s="645" t="s">
        <v>337</v>
      </c>
      <c r="EE69" s="722" t="s">
        <v>421</v>
      </c>
      <c r="EF69" s="405" t="s">
        <v>483</v>
      </c>
      <c r="EG69" s="92"/>
      <c r="EJ69" s="55"/>
      <c r="EK69" s="405" t="s">
        <v>341</v>
      </c>
      <c r="EL69" s="722" t="s">
        <v>474</v>
      </c>
      <c r="EM69" s="682" t="s">
        <v>384</v>
      </c>
      <c r="EN69" s="717"/>
      <c r="EO69" s="66"/>
      <c r="EP69" s="645" t="s">
        <v>377</v>
      </c>
      <c r="EQ69" s="722" t="s">
        <v>479</v>
      </c>
      <c r="ER69" s="405" t="s">
        <v>328</v>
      </c>
      <c r="ES69" s="92"/>
      <c r="EV69" s="55"/>
      <c r="EW69" s="405" t="s">
        <v>382</v>
      </c>
      <c r="EX69" s="722" t="s">
        <v>480</v>
      </c>
      <c r="EY69" s="682" t="s">
        <v>400</v>
      </c>
      <c r="EZ69" s="717"/>
      <c r="FA69" s="66"/>
      <c r="FB69" s="645" t="s">
        <v>402</v>
      </c>
      <c r="FC69" s="722" t="s">
        <v>421</v>
      </c>
      <c r="FD69" s="405" t="s">
        <v>377</v>
      </c>
      <c r="FE69" s="92"/>
      <c r="FH69" s="55"/>
      <c r="FI69" s="405" t="s">
        <v>414</v>
      </c>
      <c r="FJ69" s="722" t="s">
        <v>428</v>
      </c>
      <c r="FK69" s="682" t="s">
        <v>352</v>
      </c>
      <c r="FL69" s="717"/>
      <c r="FM69" s="66"/>
      <c r="FN69" s="645" t="s">
        <v>401</v>
      </c>
      <c r="FO69" s="722" t="s">
        <v>480</v>
      </c>
      <c r="FP69" s="405" t="s">
        <v>361</v>
      </c>
      <c r="FQ69" s="92"/>
      <c r="FT69" s="55"/>
      <c r="FU69" s="405" t="s">
        <v>332</v>
      </c>
      <c r="FV69" s="242" t="s">
        <v>457</v>
      </c>
      <c r="FW69" s="682" t="s">
        <v>382</v>
      </c>
      <c r="FX69" s="717"/>
    </row>
    <row r="70">
      <c r="A70" s="668">
        <v>2.0</v>
      </c>
      <c r="B70" s="803">
        <v>56.0</v>
      </c>
      <c r="C70" s="804" t="str">
        <f>'Schedule | 2 Division'!K44</f>
        <v>Aterion Esports</v>
      </c>
      <c r="D70" s="805">
        <f t="shared" ref="D70:E70" si="111">FR81</f>
        <v>1</v>
      </c>
      <c r="E70" s="805">
        <f t="shared" si="111"/>
        <v>2</v>
      </c>
      <c r="F70" s="804" t="str">
        <f>'Schedule | 2 Division'!O44</f>
        <v>TSA White</v>
      </c>
      <c r="G70" s="803" t="str">
        <f t="shared" si="12"/>
        <v/>
      </c>
      <c r="H70" s="806" t="str">
        <f t="shared" si="13"/>
        <v>TSA White</v>
      </c>
      <c r="I70" s="692" t="str">
        <f t="shared" si="14"/>
        <v>Aterion Esports</v>
      </c>
      <c r="J70" s="807" t="str">
        <f t="shared" si="15"/>
        <v/>
      </c>
      <c r="K70" s="733"/>
      <c r="L70" s="717"/>
      <c r="M70" s="66"/>
      <c r="N70" s="645" t="s">
        <v>401</v>
      </c>
      <c r="O70" s="722" t="s">
        <v>460</v>
      </c>
      <c r="P70" s="405" t="s">
        <v>742</v>
      </c>
      <c r="Q70" s="92"/>
      <c r="R70" s="374"/>
      <c r="S70" s="375"/>
      <c r="T70" s="374"/>
      <c r="U70" s="405" t="s">
        <v>368</v>
      </c>
      <c r="V70" s="722" t="s">
        <v>426</v>
      </c>
      <c r="W70" s="682" t="s">
        <v>400</v>
      </c>
      <c r="X70" s="717"/>
      <c r="Y70" s="66"/>
      <c r="Z70" s="645" t="s">
        <v>418</v>
      </c>
      <c r="AA70" s="722" t="s">
        <v>769</v>
      </c>
      <c r="AB70" s="405" t="s">
        <v>400</v>
      </c>
      <c r="AC70" s="92"/>
      <c r="AD70" s="374"/>
      <c r="AE70" s="375"/>
      <c r="AF70" s="374"/>
      <c r="AG70" s="405" t="s">
        <v>342</v>
      </c>
      <c r="AH70" s="722" t="s">
        <v>770</v>
      </c>
      <c r="AI70" s="682" t="s">
        <v>391</v>
      </c>
      <c r="AJ70" s="717"/>
      <c r="AK70" s="66"/>
      <c r="AL70" s="645" t="s">
        <v>384</v>
      </c>
      <c r="AM70" s="723" t="s">
        <v>477</v>
      </c>
      <c r="AN70" s="405" t="s">
        <v>362</v>
      </c>
      <c r="AO70" s="92"/>
      <c r="AP70" s="374"/>
      <c r="AQ70" s="375"/>
      <c r="AR70" s="374"/>
      <c r="AS70" s="405" t="s">
        <v>317</v>
      </c>
      <c r="AT70" s="722" t="s">
        <v>460</v>
      </c>
      <c r="AU70" s="682" t="s">
        <v>439</v>
      </c>
      <c r="AV70" s="717"/>
      <c r="AW70" s="66"/>
      <c r="AX70" s="645" t="s">
        <v>400</v>
      </c>
      <c r="AY70" s="722" t="s">
        <v>779</v>
      </c>
      <c r="AZ70" s="405" t="s">
        <v>399</v>
      </c>
      <c r="BA70" s="92"/>
      <c r="BB70" s="374"/>
      <c r="BC70" s="375"/>
      <c r="BD70" s="374"/>
      <c r="BE70" s="405" t="s">
        <v>343</v>
      </c>
      <c r="BF70" s="723" t="s">
        <v>461</v>
      </c>
      <c r="BG70" s="682" t="s">
        <v>401</v>
      </c>
      <c r="BH70" s="717"/>
      <c r="BI70" s="66"/>
      <c r="BJ70" s="645" t="s">
        <v>354</v>
      </c>
      <c r="BK70" s="722" t="s">
        <v>344</v>
      </c>
      <c r="BL70" s="405" t="s">
        <v>387</v>
      </c>
      <c r="BM70" s="92"/>
      <c r="BN70" s="374"/>
      <c r="BO70" s="375"/>
      <c r="BP70" s="374"/>
      <c r="BQ70" s="405" t="s">
        <v>375</v>
      </c>
      <c r="BR70" s="722" t="s">
        <v>771</v>
      </c>
      <c r="BS70" s="682" t="s">
        <v>434</v>
      </c>
      <c r="BT70" s="717"/>
      <c r="BU70" s="66"/>
      <c r="BV70" s="802" t="s">
        <v>362</v>
      </c>
      <c r="BW70" s="722" t="s">
        <v>480</v>
      </c>
      <c r="BX70" s="405" t="s">
        <v>395</v>
      </c>
      <c r="BY70" s="92"/>
      <c r="BZ70" s="374"/>
      <c r="CA70" s="375"/>
      <c r="CB70" s="374"/>
      <c r="CC70" s="405" t="s">
        <v>337</v>
      </c>
      <c r="CD70" s="722" t="s">
        <v>482</v>
      </c>
      <c r="CE70" s="682" t="s">
        <v>389</v>
      </c>
      <c r="CF70" s="717"/>
      <c r="CG70" s="66"/>
      <c r="CH70" s="645" t="s">
        <v>377</v>
      </c>
      <c r="CI70" s="722" t="s">
        <v>479</v>
      </c>
      <c r="CJ70" s="405" t="s">
        <v>377</v>
      </c>
      <c r="CK70" s="92"/>
      <c r="CL70" s="374"/>
      <c r="CM70" s="375"/>
      <c r="CN70" s="374"/>
      <c r="CO70" s="405" t="s">
        <v>434</v>
      </c>
      <c r="CP70" s="722" t="s">
        <v>768</v>
      </c>
      <c r="CQ70" s="682" t="s">
        <v>401</v>
      </c>
      <c r="CR70" s="717"/>
      <c r="CS70" s="66"/>
      <c r="CT70" s="645" t="s">
        <v>373</v>
      </c>
      <c r="CU70" s="723" t="s">
        <v>461</v>
      </c>
      <c r="CV70" s="405" t="s">
        <v>742</v>
      </c>
      <c r="CW70" s="92"/>
      <c r="CX70" s="374"/>
      <c r="CY70" s="375"/>
      <c r="CZ70" s="374"/>
      <c r="DA70" s="405" t="s">
        <v>342</v>
      </c>
      <c r="DB70" s="722" t="s">
        <v>787</v>
      </c>
      <c r="DC70" s="682" t="s">
        <v>343</v>
      </c>
      <c r="DD70" s="717"/>
      <c r="DE70" s="66"/>
      <c r="DF70" s="645" t="s">
        <v>432</v>
      </c>
      <c r="DG70" s="722" t="s">
        <v>770</v>
      </c>
      <c r="DH70" s="405" t="s">
        <v>404</v>
      </c>
      <c r="DI70" s="92"/>
      <c r="DJ70" s="374"/>
      <c r="DK70" s="374"/>
      <c r="DL70" s="55"/>
      <c r="DM70" s="405" t="s">
        <v>343</v>
      </c>
      <c r="DN70" s="722" t="s">
        <v>419</v>
      </c>
      <c r="DO70" s="682" t="s">
        <v>387</v>
      </c>
      <c r="DP70" s="717"/>
      <c r="DQ70" s="66"/>
      <c r="DR70" s="645" t="s">
        <v>389</v>
      </c>
      <c r="DS70" s="722" t="s">
        <v>345</v>
      </c>
      <c r="DT70" s="405" t="s">
        <v>352</v>
      </c>
      <c r="DU70" s="92"/>
      <c r="DV70" s="374"/>
      <c r="DW70" s="374"/>
      <c r="DX70" s="55"/>
      <c r="DY70" s="405" t="s">
        <v>343</v>
      </c>
      <c r="DZ70" s="722" t="s">
        <v>786</v>
      </c>
      <c r="EA70" s="682" t="s">
        <v>384</v>
      </c>
      <c r="EB70" s="717"/>
      <c r="EC70" s="66"/>
      <c r="ED70" s="645" t="s">
        <v>368</v>
      </c>
      <c r="EE70" s="722" t="s">
        <v>639</v>
      </c>
      <c r="EF70" s="405" t="s">
        <v>348</v>
      </c>
      <c r="EG70" s="92"/>
      <c r="EH70" s="374"/>
      <c r="EI70" s="374"/>
      <c r="EJ70" s="55"/>
      <c r="EK70" s="405" t="s">
        <v>346</v>
      </c>
      <c r="EL70" s="722" t="s">
        <v>481</v>
      </c>
      <c r="EM70" s="682" t="s">
        <v>401</v>
      </c>
      <c r="EN70" s="717"/>
      <c r="EO70" s="66"/>
      <c r="EP70" s="645" t="s">
        <v>414</v>
      </c>
      <c r="EQ70" s="722" t="s">
        <v>482</v>
      </c>
      <c r="ER70" s="405" t="s">
        <v>342</v>
      </c>
      <c r="ES70" s="92"/>
      <c r="ET70" s="374"/>
      <c r="EU70" s="374"/>
      <c r="EV70" s="55"/>
      <c r="EW70" s="405" t="s">
        <v>384</v>
      </c>
      <c r="EX70" s="722" t="s">
        <v>431</v>
      </c>
      <c r="EY70" s="682" t="s">
        <v>325</v>
      </c>
      <c r="EZ70" s="717"/>
      <c r="FA70" s="66"/>
      <c r="FB70" s="645" t="s">
        <v>328</v>
      </c>
      <c r="FC70" s="722" t="s">
        <v>425</v>
      </c>
      <c r="FD70" s="405" t="s">
        <v>341</v>
      </c>
      <c r="FE70" s="92"/>
      <c r="FF70" s="374"/>
      <c r="FG70" s="374"/>
      <c r="FH70" s="55"/>
      <c r="FI70" s="405" t="s">
        <v>405</v>
      </c>
      <c r="FJ70" s="722" t="s">
        <v>785</v>
      </c>
      <c r="FK70" s="682" t="s">
        <v>379</v>
      </c>
      <c r="FL70" s="717"/>
      <c r="FM70" s="66"/>
      <c r="FN70" s="645" t="s">
        <v>384</v>
      </c>
      <c r="FO70" s="722" t="s">
        <v>481</v>
      </c>
      <c r="FP70" s="405" t="s">
        <v>405</v>
      </c>
      <c r="FQ70" s="92"/>
      <c r="FR70" s="374"/>
      <c r="FS70" s="374"/>
      <c r="FT70" s="55"/>
      <c r="FU70" s="405" t="s">
        <v>346</v>
      </c>
      <c r="FV70" s="242" t="s">
        <v>774</v>
      </c>
      <c r="FW70" s="682" t="s">
        <v>369</v>
      </c>
      <c r="FX70" s="717"/>
    </row>
    <row r="71">
      <c r="A71" s="808"/>
      <c r="B71" s="808"/>
      <c r="C71" s="808"/>
      <c r="D71" s="808"/>
      <c r="E71" s="808"/>
      <c r="F71" s="808"/>
      <c r="G71" s="732"/>
      <c r="H71" s="732"/>
      <c r="I71" s="732"/>
      <c r="J71" s="733"/>
      <c r="K71" s="733"/>
      <c r="L71" s="717"/>
      <c r="M71" s="725">
        <v>2.0</v>
      </c>
      <c r="N71" s="726" t="s">
        <v>325</v>
      </c>
      <c r="O71" s="727" t="s">
        <v>370</v>
      </c>
      <c r="P71" s="728" t="s">
        <v>389</v>
      </c>
      <c r="Q71" s="729" t="s">
        <v>321</v>
      </c>
      <c r="R71" s="787" t="s">
        <v>319</v>
      </c>
      <c r="S71" s="788" t="s">
        <v>320</v>
      </c>
      <c r="T71" s="728" t="s">
        <v>318</v>
      </c>
      <c r="U71" s="728" t="s">
        <v>327</v>
      </c>
      <c r="V71" s="727" t="s">
        <v>782</v>
      </c>
      <c r="W71" s="729" t="s">
        <v>373</v>
      </c>
      <c r="X71" s="717"/>
      <c r="Y71" s="725">
        <v>2.0</v>
      </c>
      <c r="Z71" s="726" t="s">
        <v>354</v>
      </c>
      <c r="AA71" s="727" t="s">
        <v>435</v>
      </c>
      <c r="AB71" s="728" t="s">
        <v>389</v>
      </c>
      <c r="AC71" s="729" t="s">
        <v>318</v>
      </c>
      <c r="AD71" s="787" t="s">
        <v>320</v>
      </c>
      <c r="AE71" s="788" t="s">
        <v>319</v>
      </c>
      <c r="AF71" s="728" t="s">
        <v>321</v>
      </c>
      <c r="AG71" s="728" t="s">
        <v>361</v>
      </c>
      <c r="AH71" s="727" t="s">
        <v>417</v>
      </c>
      <c r="AI71" s="729" t="s">
        <v>324</v>
      </c>
      <c r="AJ71" s="717"/>
      <c r="AK71" s="725">
        <v>2.0</v>
      </c>
      <c r="AL71" s="726" t="s">
        <v>327</v>
      </c>
      <c r="AM71" s="722" t="s">
        <v>479</v>
      </c>
      <c r="AN71" s="728" t="s">
        <v>328</v>
      </c>
      <c r="AO71" s="729" t="s">
        <v>318</v>
      </c>
      <c r="AP71" s="787" t="s">
        <v>320</v>
      </c>
      <c r="AQ71" s="788" t="s">
        <v>319</v>
      </c>
      <c r="AR71" s="728" t="s">
        <v>321</v>
      </c>
      <c r="AS71" s="728" t="s">
        <v>384</v>
      </c>
      <c r="AT71" s="727" t="s">
        <v>316</v>
      </c>
      <c r="AU71" s="729" t="s">
        <v>325</v>
      </c>
      <c r="AV71" s="717"/>
      <c r="AW71" s="725">
        <v>2.0</v>
      </c>
      <c r="AX71" s="726" t="s">
        <v>327</v>
      </c>
      <c r="AY71" s="727" t="s">
        <v>390</v>
      </c>
      <c r="AZ71" s="728" t="s">
        <v>328</v>
      </c>
      <c r="BA71" s="729" t="s">
        <v>321</v>
      </c>
      <c r="BB71" s="787" t="s">
        <v>320</v>
      </c>
      <c r="BC71" s="788" t="s">
        <v>319</v>
      </c>
      <c r="BD71" s="405" t="s">
        <v>318</v>
      </c>
      <c r="BE71" s="728" t="s">
        <v>317</v>
      </c>
      <c r="BF71" s="722" t="s">
        <v>461</v>
      </c>
      <c r="BG71" s="729" t="s">
        <v>434</v>
      </c>
      <c r="BH71" s="717"/>
      <c r="BI71" s="725">
        <v>2.0</v>
      </c>
      <c r="BJ71" s="726" t="s">
        <v>325</v>
      </c>
      <c r="BK71" s="727" t="s">
        <v>460</v>
      </c>
      <c r="BL71" s="728" t="s">
        <v>317</v>
      </c>
      <c r="BM71" s="729" t="s">
        <v>318</v>
      </c>
      <c r="BN71" s="787" t="s">
        <v>319</v>
      </c>
      <c r="BO71" s="788" t="s">
        <v>320</v>
      </c>
      <c r="BP71" s="728" t="s">
        <v>321</v>
      </c>
      <c r="BQ71" s="728" t="s">
        <v>352</v>
      </c>
      <c r="BR71" s="727" t="s">
        <v>481</v>
      </c>
      <c r="BS71" s="729" t="s">
        <v>324</v>
      </c>
      <c r="BT71" s="717"/>
      <c r="BU71" s="725">
        <v>2.0</v>
      </c>
      <c r="BV71" s="726" t="s">
        <v>328</v>
      </c>
      <c r="BW71" s="727" t="s">
        <v>476</v>
      </c>
      <c r="BX71" s="728" t="s">
        <v>400</v>
      </c>
      <c r="BY71" s="729" t="s">
        <v>321</v>
      </c>
      <c r="BZ71" s="787" t="s">
        <v>320</v>
      </c>
      <c r="CA71" s="788" t="s">
        <v>319</v>
      </c>
      <c r="CB71" s="728" t="s">
        <v>318</v>
      </c>
      <c r="CC71" s="728" t="s">
        <v>328</v>
      </c>
      <c r="CD71" s="727" t="s">
        <v>479</v>
      </c>
      <c r="CE71" s="729" t="s">
        <v>315</v>
      </c>
      <c r="CF71" s="717"/>
      <c r="CG71" s="725">
        <v>2.0</v>
      </c>
      <c r="CH71" s="726" t="s">
        <v>337</v>
      </c>
      <c r="CI71" s="727" t="s">
        <v>479</v>
      </c>
      <c r="CJ71" s="728" t="s">
        <v>328</v>
      </c>
      <c r="CK71" s="729" t="s">
        <v>318</v>
      </c>
      <c r="CL71" s="787" t="s">
        <v>320</v>
      </c>
      <c r="CM71" s="788" t="s">
        <v>319</v>
      </c>
      <c r="CN71" s="728" t="s">
        <v>321</v>
      </c>
      <c r="CO71" s="728" t="s">
        <v>396</v>
      </c>
      <c r="CP71" s="727" t="s">
        <v>768</v>
      </c>
      <c r="CQ71" s="729" t="s">
        <v>317</v>
      </c>
      <c r="CR71" s="717"/>
      <c r="CS71" s="725">
        <v>2.0</v>
      </c>
      <c r="CT71" s="726" t="s">
        <v>328</v>
      </c>
      <c r="CU71" s="722" t="s">
        <v>459</v>
      </c>
      <c r="CV71" s="728" t="s">
        <v>315</v>
      </c>
      <c r="CW71" s="729" t="s">
        <v>318</v>
      </c>
      <c r="CX71" s="787" t="s">
        <v>320</v>
      </c>
      <c r="CY71" s="788" t="s">
        <v>319</v>
      </c>
      <c r="CZ71" s="728" t="s">
        <v>321</v>
      </c>
      <c r="DA71" s="728" t="s">
        <v>395</v>
      </c>
      <c r="DB71" s="727" t="s">
        <v>417</v>
      </c>
      <c r="DC71" s="729" t="s">
        <v>324</v>
      </c>
      <c r="DD71" s="717"/>
      <c r="DE71" s="725">
        <v>2.0</v>
      </c>
      <c r="DF71" s="726" t="s">
        <v>396</v>
      </c>
      <c r="DG71" s="727" t="s">
        <v>767</v>
      </c>
      <c r="DH71" s="728" t="s">
        <v>317</v>
      </c>
      <c r="DI71" s="729" t="s">
        <v>318</v>
      </c>
      <c r="DJ71" s="730" t="s">
        <v>320</v>
      </c>
      <c r="DK71" s="730" t="s">
        <v>319</v>
      </c>
      <c r="DL71" s="726" t="s">
        <v>321</v>
      </c>
      <c r="DM71" s="728" t="s">
        <v>434</v>
      </c>
      <c r="DN71" s="727" t="s">
        <v>768</v>
      </c>
      <c r="DO71" s="729" t="s">
        <v>324</v>
      </c>
      <c r="DP71" s="717"/>
      <c r="DQ71" s="725">
        <v>2.0</v>
      </c>
      <c r="DR71" s="726" t="s">
        <v>342</v>
      </c>
      <c r="DS71" s="727" t="s">
        <v>773</v>
      </c>
      <c r="DT71" s="728" t="s">
        <v>334</v>
      </c>
      <c r="DU71" s="729" t="s">
        <v>321</v>
      </c>
      <c r="DV71" s="730" t="s">
        <v>320</v>
      </c>
      <c r="DW71" s="730" t="s">
        <v>319</v>
      </c>
      <c r="DX71" s="726" t="s">
        <v>318</v>
      </c>
      <c r="DY71" s="728" t="s">
        <v>343</v>
      </c>
      <c r="DZ71" s="789" t="s">
        <v>786</v>
      </c>
      <c r="EA71" s="729" t="s">
        <v>434</v>
      </c>
      <c r="EB71" s="717"/>
      <c r="EC71" s="725">
        <v>2.0</v>
      </c>
      <c r="ED71" s="726" t="s">
        <v>324</v>
      </c>
      <c r="EE71" s="727" t="s">
        <v>435</v>
      </c>
      <c r="EF71" s="728" t="s">
        <v>387</v>
      </c>
      <c r="EG71" s="729" t="s">
        <v>321</v>
      </c>
      <c r="EH71" s="730" t="s">
        <v>320</v>
      </c>
      <c r="EI71" s="730" t="s">
        <v>319</v>
      </c>
      <c r="EJ71" s="726" t="s">
        <v>318</v>
      </c>
      <c r="EK71" s="728" t="s">
        <v>327</v>
      </c>
      <c r="EL71" s="727" t="s">
        <v>431</v>
      </c>
      <c r="EM71" s="729" t="s">
        <v>315</v>
      </c>
      <c r="EN71" s="717"/>
      <c r="EO71" s="725">
        <v>2.0</v>
      </c>
      <c r="EP71" s="726" t="s">
        <v>369</v>
      </c>
      <c r="EQ71" s="727" t="s">
        <v>477</v>
      </c>
      <c r="ER71" s="728" t="s">
        <v>341</v>
      </c>
      <c r="ES71" s="729" t="s">
        <v>318</v>
      </c>
      <c r="ET71" s="730" t="s">
        <v>319</v>
      </c>
      <c r="EU71" s="730" t="s">
        <v>320</v>
      </c>
      <c r="EV71" s="726" t="s">
        <v>321</v>
      </c>
      <c r="EW71" s="728" t="s">
        <v>328</v>
      </c>
      <c r="EX71" s="727" t="s">
        <v>431</v>
      </c>
      <c r="EY71" s="729" t="s">
        <v>324</v>
      </c>
      <c r="EZ71" s="717"/>
      <c r="FA71" s="725">
        <v>2.0</v>
      </c>
      <c r="FB71" s="726" t="s">
        <v>342</v>
      </c>
      <c r="FC71" s="727" t="s">
        <v>435</v>
      </c>
      <c r="FD71" s="728" t="s">
        <v>379</v>
      </c>
      <c r="FE71" s="729" t="s">
        <v>321</v>
      </c>
      <c r="FF71" s="730" t="s">
        <v>319</v>
      </c>
      <c r="FG71" s="730" t="s">
        <v>320</v>
      </c>
      <c r="FH71" s="726" t="s">
        <v>318</v>
      </c>
      <c r="FI71" s="728" t="s">
        <v>317</v>
      </c>
      <c r="FJ71" s="727" t="s">
        <v>419</v>
      </c>
      <c r="FK71" s="729" t="s">
        <v>324</v>
      </c>
      <c r="FL71" s="717"/>
      <c r="FM71" s="725">
        <v>2.0</v>
      </c>
      <c r="FN71" s="726" t="s">
        <v>400</v>
      </c>
      <c r="FO71" s="727" t="s">
        <v>476</v>
      </c>
      <c r="FP71" s="728" t="s">
        <v>325</v>
      </c>
      <c r="FQ71" s="729" t="s">
        <v>318</v>
      </c>
      <c r="FR71" s="730" t="s">
        <v>319</v>
      </c>
      <c r="FS71" s="730" t="s">
        <v>320</v>
      </c>
      <c r="FT71" s="726" t="s">
        <v>321</v>
      </c>
      <c r="FU71" s="728" t="s">
        <v>411</v>
      </c>
      <c r="FV71" s="384" t="s">
        <v>461</v>
      </c>
      <c r="FW71" s="729" t="s">
        <v>331</v>
      </c>
      <c r="FX71" s="717"/>
    </row>
    <row r="72">
      <c r="A72" s="732"/>
      <c r="B72" s="732"/>
      <c r="C72" s="732"/>
      <c r="D72" s="732"/>
      <c r="E72" s="732"/>
      <c r="F72" s="732"/>
      <c r="G72" s="732"/>
      <c r="H72" s="732"/>
      <c r="I72" s="732"/>
      <c r="J72" s="733"/>
      <c r="K72" s="733"/>
      <c r="L72" s="717"/>
      <c r="M72" s="66"/>
      <c r="N72" s="645" t="s">
        <v>331</v>
      </c>
      <c r="O72" s="722" t="s">
        <v>460</v>
      </c>
      <c r="P72" s="405" t="s">
        <v>317</v>
      </c>
      <c r="Q72" s="92"/>
      <c r="S72" s="92"/>
      <c r="U72" s="405" t="s">
        <v>334</v>
      </c>
      <c r="V72" s="722" t="s">
        <v>461</v>
      </c>
      <c r="W72" s="682" t="s">
        <v>315</v>
      </c>
      <c r="X72" s="717"/>
      <c r="Y72" s="66"/>
      <c r="Z72" s="645" t="s">
        <v>328</v>
      </c>
      <c r="AA72" s="722" t="s">
        <v>775</v>
      </c>
      <c r="AB72" s="405" t="s">
        <v>342</v>
      </c>
      <c r="AC72" s="92"/>
      <c r="AE72" s="92"/>
      <c r="AG72" s="405" t="s">
        <v>325</v>
      </c>
      <c r="AH72" s="722" t="s">
        <v>767</v>
      </c>
      <c r="AI72" s="682" t="s">
        <v>368</v>
      </c>
      <c r="AJ72" s="717"/>
      <c r="AK72" s="66"/>
      <c r="AL72" s="645" t="s">
        <v>315</v>
      </c>
      <c r="AM72" s="722" t="s">
        <v>482</v>
      </c>
      <c r="AN72" s="405" t="s">
        <v>387</v>
      </c>
      <c r="AO72" s="92"/>
      <c r="AQ72" s="92"/>
      <c r="AS72" s="405" t="s">
        <v>342</v>
      </c>
      <c r="AT72" s="722" t="s">
        <v>344</v>
      </c>
      <c r="AU72" s="682" t="s">
        <v>324</v>
      </c>
      <c r="AV72" s="717"/>
      <c r="AW72" s="66"/>
      <c r="AX72" s="645" t="s">
        <v>324</v>
      </c>
      <c r="AY72" s="722" t="s">
        <v>773</v>
      </c>
      <c r="AZ72" s="405" t="s">
        <v>325</v>
      </c>
      <c r="BA72" s="92"/>
      <c r="BC72" s="92"/>
      <c r="BE72" s="405" t="s">
        <v>322</v>
      </c>
      <c r="BF72" s="722" t="s">
        <v>457</v>
      </c>
      <c r="BG72" s="682" t="s">
        <v>334</v>
      </c>
      <c r="BH72" s="717"/>
      <c r="BI72" s="66"/>
      <c r="BJ72" s="645" t="s">
        <v>408</v>
      </c>
      <c r="BK72" s="722" t="s">
        <v>316</v>
      </c>
      <c r="BL72" s="405" t="s">
        <v>327</v>
      </c>
      <c r="BM72" s="92"/>
      <c r="BO72" s="92"/>
      <c r="BQ72" s="405" t="s">
        <v>369</v>
      </c>
      <c r="BR72" s="722" t="s">
        <v>480</v>
      </c>
      <c r="BS72" s="682" t="s">
        <v>342</v>
      </c>
      <c r="BT72" s="717"/>
      <c r="BU72" s="66"/>
      <c r="BV72" s="645" t="s">
        <v>324</v>
      </c>
      <c r="BW72" s="722" t="s">
        <v>481</v>
      </c>
      <c r="BX72" s="405" t="s">
        <v>342</v>
      </c>
      <c r="BY72" s="92"/>
      <c r="CA72" s="92"/>
      <c r="CC72" s="405" t="s">
        <v>387</v>
      </c>
      <c r="CD72" s="722" t="s">
        <v>482</v>
      </c>
      <c r="CE72" s="682" t="s">
        <v>327</v>
      </c>
      <c r="CF72" s="717"/>
      <c r="CG72" s="66"/>
      <c r="CH72" s="645" t="s">
        <v>325</v>
      </c>
      <c r="CI72" s="722" t="s">
        <v>482</v>
      </c>
      <c r="CJ72" s="405" t="s">
        <v>352</v>
      </c>
      <c r="CK72" s="92"/>
      <c r="CM72" s="92"/>
      <c r="CO72" s="405" t="s">
        <v>342</v>
      </c>
      <c r="CP72" s="722" t="s">
        <v>785</v>
      </c>
      <c r="CQ72" s="682" t="s">
        <v>324</v>
      </c>
      <c r="CR72" s="717"/>
      <c r="CS72" s="66"/>
      <c r="CT72" s="645" t="s">
        <v>327</v>
      </c>
      <c r="CU72" s="722" t="s">
        <v>774</v>
      </c>
      <c r="CV72" s="405" t="s">
        <v>439</v>
      </c>
      <c r="CW72" s="92"/>
      <c r="CY72" s="92"/>
      <c r="DA72" s="405" t="s">
        <v>400</v>
      </c>
      <c r="DB72" s="722" t="s">
        <v>767</v>
      </c>
      <c r="DC72" s="682" t="s">
        <v>317</v>
      </c>
      <c r="DD72" s="717"/>
      <c r="DE72" s="66"/>
      <c r="DF72" s="645" t="s">
        <v>337</v>
      </c>
      <c r="DG72" s="722" t="s">
        <v>463</v>
      </c>
      <c r="DH72" s="405" t="s">
        <v>375</v>
      </c>
      <c r="DI72" s="92"/>
      <c r="DL72" s="55"/>
      <c r="DM72" s="405" t="s">
        <v>384</v>
      </c>
      <c r="DN72" s="722" t="s">
        <v>428</v>
      </c>
      <c r="DO72" s="682" t="s">
        <v>327</v>
      </c>
      <c r="DP72" s="717"/>
      <c r="DQ72" s="66"/>
      <c r="DR72" s="645" t="s">
        <v>317</v>
      </c>
      <c r="DS72" s="722" t="s">
        <v>345</v>
      </c>
      <c r="DT72" s="405" t="s">
        <v>315</v>
      </c>
      <c r="DU72" s="92"/>
      <c r="DX72" s="55"/>
      <c r="DY72" s="405" t="s">
        <v>483</v>
      </c>
      <c r="DZ72" s="782" t="s">
        <v>316</v>
      </c>
      <c r="EA72" s="682" t="s">
        <v>324</v>
      </c>
      <c r="EB72" s="717"/>
      <c r="EC72" s="66"/>
      <c r="ED72" s="645" t="s">
        <v>342</v>
      </c>
      <c r="EE72" s="722" t="s">
        <v>430</v>
      </c>
      <c r="EF72" s="405" t="s">
        <v>465</v>
      </c>
      <c r="EG72" s="92"/>
      <c r="EJ72" s="55"/>
      <c r="EK72" s="405" t="s">
        <v>400</v>
      </c>
      <c r="EL72" s="722" t="s">
        <v>476</v>
      </c>
      <c r="EM72" s="682" t="s">
        <v>369</v>
      </c>
      <c r="EN72" s="717"/>
      <c r="EO72" s="66"/>
      <c r="EP72" s="645" t="s">
        <v>337</v>
      </c>
      <c r="EQ72" s="722" t="s">
        <v>473</v>
      </c>
      <c r="ER72" s="405" t="s">
        <v>382</v>
      </c>
      <c r="ES72" s="92"/>
      <c r="EV72" s="55"/>
      <c r="EW72" s="405" t="s">
        <v>331</v>
      </c>
      <c r="EX72" s="722" t="s">
        <v>476</v>
      </c>
      <c r="EY72" s="682" t="s">
        <v>342</v>
      </c>
      <c r="EZ72" s="717"/>
      <c r="FA72" s="66"/>
      <c r="FB72" s="645" t="s">
        <v>384</v>
      </c>
      <c r="FC72" s="722" t="s">
        <v>430</v>
      </c>
      <c r="FD72" s="405" t="s">
        <v>369</v>
      </c>
      <c r="FE72" s="92"/>
      <c r="FH72" s="55"/>
      <c r="FI72" s="405" t="s">
        <v>387</v>
      </c>
      <c r="FJ72" s="722" t="s">
        <v>785</v>
      </c>
      <c r="FK72" s="682" t="s">
        <v>327</v>
      </c>
      <c r="FL72" s="717"/>
      <c r="FM72" s="66"/>
      <c r="FN72" s="645" t="s">
        <v>343</v>
      </c>
      <c r="FO72" s="722" t="s">
        <v>431</v>
      </c>
      <c r="FP72" s="405" t="s">
        <v>384</v>
      </c>
      <c r="FQ72" s="92"/>
      <c r="FT72" s="55"/>
      <c r="FU72" s="405" t="s">
        <v>341</v>
      </c>
      <c r="FV72" s="242" t="s">
        <v>459</v>
      </c>
      <c r="FW72" s="682" t="s">
        <v>328</v>
      </c>
      <c r="FX72" s="717"/>
    </row>
    <row r="73">
      <c r="A73" s="732"/>
      <c r="B73" s="732"/>
      <c r="C73" s="732"/>
      <c r="D73" s="732"/>
      <c r="E73" s="732"/>
      <c r="F73" s="733"/>
      <c r="G73" s="733"/>
      <c r="H73" s="732"/>
      <c r="I73" s="732"/>
      <c r="J73" s="733"/>
      <c r="K73" s="733"/>
      <c r="L73" s="717"/>
      <c r="M73" s="66"/>
      <c r="N73" s="645" t="s">
        <v>324</v>
      </c>
      <c r="O73" s="722" t="s">
        <v>344</v>
      </c>
      <c r="P73" s="405" t="s">
        <v>352</v>
      </c>
      <c r="Q73" s="92"/>
      <c r="S73" s="92"/>
      <c r="U73" s="405" t="s">
        <v>408</v>
      </c>
      <c r="V73" s="722" t="s">
        <v>426</v>
      </c>
      <c r="W73" s="682" t="s">
        <v>342</v>
      </c>
      <c r="X73" s="717"/>
      <c r="Y73" s="66"/>
      <c r="Z73" s="645" t="s">
        <v>369</v>
      </c>
      <c r="AA73" s="722" t="s">
        <v>778</v>
      </c>
      <c r="AB73" s="405" t="s">
        <v>377</v>
      </c>
      <c r="AC73" s="92"/>
      <c r="AE73" s="92"/>
      <c r="AG73" s="405" t="s">
        <v>373</v>
      </c>
      <c r="AH73" s="722" t="s">
        <v>425</v>
      </c>
      <c r="AI73" s="682" t="s">
        <v>317</v>
      </c>
      <c r="AJ73" s="717"/>
      <c r="AK73" s="66"/>
      <c r="AL73" s="645" t="s">
        <v>373</v>
      </c>
      <c r="AM73" s="722" t="s">
        <v>475</v>
      </c>
      <c r="AN73" s="405" t="s">
        <v>331</v>
      </c>
      <c r="AO73" s="92"/>
      <c r="AQ73" s="92"/>
      <c r="AS73" s="405" t="s">
        <v>374</v>
      </c>
      <c r="AT73" s="722" t="s">
        <v>780</v>
      </c>
      <c r="AU73" s="682" t="s">
        <v>369</v>
      </c>
      <c r="AV73" s="717"/>
      <c r="AW73" s="66"/>
      <c r="AX73" s="645" t="s">
        <v>342</v>
      </c>
      <c r="AY73" s="722" t="s">
        <v>345</v>
      </c>
      <c r="AZ73" s="405" t="s">
        <v>348</v>
      </c>
      <c r="BA73" s="92"/>
      <c r="BC73" s="92"/>
      <c r="BE73" s="405" t="s">
        <v>315</v>
      </c>
      <c r="BF73" s="722" t="s">
        <v>459</v>
      </c>
      <c r="BG73" s="682" t="s">
        <v>387</v>
      </c>
      <c r="BH73" s="717"/>
      <c r="BI73" s="66"/>
      <c r="BJ73" s="645" t="s">
        <v>328</v>
      </c>
      <c r="BK73" s="722" t="s">
        <v>780</v>
      </c>
      <c r="BL73" s="405" t="s">
        <v>315</v>
      </c>
      <c r="BM73" s="92"/>
      <c r="BO73" s="92"/>
      <c r="BQ73" s="405" t="s">
        <v>400</v>
      </c>
      <c r="BR73" s="722" t="s">
        <v>476</v>
      </c>
      <c r="BS73" s="682" t="s">
        <v>334</v>
      </c>
      <c r="BT73" s="717"/>
      <c r="BU73" s="66"/>
      <c r="BV73" s="645" t="s">
        <v>325</v>
      </c>
      <c r="BW73" s="722" t="s">
        <v>480</v>
      </c>
      <c r="BX73" s="405" t="s">
        <v>389</v>
      </c>
      <c r="BY73" s="92"/>
      <c r="CA73" s="92"/>
      <c r="CC73" s="405" t="s">
        <v>343</v>
      </c>
      <c r="CD73" s="722" t="s">
        <v>475</v>
      </c>
      <c r="CE73" s="682" t="s">
        <v>368</v>
      </c>
      <c r="CF73" s="717"/>
      <c r="CG73" s="66"/>
      <c r="CH73" s="645" t="s">
        <v>327</v>
      </c>
      <c r="CI73" s="722" t="s">
        <v>475</v>
      </c>
      <c r="CJ73" s="405" t="s">
        <v>343</v>
      </c>
      <c r="CK73" s="92"/>
      <c r="CM73" s="92"/>
      <c r="CO73" s="405" t="s">
        <v>384</v>
      </c>
      <c r="CP73" s="722" t="s">
        <v>428</v>
      </c>
      <c r="CQ73" s="682" t="s">
        <v>315</v>
      </c>
      <c r="CR73" s="717"/>
      <c r="CS73" s="66"/>
      <c r="CT73" s="645" t="s">
        <v>325</v>
      </c>
      <c r="CU73" s="722" t="s">
        <v>457</v>
      </c>
      <c r="CV73" s="405" t="s">
        <v>369</v>
      </c>
      <c r="CW73" s="92"/>
      <c r="CY73" s="92"/>
      <c r="DA73" s="405" t="s">
        <v>354</v>
      </c>
      <c r="DB73" s="722" t="s">
        <v>425</v>
      </c>
      <c r="DC73" s="682" t="s">
        <v>322</v>
      </c>
      <c r="DD73" s="717"/>
      <c r="DE73" s="66"/>
      <c r="DF73" s="645" t="s">
        <v>369</v>
      </c>
      <c r="DG73" s="722" t="s">
        <v>417</v>
      </c>
      <c r="DH73" s="405" t="s">
        <v>361</v>
      </c>
      <c r="DI73" s="92"/>
      <c r="DL73" s="55"/>
      <c r="DM73" s="405" t="s">
        <v>343</v>
      </c>
      <c r="DN73" s="722" t="s">
        <v>419</v>
      </c>
      <c r="DO73" s="682" t="s">
        <v>342</v>
      </c>
      <c r="DP73" s="717"/>
      <c r="DQ73" s="66"/>
      <c r="DR73" s="645" t="s">
        <v>327</v>
      </c>
      <c r="DS73" s="722" t="s">
        <v>779</v>
      </c>
      <c r="DT73" s="405" t="s">
        <v>389</v>
      </c>
      <c r="DU73" s="92"/>
      <c r="DX73" s="55"/>
      <c r="DY73" s="405" t="s">
        <v>373</v>
      </c>
      <c r="DZ73" s="782" t="s">
        <v>780</v>
      </c>
      <c r="EA73" s="682" t="s">
        <v>325</v>
      </c>
      <c r="EB73" s="717"/>
      <c r="EC73" s="66"/>
      <c r="ED73" s="645" t="s">
        <v>328</v>
      </c>
      <c r="EE73" s="722" t="s">
        <v>441</v>
      </c>
      <c r="EF73" s="405" t="s">
        <v>331</v>
      </c>
      <c r="EG73" s="92"/>
      <c r="EJ73" s="55"/>
      <c r="EK73" s="405" t="s">
        <v>389</v>
      </c>
      <c r="EL73" s="722" t="s">
        <v>480</v>
      </c>
      <c r="EM73" s="682" t="s">
        <v>317</v>
      </c>
      <c r="EN73" s="717"/>
      <c r="EO73" s="66"/>
      <c r="EP73" s="645" t="s">
        <v>315</v>
      </c>
      <c r="EQ73" s="722" t="s">
        <v>475</v>
      </c>
      <c r="ER73" s="405" t="s">
        <v>343</v>
      </c>
      <c r="ES73" s="92"/>
      <c r="EV73" s="55"/>
      <c r="EW73" s="405" t="s">
        <v>346</v>
      </c>
      <c r="EX73" s="722" t="s">
        <v>481</v>
      </c>
      <c r="EY73" s="682" t="s">
        <v>317</v>
      </c>
      <c r="EZ73" s="717"/>
      <c r="FA73" s="66"/>
      <c r="FB73" s="645" t="s">
        <v>315</v>
      </c>
      <c r="FC73" s="722" t="s">
        <v>441</v>
      </c>
      <c r="FD73" s="405" t="s">
        <v>343</v>
      </c>
      <c r="FE73" s="92"/>
      <c r="FH73" s="55"/>
      <c r="FI73" s="405" t="s">
        <v>391</v>
      </c>
      <c r="FJ73" s="722" t="s">
        <v>627</v>
      </c>
      <c r="FK73" s="682" t="s">
        <v>341</v>
      </c>
      <c r="FL73" s="717"/>
      <c r="FM73" s="66"/>
      <c r="FN73" s="645" t="s">
        <v>315</v>
      </c>
      <c r="FO73" s="722" t="s">
        <v>481</v>
      </c>
      <c r="FP73" s="405" t="s">
        <v>342</v>
      </c>
      <c r="FQ73" s="92"/>
      <c r="FT73" s="55"/>
      <c r="FU73" s="405" t="s">
        <v>414</v>
      </c>
      <c r="FV73" s="242" t="s">
        <v>463</v>
      </c>
      <c r="FW73" s="682" t="s">
        <v>324</v>
      </c>
      <c r="FX73" s="717"/>
    </row>
    <row r="74">
      <c r="A74" s="732"/>
      <c r="B74" s="732"/>
      <c r="C74" s="732"/>
      <c r="D74" s="732"/>
      <c r="E74" s="732"/>
      <c r="F74" s="733"/>
      <c r="G74" s="733"/>
      <c r="H74" s="732"/>
      <c r="I74" s="732"/>
      <c r="J74" s="733"/>
      <c r="K74" s="733"/>
      <c r="L74" s="717"/>
      <c r="M74" s="66"/>
      <c r="N74" s="645" t="s">
        <v>369</v>
      </c>
      <c r="O74" s="722" t="s">
        <v>316</v>
      </c>
      <c r="P74" s="405" t="s">
        <v>741</v>
      </c>
      <c r="Q74" s="92"/>
      <c r="S74" s="92"/>
      <c r="U74" s="405" t="s">
        <v>405</v>
      </c>
      <c r="V74" s="722" t="s">
        <v>774</v>
      </c>
      <c r="W74" s="682" t="s">
        <v>317</v>
      </c>
      <c r="X74" s="717"/>
      <c r="Y74" s="66"/>
      <c r="Z74" s="645" t="s">
        <v>337</v>
      </c>
      <c r="AA74" s="722" t="s">
        <v>784</v>
      </c>
      <c r="AB74" s="405" t="s">
        <v>391</v>
      </c>
      <c r="AC74" s="92"/>
      <c r="AE74" s="92"/>
      <c r="AG74" s="405" t="s">
        <v>375</v>
      </c>
      <c r="AH74" s="722" t="s">
        <v>463</v>
      </c>
      <c r="AI74" s="682" t="s">
        <v>396</v>
      </c>
      <c r="AJ74" s="717"/>
      <c r="AK74" s="66"/>
      <c r="AL74" s="645" t="s">
        <v>391</v>
      </c>
      <c r="AM74" s="722" t="s">
        <v>473</v>
      </c>
      <c r="AN74" s="405" t="s">
        <v>361</v>
      </c>
      <c r="AO74" s="92"/>
      <c r="AQ74" s="92"/>
      <c r="AS74" s="405" t="s">
        <v>409</v>
      </c>
      <c r="AT74" s="722" t="s">
        <v>370</v>
      </c>
      <c r="AU74" s="682" t="s">
        <v>408</v>
      </c>
      <c r="AV74" s="717"/>
      <c r="AW74" s="66"/>
      <c r="AX74" s="645" t="s">
        <v>414</v>
      </c>
      <c r="AY74" s="722" t="s">
        <v>779</v>
      </c>
      <c r="AZ74" s="405" t="s">
        <v>399</v>
      </c>
      <c r="BA74" s="92"/>
      <c r="BC74" s="92"/>
      <c r="BE74" s="405" t="s">
        <v>439</v>
      </c>
      <c r="BF74" s="722" t="s">
        <v>774</v>
      </c>
      <c r="BG74" s="682" t="s">
        <v>369</v>
      </c>
      <c r="BH74" s="717"/>
      <c r="BI74" s="66"/>
      <c r="BJ74" s="645" t="s">
        <v>384</v>
      </c>
      <c r="BK74" s="722" t="s">
        <v>370</v>
      </c>
      <c r="BL74" s="405" t="s">
        <v>409</v>
      </c>
      <c r="BM74" s="92"/>
      <c r="BO74" s="92"/>
      <c r="BQ74" s="405" t="s">
        <v>362</v>
      </c>
      <c r="BR74" s="722" t="s">
        <v>474</v>
      </c>
      <c r="BS74" s="682" t="s">
        <v>387</v>
      </c>
      <c r="BT74" s="717"/>
      <c r="BU74" s="66"/>
      <c r="BV74" s="645" t="s">
        <v>322</v>
      </c>
      <c r="BW74" s="722" t="s">
        <v>474</v>
      </c>
      <c r="BX74" s="405" t="s">
        <v>373</v>
      </c>
      <c r="BY74" s="92"/>
      <c r="CA74" s="92"/>
      <c r="CC74" s="405" t="s">
        <v>418</v>
      </c>
      <c r="CD74" s="722" t="s">
        <v>473</v>
      </c>
      <c r="CE74" s="682" t="s">
        <v>354</v>
      </c>
      <c r="CF74" s="717"/>
      <c r="CG74" s="66"/>
      <c r="CH74" s="645" t="s">
        <v>334</v>
      </c>
      <c r="CI74" s="722" t="s">
        <v>477</v>
      </c>
      <c r="CJ74" s="405" t="s">
        <v>374</v>
      </c>
      <c r="CK74" s="92"/>
      <c r="CM74" s="92"/>
      <c r="CO74" s="405" t="s">
        <v>400</v>
      </c>
      <c r="CP74" s="722" t="s">
        <v>419</v>
      </c>
      <c r="CQ74" s="682" t="s">
        <v>362</v>
      </c>
      <c r="CR74" s="717"/>
      <c r="CS74" s="66"/>
      <c r="CT74" s="645" t="s">
        <v>19</v>
      </c>
      <c r="CU74" s="722" t="s">
        <v>782</v>
      </c>
      <c r="CV74" s="405" t="s">
        <v>377</v>
      </c>
      <c r="CW74" s="92"/>
      <c r="CY74" s="92"/>
      <c r="DA74" s="405" t="s">
        <v>375</v>
      </c>
      <c r="DB74" s="722" t="s">
        <v>463</v>
      </c>
      <c r="DC74" s="682" t="s">
        <v>343</v>
      </c>
      <c r="DD74" s="717"/>
      <c r="DE74" s="66"/>
      <c r="DF74" s="645" t="s">
        <v>374</v>
      </c>
      <c r="DG74" s="722" t="s">
        <v>784</v>
      </c>
      <c r="DH74" s="405" t="s">
        <v>368</v>
      </c>
      <c r="DI74" s="92"/>
      <c r="DL74" s="55"/>
      <c r="DM74" s="405" t="s">
        <v>402</v>
      </c>
      <c r="DN74" s="722" t="s">
        <v>785</v>
      </c>
      <c r="DO74" s="682" t="s">
        <v>315</v>
      </c>
      <c r="DP74" s="717"/>
      <c r="DQ74" s="66"/>
      <c r="DR74" s="645" t="s">
        <v>382</v>
      </c>
      <c r="DS74" s="722" t="s">
        <v>390</v>
      </c>
      <c r="DT74" s="405" t="s">
        <v>328</v>
      </c>
      <c r="DU74" s="92"/>
      <c r="DX74" s="55"/>
      <c r="DY74" s="405" t="s">
        <v>346</v>
      </c>
      <c r="DZ74" s="782" t="s">
        <v>344</v>
      </c>
      <c r="EA74" s="682" t="s">
        <v>400</v>
      </c>
      <c r="EB74" s="717"/>
      <c r="EC74" s="66"/>
      <c r="ED74" s="645" t="s">
        <v>337</v>
      </c>
      <c r="EE74" s="722" t="s">
        <v>421</v>
      </c>
      <c r="EF74" s="405" t="s">
        <v>377</v>
      </c>
      <c r="EG74" s="92"/>
      <c r="EJ74" s="55"/>
      <c r="EK74" s="405" t="s">
        <v>405</v>
      </c>
      <c r="EL74" s="722" t="s">
        <v>481</v>
      </c>
      <c r="EM74" s="682" t="s">
        <v>322</v>
      </c>
      <c r="EN74" s="717"/>
      <c r="EO74" s="66"/>
      <c r="EP74" s="645" t="s">
        <v>408</v>
      </c>
      <c r="EQ74" s="722" t="s">
        <v>479</v>
      </c>
      <c r="ER74" s="405" t="s">
        <v>377</v>
      </c>
      <c r="ES74" s="92"/>
      <c r="EV74" s="55"/>
      <c r="EW74" s="405" t="s">
        <v>391</v>
      </c>
      <c r="EX74" s="722" t="s">
        <v>474</v>
      </c>
      <c r="EY74" s="682" t="s">
        <v>387</v>
      </c>
      <c r="EZ74" s="717"/>
      <c r="FA74" s="66"/>
      <c r="FB74" s="645" t="s">
        <v>434</v>
      </c>
      <c r="FC74" s="722" t="s">
        <v>421</v>
      </c>
      <c r="FD74" s="405" t="s">
        <v>377</v>
      </c>
      <c r="FE74" s="92"/>
      <c r="FH74" s="55"/>
      <c r="FI74" s="405" t="s">
        <v>401</v>
      </c>
      <c r="FJ74" s="722" t="s">
        <v>428</v>
      </c>
      <c r="FK74" s="682" t="s">
        <v>325</v>
      </c>
      <c r="FL74" s="717"/>
      <c r="FM74" s="66"/>
      <c r="FN74" s="645" t="s">
        <v>742</v>
      </c>
      <c r="FO74" s="722" t="s">
        <v>474</v>
      </c>
      <c r="FP74" s="405" t="s">
        <v>368</v>
      </c>
      <c r="FQ74" s="92"/>
      <c r="FT74" s="55"/>
      <c r="FU74" s="405" t="s">
        <v>382</v>
      </c>
      <c r="FV74" s="242" t="s">
        <v>457</v>
      </c>
      <c r="FW74" s="682" t="s">
        <v>369</v>
      </c>
      <c r="FX74" s="717"/>
    </row>
    <row r="75">
      <c r="A75" s="732"/>
      <c r="B75" s="732"/>
      <c r="C75" s="732"/>
      <c r="D75" s="732"/>
      <c r="E75" s="732"/>
      <c r="F75" s="733"/>
      <c r="G75" s="733"/>
      <c r="H75" s="732"/>
      <c r="I75" s="732"/>
      <c r="J75" s="733"/>
      <c r="K75" s="733"/>
      <c r="L75" s="717"/>
      <c r="M75" s="134"/>
      <c r="N75" s="744" t="s">
        <v>395</v>
      </c>
      <c r="O75" s="723" t="s">
        <v>780</v>
      </c>
      <c r="P75" s="745" t="s">
        <v>391</v>
      </c>
      <c r="Q75" s="375"/>
      <c r="R75" s="374"/>
      <c r="S75" s="375"/>
      <c r="T75" s="374"/>
      <c r="U75" s="745" t="s">
        <v>322</v>
      </c>
      <c r="V75" s="723" t="s">
        <v>457</v>
      </c>
      <c r="W75" s="746" t="s">
        <v>384</v>
      </c>
      <c r="X75" s="717"/>
      <c r="Y75" s="134"/>
      <c r="Z75" s="744" t="s">
        <v>439</v>
      </c>
      <c r="AA75" s="723" t="s">
        <v>769</v>
      </c>
      <c r="AB75" s="745" t="s">
        <v>331</v>
      </c>
      <c r="AC75" s="375"/>
      <c r="AD75" s="374"/>
      <c r="AE75" s="375"/>
      <c r="AF75" s="374"/>
      <c r="AG75" s="745" t="s">
        <v>387</v>
      </c>
      <c r="AH75" s="723" t="s">
        <v>770</v>
      </c>
      <c r="AI75" s="746" t="s">
        <v>414</v>
      </c>
      <c r="AJ75" s="717"/>
      <c r="AK75" s="134"/>
      <c r="AL75" s="744" t="s">
        <v>434</v>
      </c>
      <c r="AM75" s="723" t="s">
        <v>477</v>
      </c>
      <c r="AN75" s="745" t="s">
        <v>348</v>
      </c>
      <c r="AO75" s="375"/>
      <c r="AP75" s="374"/>
      <c r="AQ75" s="375"/>
      <c r="AR75" s="374"/>
      <c r="AS75" s="745" t="s">
        <v>317</v>
      </c>
      <c r="AT75" s="723" t="s">
        <v>460</v>
      </c>
      <c r="AU75" s="746" t="s">
        <v>368</v>
      </c>
      <c r="AV75" s="717"/>
      <c r="AW75" s="134"/>
      <c r="AX75" s="744" t="s">
        <v>384</v>
      </c>
      <c r="AY75" s="723" t="s">
        <v>372</v>
      </c>
      <c r="AZ75" s="745" t="s">
        <v>352</v>
      </c>
      <c r="BA75" s="375"/>
      <c r="BB75" s="374"/>
      <c r="BC75" s="375"/>
      <c r="BD75" s="374"/>
      <c r="BE75" s="745" t="s">
        <v>401</v>
      </c>
      <c r="BF75" s="723" t="s">
        <v>782</v>
      </c>
      <c r="BG75" s="746" t="s">
        <v>389</v>
      </c>
      <c r="BH75" s="717"/>
      <c r="BI75" s="134"/>
      <c r="BJ75" s="744" t="s">
        <v>354</v>
      </c>
      <c r="BK75" s="723" t="s">
        <v>344</v>
      </c>
      <c r="BL75" s="745" t="s">
        <v>407</v>
      </c>
      <c r="BM75" s="375"/>
      <c r="BN75" s="374"/>
      <c r="BO75" s="375"/>
      <c r="BP75" s="374"/>
      <c r="BQ75" s="745" t="s">
        <v>377</v>
      </c>
      <c r="BR75" s="722" t="s">
        <v>771</v>
      </c>
      <c r="BS75" s="746" t="s">
        <v>389</v>
      </c>
      <c r="BT75" s="717"/>
      <c r="BU75" s="134"/>
      <c r="BV75" s="744" t="s">
        <v>369</v>
      </c>
      <c r="BW75" s="722" t="s">
        <v>771</v>
      </c>
      <c r="BX75" s="745" t="s">
        <v>375</v>
      </c>
      <c r="BY75" s="375"/>
      <c r="BZ75" s="374"/>
      <c r="CA75" s="375"/>
      <c r="CB75" s="374"/>
      <c r="CC75" s="745" t="s">
        <v>362</v>
      </c>
      <c r="CD75" s="723" t="s">
        <v>477</v>
      </c>
      <c r="CE75" s="746" t="s">
        <v>377</v>
      </c>
      <c r="CF75" s="717"/>
      <c r="CG75" s="134"/>
      <c r="CH75" s="744" t="s">
        <v>403</v>
      </c>
      <c r="CI75" s="723" t="s">
        <v>473</v>
      </c>
      <c r="CJ75" s="745" t="s">
        <v>389</v>
      </c>
      <c r="CK75" s="375"/>
      <c r="CL75" s="374"/>
      <c r="CM75" s="375"/>
      <c r="CN75" s="374"/>
      <c r="CO75" s="745" t="s">
        <v>391</v>
      </c>
      <c r="CP75" s="723" t="s">
        <v>627</v>
      </c>
      <c r="CQ75" s="746" t="s">
        <v>376</v>
      </c>
      <c r="CR75" s="717"/>
      <c r="CS75" s="134"/>
      <c r="CT75" s="744" t="s">
        <v>408</v>
      </c>
      <c r="CU75" s="723" t="s">
        <v>461</v>
      </c>
      <c r="CV75" s="745" t="s">
        <v>403</v>
      </c>
      <c r="CW75" s="375"/>
      <c r="CX75" s="374"/>
      <c r="CY75" s="375"/>
      <c r="CZ75" s="374"/>
      <c r="DA75" s="745" t="s">
        <v>342</v>
      </c>
      <c r="DB75" s="723" t="s">
        <v>787</v>
      </c>
      <c r="DC75" s="746" t="s">
        <v>334</v>
      </c>
      <c r="DD75" s="717"/>
      <c r="DE75" s="134"/>
      <c r="DF75" s="744" t="s">
        <v>346</v>
      </c>
      <c r="DG75" s="723" t="s">
        <v>770</v>
      </c>
      <c r="DH75" s="745" t="s">
        <v>387</v>
      </c>
      <c r="DI75" s="375"/>
      <c r="DJ75" s="374"/>
      <c r="DK75" s="374"/>
      <c r="DL75" s="386"/>
      <c r="DM75" s="745" t="s">
        <v>391</v>
      </c>
      <c r="DN75" s="723" t="s">
        <v>627</v>
      </c>
      <c r="DO75" s="746" t="s">
        <v>373</v>
      </c>
      <c r="DP75" s="717"/>
      <c r="DQ75" s="134"/>
      <c r="DR75" s="744" t="s">
        <v>410</v>
      </c>
      <c r="DS75" s="723" t="s">
        <v>372</v>
      </c>
      <c r="DT75" s="745" t="s">
        <v>352</v>
      </c>
      <c r="DU75" s="375"/>
      <c r="DV75" s="374"/>
      <c r="DW75" s="374"/>
      <c r="DX75" s="386"/>
      <c r="DY75" s="745" t="s">
        <v>376</v>
      </c>
      <c r="DZ75" s="792" t="s">
        <v>370</v>
      </c>
      <c r="EA75" s="746" t="s">
        <v>747</v>
      </c>
      <c r="EB75" s="717"/>
      <c r="EC75" s="134"/>
      <c r="ED75" s="744" t="s">
        <v>352</v>
      </c>
      <c r="EE75" s="723" t="s">
        <v>639</v>
      </c>
      <c r="EF75" s="745" t="s">
        <v>391</v>
      </c>
      <c r="EG75" s="375"/>
      <c r="EH75" s="374"/>
      <c r="EI75" s="374"/>
      <c r="EJ75" s="386"/>
      <c r="EK75" s="745" t="s">
        <v>354</v>
      </c>
      <c r="EL75" s="723" t="s">
        <v>474</v>
      </c>
      <c r="EM75" s="746" t="s">
        <v>382</v>
      </c>
      <c r="EN75" s="717"/>
      <c r="EO75" s="134"/>
      <c r="EP75" s="744" t="s">
        <v>354</v>
      </c>
      <c r="EQ75" s="723" t="s">
        <v>482</v>
      </c>
      <c r="ER75" s="745" t="s">
        <v>352</v>
      </c>
      <c r="ES75" s="375"/>
      <c r="ET75" s="374"/>
      <c r="EU75" s="374"/>
      <c r="EV75" s="386"/>
      <c r="EW75" s="745" t="s">
        <v>399</v>
      </c>
      <c r="EX75" s="723" t="s">
        <v>480</v>
      </c>
      <c r="EY75" s="746" t="s">
        <v>384</v>
      </c>
      <c r="EZ75" s="717"/>
      <c r="FA75" s="134"/>
      <c r="FB75" s="744" t="s">
        <v>382</v>
      </c>
      <c r="FC75" s="723" t="s">
        <v>425</v>
      </c>
      <c r="FD75" s="745" t="s">
        <v>354</v>
      </c>
      <c r="FE75" s="375"/>
      <c r="FF75" s="374"/>
      <c r="FG75" s="374"/>
      <c r="FH75" s="386"/>
      <c r="FI75" s="745" t="s">
        <v>361</v>
      </c>
      <c r="FJ75" s="723" t="s">
        <v>768</v>
      </c>
      <c r="FK75" s="746" t="s">
        <v>328</v>
      </c>
      <c r="FL75" s="717"/>
      <c r="FM75" s="134"/>
      <c r="FN75" s="744" t="s">
        <v>375</v>
      </c>
      <c r="FO75" s="723" t="s">
        <v>480</v>
      </c>
      <c r="FP75" s="745" t="s">
        <v>361</v>
      </c>
      <c r="FQ75" s="375"/>
      <c r="FR75" s="374"/>
      <c r="FS75" s="374"/>
      <c r="FT75" s="386"/>
      <c r="FU75" s="745" t="s">
        <v>337</v>
      </c>
      <c r="FV75" s="391" t="s">
        <v>774</v>
      </c>
      <c r="FW75" s="746" t="s">
        <v>332</v>
      </c>
      <c r="FX75" s="717"/>
    </row>
    <row r="76">
      <c r="A76" s="732"/>
      <c r="B76" s="732"/>
      <c r="C76" s="732"/>
      <c r="D76" s="732"/>
      <c r="E76" s="732"/>
      <c r="F76" s="733"/>
      <c r="G76" s="733"/>
      <c r="H76" s="732"/>
      <c r="I76" s="732"/>
      <c r="J76" s="733"/>
      <c r="K76" s="733"/>
      <c r="L76" s="717"/>
      <c r="M76" s="656">
        <v>3.0</v>
      </c>
      <c r="N76" s="645"/>
      <c r="O76" s="722"/>
      <c r="P76" s="405"/>
      <c r="Q76" s="682"/>
      <c r="R76" s="730"/>
      <c r="S76" s="731"/>
      <c r="T76" s="405"/>
      <c r="U76" s="405"/>
      <c r="V76" s="722"/>
      <c r="W76" s="682"/>
      <c r="X76" s="717"/>
      <c r="Y76" s="656">
        <v>3.0</v>
      </c>
      <c r="Z76" s="645"/>
      <c r="AA76" s="722"/>
      <c r="AB76" s="405"/>
      <c r="AC76" s="682"/>
      <c r="AD76" s="730"/>
      <c r="AE76" s="731"/>
      <c r="AF76" s="405"/>
      <c r="AG76" s="405"/>
      <c r="AH76" s="727"/>
      <c r="AI76" s="682"/>
      <c r="AJ76" s="717"/>
      <c r="AK76" s="656">
        <v>3.0</v>
      </c>
      <c r="AL76" s="645"/>
      <c r="AM76" s="722"/>
      <c r="AN76" s="405"/>
      <c r="AO76" s="682"/>
      <c r="AP76" s="730"/>
      <c r="AQ76" s="731"/>
      <c r="AR76" s="405"/>
      <c r="AS76" s="405"/>
      <c r="AT76" s="722"/>
      <c r="AU76" s="682"/>
      <c r="AV76" s="717"/>
      <c r="AW76" s="656">
        <v>3.0</v>
      </c>
      <c r="AX76" s="645"/>
      <c r="AY76" s="722"/>
      <c r="AZ76" s="405"/>
      <c r="BA76" s="682"/>
      <c r="BB76" s="730"/>
      <c r="BC76" s="731"/>
      <c r="BD76" s="405"/>
      <c r="BE76" s="405"/>
      <c r="BF76" s="722"/>
      <c r="BG76" s="682"/>
      <c r="BH76" s="717"/>
      <c r="BI76" s="656">
        <v>3.0</v>
      </c>
      <c r="BJ76" s="645"/>
      <c r="BK76" s="722"/>
      <c r="BL76" s="405"/>
      <c r="BM76" s="682"/>
      <c r="BN76" s="730"/>
      <c r="BO76" s="731"/>
      <c r="BP76" s="405"/>
      <c r="BQ76" s="405"/>
      <c r="BR76" s="727"/>
      <c r="BS76" s="682"/>
      <c r="BT76" s="717"/>
      <c r="BU76" s="656">
        <v>3.0</v>
      </c>
      <c r="BV76" s="645" t="s">
        <v>315</v>
      </c>
      <c r="BW76" s="727" t="s">
        <v>481</v>
      </c>
      <c r="BX76" s="405" t="s">
        <v>342</v>
      </c>
      <c r="BY76" s="682" t="s">
        <v>318</v>
      </c>
      <c r="BZ76" s="730" t="s">
        <v>319</v>
      </c>
      <c r="CA76" s="731" t="s">
        <v>320</v>
      </c>
      <c r="CB76" s="405" t="s">
        <v>321</v>
      </c>
      <c r="CC76" s="405" t="s">
        <v>400</v>
      </c>
      <c r="CD76" s="722" t="s">
        <v>475</v>
      </c>
      <c r="CE76" s="682" t="s">
        <v>324</v>
      </c>
      <c r="CF76" s="717"/>
      <c r="CG76" s="656">
        <v>3.0</v>
      </c>
      <c r="CH76" s="645"/>
      <c r="CI76" s="722"/>
      <c r="CJ76" s="405"/>
      <c r="CK76" s="682"/>
      <c r="CL76" s="730"/>
      <c r="CM76" s="731"/>
      <c r="CN76" s="405"/>
      <c r="CO76" s="405"/>
      <c r="CP76" s="722"/>
      <c r="CQ76" s="682"/>
      <c r="CR76" s="717"/>
      <c r="CS76" s="656">
        <v>3.0</v>
      </c>
      <c r="CT76" s="645"/>
      <c r="CU76" s="722"/>
      <c r="CV76" s="405"/>
      <c r="CW76" s="682"/>
      <c r="CX76" s="730"/>
      <c r="CY76" s="731"/>
      <c r="CZ76" s="405"/>
      <c r="DA76" s="405"/>
      <c r="DB76" s="722"/>
      <c r="DC76" s="682"/>
      <c r="DD76" s="717"/>
      <c r="DE76" s="656">
        <v>3.0</v>
      </c>
      <c r="DF76" s="645"/>
      <c r="DG76" s="722"/>
      <c r="DH76" s="405"/>
      <c r="DI76" s="682"/>
      <c r="DJ76" s="730"/>
      <c r="DK76" s="730"/>
      <c r="DL76" s="645"/>
      <c r="DM76" s="405"/>
      <c r="DN76" s="722"/>
      <c r="DO76" s="682"/>
      <c r="DP76" s="717"/>
      <c r="DQ76" s="656">
        <v>3.0</v>
      </c>
      <c r="DR76" s="645"/>
      <c r="DS76" s="722"/>
      <c r="DT76" s="405"/>
      <c r="DU76" s="682"/>
      <c r="DV76" s="730"/>
      <c r="DW76" s="730"/>
      <c r="DX76" s="645"/>
      <c r="DY76" s="405"/>
      <c r="DZ76" s="722"/>
      <c r="EA76" s="682"/>
      <c r="EB76" s="717"/>
      <c r="EC76" s="656">
        <v>3.0</v>
      </c>
      <c r="ED76" s="645"/>
      <c r="EE76" s="722"/>
      <c r="EF76" s="405"/>
      <c r="EG76" s="682"/>
      <c r="EH76" s="730"/>
      <c r="EI76" s="730"/>
      <c r="EJ76" s="645"/>
      <c r="EK76" s="405"/>
      <c r="EL76" s="722"/>
      <c r="EM76" s="682"/>
      <c r="EN76" s="717"/>
      <c r="EO76" s="656">
        <v>3.0</v>
      </c>
      <c r="EP76" s="645" t="s">
        <v>324</v>
      </c>
      <c r="EQ76" s="727" t="s">
        <v>477</v>
      </c>
      <c r="ER76" s="405" t="s">
        <v>368</v>
      </c>
      <c r="ES76" s="682" t="s">
        <v>321</v>
      </c>
      <c r="ET76" s="730" t="s">
        <v>320</v>
      </c>
      <c r="EU76" s="730" t="s">
        <v>319</v>
      </c>
      <c r="EV76" s="645" t="s">
        <v>318</v>
      </c>
      <c r="EW76" s="405" t="s">
        <v>343</v>
      </c>
      <c r="EX76" s="727" t="s">
        <v>476</v>
      </c>
      <c r="EY76" s="682" t="s">
        <v>331</v>
      </c>
      <c r="EZ76" s="717"/>
      <c r="FA76" s="656">
        <v>3.0</v>
      </c>
      <c r="FB76" s="645"/>
      <c r="FC76" s="722"/>
      <c r="FD76" s="405"/>
      <c r="FE76" s="682"/>
      <c r="FF76" s="730"/>
      <c r="FG76" s="730"/>
      <c r="FH76" s="645"/>
      <c r="FI76" s="405"/>
      <c r="FJ76" s="722"/>
      <c r="FK76" s="682"/>
      <c r="FL76" s="717"/>
      <c r="FM76" s="656">
        <v>3.0</v>
      </c>
      <c r="FN76" s="645" t="s">
        <v>400</v>
      </c>
      <c r="FO76" s="727" t="s">
        <v>480</v>
      </c>
      <c r="FP76" s="405" t="s">
        <v>369</v>
      </c>
      <c r="FQ76" s="682" t="s">
        <v>321</v>
      </c>
      <c r="FR76" s="730" t="s">
        <v>320</v>
      </c>
      <c r="FS76" s="730" t="s">
        <v>319</v>
      </c>
      <c r="FT76" s="645" t="s">
        <v>318</v>
      </c>
      <c r="FU76" s="405" t="s">
        <v>317</v>
      </c>
      <c r="FV76" s="384" t="s">
        <v>461</v>
      </c>
      <c r="FW76" s="682" t="s">
        <v>331</v>
      </c>
      <c r="FX76" s="717"/>
    </row>
    <row r="77">
      <c r="A77" s="732"/>
      <c r="B77" s="732"/>
      <c r="C77" s="732"/>
      <c r="D77" s="732"/>
      <c r="E77" s="732"/>
      <c r="F77" s="733"/>
      <c r="G77" s="733"/>
      <c r="H77" s="732"/>
      <c r="I77" s="732"/>
      <c r="J77" s="733"/>
      <c r="K77" s="733"/>
      <c r="L77" s="717"/>
      <c r="M77" s="66"/>
      <c r="N77" s="645"/>
      <c r="O77" s="722"/>
      <c r="P77" s="405"/>
      <c r="Q77" s="92"/>
      <c r="S77" s="92"/>
      <c r="U77" s="405"/>
      <c r="V77" s="722"/>
      <c r="W77" s="682"/>
      <c r="X77" s="717"/>
      <c r="Y77" s="66"/>
      <c r="Z77" s="645"/>
      <c r="AA77" s="722"/>
      <c r="AB77" s="405"/>
      <c r="AC77" s="92"/>
      <c r="AE77" s="92"/>
      <c r="AG77" s="405"/>
      <c r="AH77" s="722"/>
      <c r="AI77" s="682"/>
      <c r="AJ77" s="717"/>
      <c r="AK77" s="66"/>
      <c r="AL77" s="645"/>
      <c r="AM77" s="722"/>
      <c r="AN77" s="405"/>
      <c r="AO77" s="92"/>
      <c r="AQ77" s="92"/>
      <c r="AS77" s="405"/>
      <c r="AT77" s="722"/>
      <c r="AU77" s="682"/>
      <c r="AV77" s="717"/>
      <c r="AW77" s="66"/>
      <c r="AX77" s="645"/>
      <c r="AY77" s="722"/>
      <c r="AZ77" s="405"/>
      <c r="BA77" s="92"/>
      <c r="BC77" s="92"/>
      <c r="BE77" s="405"/>
      <c r="BF77" s="722"/>
      <c r="BG77" s="682"/>
      <c r="BH77" s="717"/>
      <c r="BI77" s="66"/>
      <c r="BJ77" s="645"/>
      <c r="BK77" s="722"/>
      <c r="BL77" s="405"/>
      <c r="BM77" s="92"/>
      <c r="BO77" s="92"/>
      <c r="BQ77" s="405"/>
      <c r="BR77" s="722"/>
      <c r="BS77" s="682"/>
      <c r="BT77" s="717"/>
      <c r="BU77" s="66"/>
      <c r="BV77" s="645" t="s">
        <v>325</v>
      </c>
      <c r="BW77" s="722" t="s">
        <v>480</v>
      </c>
      <c r="BX77" s="405" t="s">
        <v>369</v>
      </c>
      <c r="BY77" s="92"/>
      <c r="CA77" s="92"/>
      <c r="CC77" s="405" t="s">
        <v>389</v>
      </c>
      <c r="CD77" s="722" t="s">
        <v>473</v>
      </c>
      <c r="CE77" s="682" t="s">
        <v>327</v>
      </c>
      <c r="CF77" s="717"/>
      <c r="CG77" s="66"/>
      <c r="CH77" s="645"/>
      <c r="CI77" s="722"/>
      <c r="CJ77" s="405"/>
      <c r="CK77" s="92"/>
      <c r="CM77" s="92"/>
      <c r="CO77" s="405"/>
      <c r="CP77" s="722"/>
      <c r="CQ77" s="682"/>
      <c r="CR77" s="717"/>
      <c r="CS77" s="66"/>
      <c r="CT77" s="645"/>
      <c r="CU77" s="722"/>
      <c r="CV77" s="405"/>
      <c r="CW77" s="92"/>
      <c r="CY77" s="92"/>
      <c r="DA77" s="405"/>
      <c r="DB77" s="722"/>
      <c r="DC77" s="682"/>
      <c r="DD77" s="717"/>
      <c r="DE77" s="66"/>
      <c r="DF77" s="645"/>
      <c r="DG77" s="722"/>
      <c r="DH77" s="405"/>
      <c r="DI77" s="92"/>
      <c r="DL77" s="55"/>
      <c r="DM77" s="405"/>
      <c r="DN77" s="722"/>
      <c r="DO77" s="682"/>
      <c r="DP77" s="717"/>
      <c r="DQ77" s="66"/>
      <c r="DR77" s="645"/>
      <c r="DS77" s="722"/>
      <c r="DT77" s="405"/>
      <c r="DU77" s="92"/>
      <c r="DX77" s="55"/>
      <c r="DY77" s="405"/>
      <c r="DZ77" s="722"/>
      <c r="EA77" s="682"/>
      <c r="EB77" s="717"/>
      <c r="EC77" s="66"/>
      <c r="ED77" s="645"/>
      <c r="EE77" s="722"/>
      <c r="EF77" s="405"/>
      <c r="EG77" s="92"/>
      <c r="EJ77" s="55"/>
      <c r="EK77" s="405"/>
      <c r="EL77" s="722"/>
      <c r="EM77" s="682"/>
      <c r="EN77" s="717"/>
      <c r="EO77" s="66"/>
      <c r="EP77" s="645" t="s">
        <v>342</v>
      </c>
      <c r="EQ77" s="722" t="s">
        <v>473</v>
      </c>
      <c r="ER77" s="405" t="s">
        <v>382</v>
      </c>
      <c r="ES77" s="92"/>
      <c r="EV77" s="55"/>
      <c r="EW77" s="405" t="s">
        <v>337</v>
      </c>
      <c r="EX77" s="722" t="s">
        <v>481</v>
      </c>
      <c r="EY77" s="682" t="s">
        <v>362</v>
      </c>
      <c r="EZ77" s="717"/>
      <c r="FA77" s="66"/>
      <c r="FB77" s="645"/>
      <c r="FC77" s="722"/>
      <c r="FD77" s="405"/>
      <c r="FE77" s="92"/>
      <c r="FH77" s="55"/>
      <c r="FI77" s="405"/>
      <c r="FJ77" s="722"/>
      <c r="FK77" s="682"/>
      <c r="FL77" s="717"/>
      <c r="FM77" s="66"/>
      <c r="FN77" s="645" t="s">
        <v>343</v>
      </c>
      <c r="FO77" s="722" t="s">
        <v>474</v>
      </c>
      <c r="FP77" s="405" t="s">
        <v>341</v>
      </c>
      <c r="FQ77" s="92"/>
      <c r="FT77" s="55"/>
      <c r="FU77" s="405" t="s">
        <v>348</v>
      </c>
      <c r="FV77" s="242" t="s">
        <v>459</v>
      </c>
      <c r="FW77" s="682" t="s">
        <v>328</v>
      </c>
      <c r="FX77" s="717"/>
    </row>
    <row r="78">
      <c r="A78" s="733"/>
      <c r="B78" s="733"/>
      <c r="C78" s="733"/>
      <c r="D78" s="733"/>
      <c r="E78" s="733"/>
      <c r="F78" s="733"/>
      <c r="G78" s="733"/>
      <c r="H78" s="732"/>
      <c r="I78" s="732"/>
      <c r="J78" s="733"/>
      <c r="K78" s="733"/>
      <c r="L78" s="717"/>
      <c r="M78" s="66"/>
      <c r="N78" s="645"/>
      <c r="O78" s="722"/>
      <c r="P78" s="405"/>
      <c r="Q78" s="92"/>
      <c r="S78" s="92"/>
      <c r="U78" s="405"/>
      <c r="V78" s="722"/>
      <c r="W78" s="682"/>
      <c r="X78" s="717"/>
      <c r="Y78" s="66"/>
      <c r="Z78" s="645"/>
      <c r="AA78" s="722"/>
      <c r="AB78" s="405"/>
      <c r="AC78" s="92"/>
      <c r="AE78" s="92"/>
      <c r="AG78" s="405"/>
      <c r="AH78" s="722"/>
      <c r="AI78" s="682"/>
      <c r="AJ78" s="717"/>
      <c r="AK78" s="66"/>
      <c r="AL78" s="645"/>
      <c r="AM78" s="722"/>
      <c r="AN78" s="405"/>
      <c r="AO78" s="92"/>
      <c r="AQ78" s="92"/>
      <c r="AS78" s="405"/>
      <c r="AT78" s="722"/>
      <c r="AU78" s="682"/>
      <c r="AV78" s="717"/>
      <c r="AW78" s="66"/>
      <c r="AX78" s="645"/>
      <c r="AY78" s="722"/>
      <c r="AZ78" s="405"/>
      <c r="BA78" s="92"/>
      <c r="BC78" s="92"/>
      <c r="BE78" s="405"/>
      <c r="BF78" s="722"/>
      <c r="BG78" s="682"/>
      <c r="BH78" s="717"/>
      <c r="BI78" s="66"/>
      <c r="BJ78" s="645"/>
      <c r="BK78" s="722"/>
      <c r="BL78" s="405"/>
      <c r="BM78" s="92"/>
      <c r="BO78" s="92"/>
      <c r="BQ78" s="405"/>
      <c r="BR78" s="722"/>
      <c r="BS78" s="682"/>
      <c r="BT78" s="717"/>
      <c r="BU78" s="66"/>
      <c r="BV78" s="645" t="s">
        <v>317</v>
      </c>
      <c r="BW78" s="722" t="s">
        <v>476</v>
      </c>
      <c r="BX78" s="405" t="s">
        <v>343</v>
      </c>
      <c r="BY78" s="92"/>
      <c r="CA78" s="92"/>
      <c r="CC78" s="405" t="s">
        <v>387</v>
      </c>
      <c r="CD78" s="722" t="s">
        <v>482</v>
      </c>
      <c r="CE78" s="682" t="s">
        <v>328</v>
      </c>
      <c r="CF78" s="717"/>
      <c r="CG78" s="66"/>
      <c r="CH78" s="645"/>
      <c r="CI78" s="722"/>
      <c r="CJ78" s="405"/>
      <c r="CK78" s="92"/>
      <c r="CM78" s="92"/>
      <c r="CO78" s="405"/>
      <c r="CP78" s="722"/>
      <c r="CQ78" s="682"/>
      <c r="CR78" s="717"/>
      <c r="CS78" s="66"/>
      <c r="CT78" s="645"/>
      <c r="CU78" s="722"/>
      <c r="CV78" s="405"/>
      <c r="CW78" s="92"/>
      <c r="CY78" s="92"/>
      <c r="DA78" s="405"/>
      <c r="DB78" s="722"/>
      <c r="DC78" s="682"/>
      <c r="DD78" s="717"/>
      <c r="DE78" s="66"/>
      <c r="DF78" s="645"/>
      <c r="DG78" s="722"/>
      <c r="DH78" s="405"/>
      <c r="DI78" s="92"/>
      <c r="DL78" s="55"/>
      <c r="DM78" s="405"/>
      <c r="DN78" s="722"/>
      <c r="DO78" s="682"/>
      <c r="DP78" s="717"/>
      <c r="DQ78" s="66"/>
      <c r="DR78" s="645"/>
      <c r="DS78" s="722"/>
      <c r="DT78" s="405"/>
      <c r="DU78" s="92"/>
      <c r="DX78" s="55"/>
      <c r="DY78" s="405"/>
      <c r="DZ78" s="722"/>
      <c r="EA78" s="682"/>
      <c r="EB78" s="717"/>
      <c r="EC78" s="66"/>
      <c r="ED78" s="645"/>
      <c r="EE78" s="722"/>
      <c r="EF78" s="405"/>
      <c r="EG78" s="92"/>
      <c r="EJ78" s="55"/>
      <c r="EK78" s="405"/>
      <c r="EL78" s="722"/>
      <c r="EM78" s="682"/>
      <c r="EN78" s="717"/>
      <c r="EO78" s="66"/>
      <c r="EP78" s="645" t="s">
        <v>341</v>
      </c>
      <c r="EQ78" s="722" t="s">
        <v>475</v>
      </c>
      <c r="ER78" s="405" t="s">
        <v>400</v>
      </c>
      <c r="ES78" s="92"/>
      <c r="EV78" s="55"/>
      <c r="EW78" s="405" t="s">
        <v>384</v>
      </c>
      <c r="EX78" s="722" t="s">
        <v>431</v>
      </c>
      <c r="EY78" s="682" t="s">
        <v>315</v>
      </c>
      <c r="EZ78" s="717"/>
      <c r="FA78" s="66"/>
      <c r="FB78" s="645"/>
      <c r="FC78" s="722"/>
      <c r="FD78" s="405"/>
      <c r="FE78" s="92"/>
      <c r="FH78" s="55"/>
      <c r="FI78" s="405"/>
      <c r="FJ78" s="722"/>
      <c r="FK78" s="682"/>
      <c r="FL78" s="717"/>
      <c r="FM78" s="66"/>
      <c r="FN78" s="645" t="s">
        <v>325</v>
      </c>
      <c r="FO78" s="722" t="s">
        <v>481</v>
      </c>
      <c r="FP78" s="405" t="s">
        <v>346</v>
      </c>
      <c r="FQ78" s="92"/>
      <c r="FT78" s="55"/>
      <c r="FU78" s="405" t="s">
        <v>377</v>
      </c>
      <c r="FV78" s="242" t="s">
        <v>463</v>
      </c>
      <c r="FW78" s="682" t="s">
        <v>324</v>
      </c>
      <c r="FX78" s="717"/>
    </row>
    <row r="79">
      <c r="A79" s="733"/>
      <c r="B79" s="733"/>
      <c r="C79" s="733"/>
      <c r="D79" s="733"/>
      <c r="E79" s="733"/>
      <c r="F79" s="733"/>
      <c r="G79" s="733"/>
      <c r="H79" s="732"/>
      <c r="I79" s="732"/>
      <c r="J79" s="733"/>
      <c r="K79" s="733"/>
      <c r="L79" s="717"/>
      <c r="M79" s="66"/>
      <c r="N79" s="645"/>
      <c r="O79" s="722"/>
      <c r="P79" s="405"/>
      <c r="Q79" s="92"/>
      <c r="S79" s="92"/>
      <c r="U79" s="405"/>
      <c r="V79" s="722"/>
      <c r="W79" s="682"/>
      <c r="X79" s="717"/>
      <c r="Y79" s="66"/>
      <c r="Z79" s="645"/>
      <c r="AA79" s="722"/>
      <c r="AB79" s="405"/>
      <c r="AC79" s="92"/>
      <c r="AE79" s="92"/>
      <c r="AG79" s="405"/>
      <c r="AH79" s="722"/>
      <c r="AI79" s="682"/>
      <c r="AJ79" s="717"/>
      <c r="AK79" s="66"/>
      <c r="AL79" s="645"/>
      <c r="AM79" s="722"/>
      <c r="AN79" s="405"/>
      <c r="AO79" s="92"/>
      <c r="AQ79" s="92"/>
      <c r="AS79" s="405"/>
      <c r="AT79" s="722"/>
      <c r="AU79" s="682"/>
      <c r="AV79" s="717"/>
      <c r="AW79" s="66"/>
      <c r="AX79" s="645"/>
      <c r="AY79" s="722"/>
      <c r="AZ79" s="405"/>
      <c r="BA79" s="92"/>
      <c r="BC79" s="92"/>
      <c r="BE79" s="405"/>
      <c r="BF79" s="722"/>
      <c r="BG79" s="682"/>
      <c r="BH79" s="717"/>
      <c r="BI79" s="66"/>
      <c r="BJ79" s="645"/>
      <c r="BK79" s="722"/>
      <c r="BL79" s="405"/>
      <c r="BM79" s="92"/>
      <c r="BO79" s="92"/>
      <c r="BQ79" s="405"/>
      <c r="BR79" s="722"/>
      <c r="BS79" s="682"/>
      <c r="BT79" s="717"/>
      <c r="BU79" s="66"/>
      <c r="BV79" s="645" t="s">
        <v>362</v>
      </c>
      <c r="BW79" s="722" t="s">
        <v>474</v>
      </c>
      <c r="BX79" s="405" t="s">
        <v>408</v>
      </c>
      <c r="BY79" s="92"/>
      <c r="CA79" s="92"/>
      <c r="CC79" s="405" t="s">
        <v>374</v>
      </c>
      <c r="CD79" s="722" t="s">
        <v>477</v>
      </c>
      <c r="CE79" s="682" t="s">
        <v>354</v>
      </c>
      <c r="CF79" s="717"/>
      <c r="CG79" s="66"/>
      <c r="CH79" s="645"/>
      <c r="CI79" s="722"/>
      <c r="CJ79" s="405"/>
      <c r="CK79" s="92"/>
      <c r="CM79" s="92"/>
      <c r="CO79" s="405"/>
      <c r="CP79" s="722"/>
      <c r="CQ79" s="682"/>
      <c r="CR79" s="717"/>
      <c r="CS79" s="66"/>
      <c r="CT79" s="645"/>
      <c r="CU79" s="722"/>
      <c r="CV79" s="405"/>
      <c r="CW79" s="92"/>
      <c r="CY79" s="92"/>
      <c r="DA79" s="405"/>
      <c r="DB79" s="722"/>
      <c r="DC79" s="682"/>
      <c r="DD79" s="717"/>
      <c r="DE79" s="66"/>
      <c r="DF79" s="645"/>
      <c r="DG79" s="722"/>
      <c r="DH79" s="405"/>
      <c r="DI79" s="92"/>
      <c r="DL79" s="55"/>
      <c r="DM79" s="405"/>
      <c r="DN79" s="722"/>
      <c r="DO79" s="682"/>
      <c r="DP79" s="717"/>
      <c r="DQ79" s="66"/>
      <c r="DR79" s="645"/>
      <c r="DS79" s="722"/>
      <c r="DT79" s="405"/>
      <c r="DU79" s="92"/>
      <c r="DX79" s="55"/>
      <c r="DY79" s="405"/>
      <c r="DZ79" s="722"/>
      <c r="EA79" s="682"/>
      <c r="EB79" s="717"/>
      <c r="EC79" s="66"/>
      <c r="ED79" s="645"/>
      <c r="EE79" s="722"/>
      <c r="EF79" s="405"/>
      <c r="EG79" s="92"/>
      <c r="EJ79" s="55"/>
      <c r="EK79" s="405"/>
      <c r="EL79" s="722"/>
      <c r="EM79" s="682"/>
      <c r="EN79" s="717"/>
      <c r="EO79" s="66"/>
      <c r="EP79" s="645" t="s">
        <v>354</v>
      </c>
      <c r="EQ79" s="722" t="s">
        <v>479</v>
      </c>
      <c r="ER79" s="405" t="s">
        <v>328</v>
      </c>
      <c r="ES79" s="92"/>
      <c r="EV79" s="55"/>
      <c r="EW79" s="405" t="s">
        <v>361</v>
      </c>
      <c r="EX79" s="722" t="s">
        <v>480</v>
      </c>
      <c r="EY79" s="682" t="s">
        <v>348</v>
      </c>
      <c r="EZ79" s="717"/>
      <c r="FA79" s="66"/>
      <c r="FB79" s="645"/>
      <c r="FC79" s="722"/>
      <c r="FD79" s="405"/>
      <c r="FE79" s="92"/>
      <c r="FH79" s="55"/>
      <c r="FI79" s="405"/>
      <c r="FJ79" s="722"/>
      <c r="FK79" s="682"/>
      <c r="FL79" s="717"/>
      <c r="FM79" s="66"/>
      <c r="FN79" s="645" t="s">
        <v>315</v>
      </c>
      <c r="FO79" s="722" t="s">
        <v>476</v>
      </c>
      <c r="FP79" s="405" t="s">
        <v>432</v>
      </c>
      <c r="FQ79" s="92"/>
      <c r="FT79" s="55"/>
      <c r="FU79" s="405" t="s">
        <v>332</v>
      </c>
      <c r="FV79" s="242" t="s">
        <v>457</v>
      </c>
      <c r="FW79" s="682" t="s">
        <v>412</v>
      </c>
      <c r="FX79" s="717"/>
    </row>
    <row r="80">
      <c r="A80" s="733"/>
      <c r="B80" s="733"/>
      <c r="C80" s="733"/>
      <c r="D80" s="733"/>
      <c r="E80" s="733"/>
      <c r="F80" s="733"/>
      <c r="G80" s="733"/>
      <c r="H80" s="732"/>
      <c r="I80" s="732"/>
      <c r="J80" s="733"/>
      <c r="K80" s="733"/>
      <c r="L80" s="717"/>
      <c r="M80" s="94"/>
      <c r="N80" s="672"/>
      <c r="O80" s="763"/>
      <c r="P80" s="764"/>
      <c r="Q80" s="93"/>
      <c r="S80" s="92"/>
      <c r="T80" s="22"/>
      <c r="U80" s="764"/>
      <c r="V80" s="763"/>
      <c r="W80" s="683"/>
      <c r="X80" s="717"/>
      <c r="Y80" s="94"/>
      <c r="Z80" s="672"/>
      <c r="AA80" s="763"/>
      <c r="AB80" s="764"/>
      <c r="AC80" s="93"/>
      <c r="AE80" s="92"/>
      <c r="AF80" s="22"/>
      <c r="AG80" s="764"/>
      <c r="AH80" s="763"/>
      <c r="AI80" s="683"/>
      <c r="AJ80" s="717"/>
      <c r="AK80" s="94"/>
      <c r="AL80" s="672"/>
      <c r="AM80" s="763"/>
      <c r="AN80" s="764"/>
      <c r="AO80" s="93"/>
      <c r="AQ80" s="92"/>
      <c r="AR80" s="22"/>
      <c r="AS80" s="764"/>
      <c r="AT80" s="763"/>
      <c r="AU80" s="683"/>
      <c r="AV80" s="717"/>
      <c r="AW80" s="94"/>
      <c r="AX80" s="672"/>
      <c r="AY80" s="763"/>
      <c r="AZ80" s="764"/>
      <c r="BA80" s="93"/>
      <c r="BC80" s="92"/>
      <c r="BD80" s="22"/>
      <c r="BE80" s="764"/>
      <c r="BF80" s="763"/>
      <c r="BG80" s="683"/>
      <c r="BH80" s="717"/>
      <c r="BI80" s="94"/>
      <c r="BJ80" s="672"/>
      <c r="BK80" s="763"/>
      <c r="BL80" s="764"/>
      <c r="BM80" s="93"/>
      <c r="BO80" s="92"/>
      <c r="BP80" s="22"/>
      <c r="BQ80" s="764"/>
      <c r="BR80" s="763"/>
      <c r="BS80" s="683"/>
      <c r="BT80" s="717"/>
      <c r="BU80" s="94"/>
      <c r="BV80" s="672" t="s">
        <v>348</v>
      </c>
      <c r="BW80" s="763" t="s">
        <v>771</v>
      </c>
      <c r="BX80" s="764" t="s">
        <v>384</v>
      </c>
      <c r="BY80" s="93"/>
      <c r="CA80" s="92"/>
      <c r="CB80" s="22"/>
      <c r="CC80" s="764" t="s">
        <v>377</v>
      </c>
      <c r="CD80" s="763" t="s">
        <v>479</v>
      </c>
      <c r="CE80" s="683" t="s">
        <v>368</v>
      </c>
      <c r="CF80" s="717"/>
      <c r="CG80" s="94"/>
      <c r="CH80" s="672"/>
      <c r="CI80" s="763"/>
      <c r="CJ80" s="764"/>
      <c r="CK80" s="93"/>
      <c r="CM80" s="92"/>
      <c r="CN80" s="22"/>
      <c r="CO80" s="764"/>
      <c r="CP80" s="763"/>
      <c r="CQ80" s="683"/>
      <c r="CR80" s="717"/>
      <c r="CS80" s="94"/>
      <c r="CT80" s="672"/>
      <c r="CU80" s="763"/>
      <c r="CV80" s="764"/>
      <c r="CW80" s="93"/>
      <c r="CY80" s="92"/>
      <c r="CZ80" s="22"/>
      <c r="DA80" s="764"/>
      <c r="DB80" s="763"/>
      <c r="DC80" s="683"/>
      <c r="DD80" s="717"/>
      <c r="DE80" s="94"/>
      <c r="DF80" s="672"/>
      <c r="DG80" s="763"/>
      <c r="DH80" s="764"/>
      <c r="DI80" s="93"/>
      <c r="DJ80" s="22"/>
      <c r="DK80" s="22"/>
      <c r="DL80" s="61"/>
      <c r="DM80" s="764"/>
      <c r="DN80" s="763"/>
      <c r="DO80" s="683"/>
      <c r="DP80" s="717"/>
      <c r="DQ80" s="94"/>
      <c r="DR80" s="672"/>
      <c r="DS80" s="763"/>
      <c r="DT80" s="764"/>
      <c r="DU80" s="93"/>
      <c r="DV80" s="22"/>
      <c r="DW80" s="22"/>
      <c r="DX80" s="61"/>
      <c r="DY80" s="764"/>
      <c r="DZ80" s="763"/>
      <c r="EA80" s="683"/>
      <c r="EB80" s="717"/>
      <c r="EC80" s="94"/>
      <c r="ED80" s="672"/>
      <c r="EE80" s="763"/>
      <c r="EF80" s="764"/>
      <c r="EG80" s="93"/>
      <c r="EH80" s="22"/>
      <c r="EI80" s="22"/>
      <c r="EJ80" s="61"/>
      <c r="EK80" s="764"/>
      <c r="EL80" s="763"/>
      <c r="EM80" s="683"/>
      <c r="EN80" s="717"/>
      <c r="EO80" s="94"/>
      <c r="EP80" s="672" t="s">
        <v>369</v>
      </c>
      <c r="EQ80" s="763" t="s">
        <v>482</v>
      </c>
      <c r="ER80" s="764" t="s">
        <v>387</v>
      </c>
      <c r="ES80" s="93"/>
      <c r="ET80" s="22"/>
      <c r="EU80" s="22"/>
      <c r="EV80" s="61"/>
      <c r="EW80" s="764" t="s">
        <v>373</v>
      </c>
      <c r="EX80" s="723" t="s">
        <v>474</v>
      </c>
      <c r="EY80" s="683" t="s">
        <v>374</v>
      </c>
      <c r="EZ80" s="717"/>
      <c r="FA80" s="94"/>
      <c r="FB80" s="672"/>
      <c r="FC80" s="763"/>
      <c r="FD80" s="764"/>
      <c r="FE80" s="93"/>
      <c r="FF80" s="22"/>
      <c r="FG80" s="22"/>
      <c r="FH80" s="61"/>
      <c r="FI80" s="764"/>
      <c r="FJ80" s="763"/>
      <c r="FK80" s="683"/>
      <c r="FL80" s="717"/>
      <c r="FM80" s="94"/>
      <c r="FN80" s="672" t="s">
        <v>375</v>
      </c>
      <c r="FO80" s="723" t="s">
        <v>431</v>
      </c>
      <c r="FP80" s="764" t="s">
        <v>414</v>
      </c>
      <c r="FQ80" s="93"/>
      <c r="FR80" s="22"/>
      <c r="FS80" s="22"/>
      <c r="FT80" s="61"/>
      <c r="FU80" s="764" t="s">
        <v>342</v>
      </c>
      <c r="FV80" s="391" t="s">
        <v>774</v>
      </c>
      <c r="FW80" s="683" t="s">
        <v>384</v>
      </c>
      <c r="FX80" s="717"/>
    </row>
    <row r="81">
      <c r="A81" s="733"/>
      <c r="B81" s="733"/>
      <c r="C81" s="733"/>
      <c r="D81" s="733"/>
      <c r="E81" s="733"/>
      <c r="F81" s="733"/>
      <c r="G81" s="733"/>
      <c r="H81" s="732"/>
      <c r="I81" s="732"/>
      <c r="J81" s="733"/>
      <c r="K81" s="733"/>
      <c r="L81" s="717"/>
      <c r="M81" s="767"/>
      <c r="N81" s="767"/>
      <c r="O81" s="767"/>
      <c r="P81" s="767"/>
      <c r="Q81" s="732"/>
      <c r="R81" s="768">
        <f t="shared" ref="R81:S81" si="112">COUNTIF(R66:R80, "W")</f>
        <v>2</v>
      </c>
      <c r="S81" s="769">
        <f t="shared" si="112"/>
        <v>0</v>
      </c>
      <c r="T81" s="732"/>
      <c r="U81" s="767"/>
      <c r="V81" s="767"/>
      <c r="W81" s="767"/>
      <c r="X81" s="717"/>
      <c r="Y81" s="767"/>
      <c r="Z81" s="767"/>
      <c r="AA81" s="767"/>
      <c r="AB81" s="767"/>
      <c r="AC81" s="732"/>
      <c r="AD81" s="768">
        <f t="shared" ref="AD81:AE81" si="113">COUNTIF(AD66:AD80, "W")</f>
        <v>0</v>
      </c>
      <c r="AE81" s="769">
        <f t="shared" si="113"/>
        <v>2</v>
      </c>
      <c r="AF81" s="732"/>
      <c r="AG81" s="767"/>
      <c r="AH81" s="767"/>
      <c r="AI81" s="767"/>
      <c r="AJ81" s="717"/>
      <c r="AK81" s="767"/>
      <c r="AL81" s="767"/>
      <c r="AM81" s="767"/>
      <c r="AN81" s="767"/>
      <c r="AO81" s="732"/>
      <c r="AP81" s="768">
        <f t="shared" ref="AP81:AQ81" si="114">COUNTIF(AP66:AP80, "W")</f>
        <v>0</v>
      </c>
      <c r="AQ81" s="769">
        <f t="shared" si="114"/>
        <v>2</v>
      </c>
      <c r="AR81" s="732"/>
      <c r="AS81" s="767"/>
      <c r="AT81" s="767"/>
      <c r="AU81" s="767"/>
      <c r="AV81" s="717"/>
      <c r="AW81" s="767"/>
      <c r="AX81" s="767"/>
      <c r="AY81" s="767"/>
      <c r="AZ81" s="767"/>
      <c r="BA81" s="732"/>
      <c r="BB81" s="768">
        <f t="shared" ref="BB81:BC81" si="115">COUNTIF(BB66:BB80, "W")</f>
        <v>0</v>
      </c>
      <c r="BC81" s="769">
        <f t="shared" si="115"/>
        <v>2</v>
      </c>
      <c r="BD81" s="732"/>
      <c r="BE81" s="767"/>
      <c r="BF81" s="767"/>
      <c r="BG81" s="767"/>
      <c r="BH81" s="717"/>
      <c r="BI81" s="767"/>
      <c r="BJ81" s="767"/>
      <c r="BK81" s="767"/>
      <c r="BL81" s="767"/>
      <c r="BM81" s="732"/>
      <c r="BN81" s="768">
        <f t="shared" ref="BN81:BO81" si="116">COUNTIF(BN66:BN80, "W")</f>
        <v>2</v>
      </c>
      <c r="BO81" s="769">
        <f t="shared" si="116"/>
        <v>0</v>
      </c>
      <c r="BP81" s="732"/>
      <c r="BQ81" s="767"/>
      <c r="BR81" s="767"/>
      <c r="BS81" s="767"/>
      <c r="BT81" s="717"/>
      <c r="BU81" s="767"/>
      <c r="BV81" s="767"/>
      <c r="BW81" s="767"/>
      <c r="BX81" s="767"/>
      <c r="BY81" s="732"/>
      <c r="BZ81" s="768">
        <f t="shared" ref="BZ81:CA81" si="117">COUNTIF(BZ66:BZ80, "W")</f>
        <v>2</v>
      </c>
      <c r="CA81" s="769">
        <f t="shared" si="117"/>
        <v>1</v>
      </c>
      <c r="CB81" s="732"/>
      <c r="CC81" s="767"/>
      <c r="CD81" s="767"/>
      <c r="CE81" s="767"/>
      <c r="CF81" s="717"/>
      <c r="CG81" s="767"/>
      <c r="CH81" s="767"/>
      <c r="CI81" s="767"/>
      <c r="CJ81" s="767"/>
      <c r="CK81" s="732"/>
      <c r="CL81" s="768">
        <f t="shared" ref="CL81:CM81" si="118">COUNTIF(CL66:CL80, "W")</f>
        <v>0</v>
      </c>
      <c r="CM81" s="769">
        <f t="shared" si="118"/>
        <v>2</v>
      </c>
      <c r="CN81" s="732"/>
      <c r="CO81" s="767"/>
      <c r="CP81" s="767"/>
      <c r="CQ81" s="767"/>
      <c r="CR81" s="717"/>
      <c r="CS81" s="767"/>
      <c r="CT81" s="767"/>
      <c r="CU81" s="767"/>
      <c r="CV81" s="767"/>
      <c r="CW81" s="732"/>
      <c r="CX81" s="768">
        <f t="shared" ref="CX81:CY81" si="119">COUNTIF(CX66:CX80, "W")</f>
        <v>0</v>
      </c>
      <c r="CY81" s="769">
        <f t="shared" si="119"/>
        <v>2</v>
      </c>
      <c r="CZ81" s="732"/>
      <c r="DA81" s="767"/>
      <c r="DB81" s="767"/>
      <c r="DC81" s="767"/>
      <c r="DD81" s="717"/>
      <c r="DE81" s="767"/>
      <c r="DF81" s="767"/>
      <c r="DG81" s="767"/>
      <c r="DH81" s="767"/>
      <c r="DI81" s="732"/>
      <c r="DJ81" s="768">
        <f t="shared" ref="DJ81:DK81" si="120">COUNTIF(DJ66:DJ80, "W")</f>
        <v>0</v>
      </c>
      <c r="DK81" s="769">
        <f t="shared" si="120"/>
        <v>2</v>
      </c>
      <c r="DL81" s="732"/>
      <c r="DM81" s="767"/>
      <c r="DN81" s="767"/>
      <c r="DO81" s="767"/>
      <c r="DP81" s="717"/>
      <c r="DQ81" s="767"/>
      <c r="DR81" s="767"/>
      <c r="DS81" s="767"/>
      <c r="DT81" s="767"/>
      <c r="DU81" s="732"/>
      <c r="DV81" s="768">
        <f t="shared" ref="DV81:DW81" si="121">COUNTIF(DV66:DV80, "W")</f>
        <v>0</v>
      </c>
      <c r="DW81" s="769">
        <f t="shared" si="121"/>
        <v>2</v>
      </c>
      <c r="DX81" s="732"/>
      <c r="DY81" s="767"/>
      <c r="DZ81" s="767"/>
      <c r="EA81" s="767"/>
      <c r="EB81" s="717"/>
      <c r="EC81" s="767"/>
      <c r="ED81" s="767"/>
      <c r="EE81" s="767"/>
      <c r="EF81" s="767"/>
      <c r="EG81" s="732"/>
      <c r="EH81" s="768">
        <f t="shared" ref="EH81:EI81" si="122">COUNTIF(EH66:EH80, "W")</f>
        <v>0</v>
      </c>
      <c r="EI81" s="769">
        <f t="shared" si="122"/>
        <v>2</v>
      </c>
      <c r="EJ81" s="732"/>
      <c r="EK81" s="767"/>
      <c r="EL81" s="767"/>
      <c r="EM81" s="767"/>
      <c r="EN81" s="717"/>
      <c r="EO81" s="767"/>
      <c r="EP81" s="767"/>
      <c r="EQ81" s="767"/>
      <c r="ER81" s="767"/>
      <c r="ES81" s="732"/>
      <c r="ET81" s="768">
        <f t="shared" ref="ET81:EU81" si="123">COUNTIF(ET66:ET80, "W")</f>
        <v>1</v>
      </c>
      <c r="EU81" s="769">
        <f t="shared" si="123"/>
        <v>2</v>
      </c>
      <c r="EV81" s="732"/>
      <c r="EW81" s="767"/>
      <c r="EX81" s="767"/>
      <c r="EY81" s="767"/>
      <c r="EZ81" s="717"/>
      <c r="FA81" s="767"/>
      <c r="FB81" s="767"/>
      <c r="FC81" s="767"/>
      <c r="FD81" s="767"/>
      <c r="FE81" s="732"/>
      <c r="FF81" s="768">
        <f t="shared" ref="FF81:FG81" si="124">COUNTIF(FF66:FF80, "W")</f>
        <v>2</v>
      </c>
      <c r="FG81" s="769">
        <f t="shared" si="124"/>
        <v>0</v>
      </c>
      <c r="FH81" s="732"/>
      <c r="FI81" s="767"/>
      <c r="FJ81" s="767"/>
      <c r="FK81" s="767"/>
      <c r="FL81" s="717"/>
      <c r="FM81" s="767"/>
      <c r="FN81" s="767"/>
      <c r="FO81" s="767"/>
      <c r="FP81" s="767"/>
      <c r="FQ81" s="732"/>
      <c r="FR81" s="768">
        <f t="shared" ref="FR81:FS81" si="125">COUNTIF(FR66:FR80, "W")</f>
        <v>1</v>
      </c>
      <c r="FS81" s="769">
        <f t="shared" si="125"/>
        <v>2</v>
      </c>
      <c r="FT81" s="732"/>
      <c r="FU81" s="767"/>
      <c r="FV81" s="767"/>
      <c r="FW81" s="767"/>
      <c r="FX81" s="717"/>
    </row>
  </sheetData>
  <autoFilter ref="$B$3:$K$11">
    <sortState ref="B3:K11">
      <sortCondition descending="1" ref="K3:K11"/>
      <sortCondition descending="1" ref="C3:C11"/>
      <sortCondition descending="1" ref="B3:B11"/>
    </sortState>
  </autoFilter>
  <mergeCells count="1142">
    <mergeCell ref="A1:K2"/>
    <mergeCell ref="R1:S1"/>
    <mergeCell ref="AD1:AE1"/>
    <mergeCell ref="AK1:AO1"/>
    <mergeCell ref="AP1:AQ1"/>
    <mergeCell ref="AR1:AU1"/>
    <mergeCell ref="AR2:AU2"/>
    <mergeCell ref="AF3:AI4"/>
    <mergeCell ref="AK3:AO4"/>
    <mergeCell ref="AP3:AQ4"/>
    <mergeCell ref="AR3:AU4"/>
    <mergeCell ref="AW1:BA1"/>
    <mergeCell ref="AW2:BA2"/>
    <mergeCell ref="AW3:BA4"/>
    <mergeCell ref="BB3:BC4"/>
    <mergeCell ref="BD3:BG4"/>
    <mergeCell ref="BI3:BM4"/>
    <mergeCell ref="BN3:BO4"/>
    <mergeCell ref="BP3:BS4"/>
    <mergeCell ref="BU3:BY4"/>
    <mergeCell ref="BZ3:CA4"/>
    <mergeCell ref="CB3:CE4"/>
    <mergeCell ref="CG3:CK4"/>
    <mergeCell ref="CL3:CM4"/>
    <mergeCell ref="CN3:CQ4"/>
    <mergeCell ref="CS3:CW4"/>
    <mergeCell ref="CX3:CY4"/>
    <mergeCell ref="CZ3:DC4"/>
    <mergeCell ref="DE3:DI4"/>
    <mergeCell ref="DJ3:DK4"/>
    <mergeCell ref="DL3:DO4"/>
    <mergeCell ref="DQ3:DU4"/>
    <mergeCell ref="EV3:EY4"/>
    <mergeCell ref="FA3:FE4"/>
    <mergeCell ref="FF3:FG4"/>
    <mergeCell ref="FH3:FK4"/>
    <mergeCell ref="FM3:FQ4"/>
    <mergeCell ref="FR3:FS4"/>
    <mergeCell ref="FT3:FW4"/>
    <mergeCell ref="DV3:DW4"/>
    <mergeCell ref="DX3:EA4"/>
    <mergeCell ref="EC3:EG4"/>
    <mergeCell ref="EH3:EI4"/>
    <mergeCell ref="EJ3:EM4"/>
    <mergeCell ref="EO3:ES4"/>
    <mergeCell ref="ET3:EU4"/>
    <mergeCell ref="EJ6:EJ10"/>
    <mergeCell ref="EO6:EO10"/>
    <mergeCell ref="DV6:DV10"/>
    <mergeCell ref="DW6:DW10"/>
    <mergeCell ref="DX6:DX10"/>
    <mergeCell ref="EC6:EC10"/>
    <mergeCell ref="EG6:EG10"/>
    <mergeCell ref="EH6:EH10"/>
    <mergeCell ref="EI6:EI10"/>
    <mergeCell ref="FG6:FG10"/>
    <mergeCell ref="FH6:FH10"/>
    <mergeCell ref="ES6:ES10"/>
    <mergeCell ref="ET6:ET10"/>
    <mergeCell ref="EU6:EU10"/>
    <mergeCell ref="EV6:EV10"/>
    <mergeCell ref="FA6:FA10"/>
    <mergeCell ref="FE6:FE10"/>
    <mergeCell ref="FF6:FF10"/>
    <mergeCell ref="AD3:AE4"/>
    <mergeCell ref="AD5:AE5"/>
    <mergeCell ref="AP5:AQ5"/>
    <mergeCell ref="BB5:BC5"/>
    <mergeCell ref="BN5:BO5"/>
    <mergeCell ref="BZ5:CA5"/>
    <mergeCell ref="CL5:CM5"/>
    <mergeCell ref="R5:S5"/>
    <mergeCell ref="Q6:Q10"/>
    <mergeCell ref="R6:R10"/>
    <mergeCell ref="S6:S10"/>
    <mergeCell ref="T6:T10"/>
    <mergeCell ref="Y6:Y10"/>
    <mergeCell ref="T2:W2"/>
    <mergeCell ref="Y2:AC2"/>
    <mergeCell ref="M3:Q4"/>
    <mergeCell ref="R3:S4"/>
    <mergeCell ref="T3:W4"/>
    <mergeCell ref="Y3:AC4"/>
    <mergeCell ref="M6:M10"/>
    <mergeCell ref="AC6:AC10"/>
    <mergeCell ref="AD6:AD10"/>
    <mergeCell ref="AE6:AE10"/>
    <mergeCell ref="AF6:AF10"/>
    <mergeCell ref="AK6:AK10"/>
    <mergeCell ref="AO6:AO10"/>
    <mergeCell ref="AP6:AP10"/>
    <mergeCell ref="AQ6:AQ10"/>
    <mergeCell ref="AR6:AR10"/>
    <mergeCell ref="AW6:AW10"/>
    <mergeCell ref="BA6:BA10"/>
    <mergeCell ref="BB6:BB10"/>
    <mergeCell ref="BC6:BC10"/>
    <mergeCell ref="BD6:BD10"/>
    <mergeCell ref="FR5:FS5"/>
    <mergeCell ref="FQ6:FQ10"/>
    <mergeCell ref="FR6:FR10"/>
    <mergeCell ref="FS6:FS10"/>
    <mergeCell ref="FT6:FT10"/>
    <mergeCell ref="CX5:CY5"/>
    <mergeCell ref="DJ5:DK5"/>
    <mergeCell ref="DV5:DW5"/>
    <mergeCell ref="EH5:EI5"/>
    <mergeCell ref="ET5:EU5"/>
    <mergeCell ref="FF5:FG5"/>
    <mergeCell ref="FM6:FM10"/>
    <mergeCell ref="CX2:CY2"/>
    <mergeCell ref="CZ2:DC2"/>
    <mergeCell ref="BU2:BY2"/>
    <mergeCell ref="BZ2:CA2"/>
    <mergeCell ref="CB2:CE2"/>
    <mergeCell ref="CG2:CK2"/>
    <mergeCell ref="CL2:CM2"/>
    <mergeCell ref="CN2:CQ2"/>
    <mergeCell ref="CS2:CW2"/>
    <mergeCell ref="EH2:EI2"/>
    <mergeCell ref="EJ2:EM2"/>
    <mergeCell ref="DE2:DI2"/>
    <mergeCell ref="DJ2:DK2"/>
    <mergeCell ref="DL2:DO2"/>
    <mergeCell ref="DQ2:DU2"/>
    <mergeCell ref="DV2:DW2"/>
    <mergeCell ref="DX2:EA2"/>
    <mergeCell ref="EC2:EG2"/>
    <mergeCell ref="FR2:FS2"/>
    <mergeCell ref="FT2:FW2"/>
    <mergeCell ref="EO2:ES2"/>
    <mergeCell ref="ET2:EU2"/>
    <mergeCell ref="EV2:EY2"/>
    <mergeCell ref="FA2:FE2"/>
    <mergeCell ref="FF2:FG2"/>
    <mergeCell ref="FH2:FK2"/>
    <mergeCell ref="FM2:FQ2"/>
    <mergeCell ref="BB1:BC1"/>
    <mergeCell ref="BD1:BG1"/>
    <mergeCell ref="BI1:BM1"/>
    <mergeCell ref="BN1:BO1"/>
    <mergeCell ref="BP1:BS1"/>
    <mergeCell ref="BU1:BY1"/>
    <mergeCell ref="BZ1:CA1"/>
    <mergeCell ref="CB1:CE1"/>
    <mergeCell ref="CG1:CK1"/>
    <mergeCell ref="CL1:CM1"/>
    <mergeCell ref="CN1:CQ1"/>
    <mergeCell ref="CX1:CY1"/>
    <mergeCell ref="DJ1:DK1"/>
    <mergeCell ref="DQ1:DU1"/>
    <mergeCell ref="EV1:EY1"/>
    <mergeCell ref="FA1:FE1"/>
    <mergeCell ref="FF1:FG1"/>
    <mergeCell ref="FH1:FK1"/>
    <mergeCell ref="FM1:FQ1"/>
    <mergeCell ref="FR1:FS1"/>
    <mergeCell ref="FT1:FW1"/>
    <mergeCell ref="M2:Q2"/>
    <mergeCell ref="R2:S2"/>
    <mergeCell ref="AD2:AE2"/>
    <mergeCell ref="AF2:AI2"/>
    <mergeCell ref="AK2:AO2"/>
    <mergeCell ref="AP2:AQ2"/>
    <mergeCell ref="BB2:BC2"/>
    <mergeCell ref="BD2:BG2"/>
    <mergeCell ref="BI2:BM2"/>
    <mergeCell ref="BN2:BO2"/>
    <mergeCell ref="BP2:BS2"/>
    <mergeCell ref="DV1:DW1"/>
    <mergeCell ref="DX1:EA1"/>
    <mergeCell ref="EC1:EG1"/>
    <mergeCell ref="EH1:EI1"/>
    <mergeCell ref="EJ1:EM1"/>
    <mergeCell ref="EO1:ES1"/>
    <mergeCell ref="ET1:EU1"/>
    <mergeCell ref="DQ6:DQ10"/>
    <mergeCell ref="DU6:DU10"/>
    <mergeCell ref="CY6:CY10"/>
    <mergeCell ref="CZ6:CZ10"/>
    <mergeCell ref="DE6:DE10"/>
    <mergeCell ref="DI6:DI10"/>
    <mergeCell ref="DJ6:DJ10"/>
    <mergeCell ref="DK6:DK10"/>
    <mergeCell ref="DL6:DL10"/>
    <mergeCell ref="CY16:CY20"/>
    <mergeCell ref="CZ16:CZ20"/>
    <mergeCell ref="DE16:DE20"/>
    <mergeCell ref="DI16:DI20"/>
    <mergeCell ref="DJ16:DJ20"/>
    <mergeCell ref="DK16:DK20"/>
    <mergeCell ref="DL16:DL20"/>
    <mergeCell ref="DQ16:DQ20"/>
    <mergeCell ref="DU16:DU20"/>
    <mergeCell ref="DV16:DV20"/>
    <mergeCell ref="DW16:DW20"/>
    <mergeCell ref="DX16:DX20"/>
    <mergeCell ref="EC16:EC20"/>
    <mergeCell ref="EG16:EG20"/>
    <mergeCell ref="EH16:EH20"/>
    <mergeCell ref="EI16:EI20"/>
    <mergeCell ref="EJ16:EJ20"/>
    <mergeCell ref="EO16:EO20"/>
    <mergeCell ref="ES16:ES20"/>
    <mergeCell ref="ET16:ET20"/>
    <mergeCell ref="EU16:EU20"/>
    <mergeCell ref="FQ16:FQ20"/>
    <mergeCell ref="FR16:FR20"/>
    <mergeCell ref="FS16:FS20"/>
    <mergeCell ref="FT16:FT20"/>
    <mergeCell ref="EV16:EV20"/>
    <mergeCell ref="FA16:FA20"/>
    <mergeCell ref="FE16:FE20"/>
    <mergeCell ref="FF16:FF20"/>
    <mergeCell ref="FG16:FG20"/>
    <mergeCell ref="FH16:FH20"/>
    <mergeCell ref="FM16:FM20"/>
    <mergeCell ref="CS11:CS15"/>
    <mergeCell ref="CW11:CW15"/>
    <mergeCell ref="CX11:CX15"/>
    <mergeCell ref="CY11:CY15"/>
    <mergeCell ref="CZ11:CZ15"/>
    <mergeCell ref="DE11:DE15"/>
    <mergeCell ref="DI11:DI15"/>
    <mergeCell ref="DJ11:DJ15"/>
    <mergeCell ref="DK11:DK15"/>
    <mergeCell ref="DL11:DL15"/>
    <mergeCell ref="DQ11:DQ15"/>
    <mergeCell ref="DU11:DU15"/>
    <mergeCell ref="DV11:DV15"/>
    <mergeCell ref="DW11:DW15"/>
    <mergeCell ref="DX11:DX15"/>
    <mergeCell ref="EC11:EC15"/>
    <mergeCell ref="EG11:EG15"/>
    <mergeCell ref="EH11:EH15"/>
    <mergeCell ref="EI11:EI15"/>
    <mergeCell ref="EJ11:EJ15"/>
    <mergeCell ref="EO11:EO15"/>
    <mergeCell ref="FG11:FG15"/>
    <mergeCell ref="FH11:FH15"/>
    <mergeCell ref="FM11:FM15"/>
    <mergeCell ref="FQ11:FQ15"/>
    <mergeCell ref="FR11:FR15"/>
    <mergeCell ref="FS11:FS15"/>
    <mergeCell ref="FT11:FT15"/>
    <mergeCell ref="ES11:ES15"/>
    <mergeCell ref="ET11:ET15"/>
    <mergeCell ref="EU11:EU15"/>
    <mergeCell ref="EV11:EV15"/>
    <mergeCell ref="FA11:FA15"/>
    <mergeCell ref="FE11:FE15"/>
    <mergeCell ref="FF11:FF15"/>
    <mergeCell ref="Q11:Q15"/>
    <mergeCell ref="R11:R15"/>
    <mergeCell ref="S11:S15"/>
    <mergeCell ref="T11:T15"/>
    <mergeCell ref="Y11:Y15"/>
    <mergeCell ref="AC11:AC15"/>
    <mergeCell ref="A13:J13"/>
    <mergeCell ref="M11:M15"/>
    <mergeCell ref="M16:M20"/>
    <mergeCell ref="Q16:Q20"/>
    <mergeCell ref="R16:R20"/>
    <mergeCell ref="S16:S20"/>
    <mergeCell ref="T16:T20"/>
    <mergeCell ref="Y16:Y20"/>
    <mergeCell ref="CW6:CW10"/>
    <mergeCell ref="CX6:CX10"/>
    <mergeCell ref="CB6:CB10"/>
    <mergeCell ref="CG6:CG10"/>
    <mergeCell ref="CK6:CK10"/>
    <mergeCell ref="CL6:CL10"/>
    <mergeCell ref="CM6:CM10"/>
    <mergeCell ref="CN6:CN10"/>
    <mergeCell ref="CS6:CS10"/>
    <mergeCell ref="CN16:CN20"/>
    <mergeCell ref="CS16:CS20"/>
    <mergeCell ref="CW16:CW20"/>
    <mergeCell ref="CX16:CX20"/>
    <mergeCell ref="BZ16:BZ20"/>
    <mergeCell ref="CA16:CA20"/>
    <mergeCell ref="CB16:CB20"/>
    <mergeCell ref="CG16:CG20"/>
    <mergeCell ref="CK16:CK20"/>
    <mergeCell ref="CL16:CL20"/>
    <mergeCell ref="CM16:CM20"/>
    <mergeCell ref="BZ6:BZ10"/>
    <mergeCell ref="CA6:CA10"/>
    <mergeCell ref="BI6:BI10"/>
    <mergeCell ref="BM6:BM10"/>
    <mergeCell ref="BN6:BN10"/>
    <mergeCell ref="BO6:BO10"/>
    <mergeCell ref="BP6:BP10"/>
    <mergeCell ref="BU6:BU10"/>
    <mergeCell ref="BY6:BY10"/>
    <mergeCell ref="AD11:AD15"/>
    <mergeCell ref="AE11:AE15"/>
    <mergeCell ref="AF11:AF15"/>
    <mergeCell ref="AK11:AK15"/>
    <mergeCell ref="AO11:AO15"/>
    <mergeCell ref="AP11:AP15"/>
    <mergeCell ref="AQ11:AQ15"/>
    <mergeCell ref="AR11:AR15"/>
    <mergeCell ref="AW11:AW15"/>
    <mergeCell ref="BA11:BA15"/>
    <mergeCell ref="BB11:BB15"/>
    <mergeCell ref="BC11:BC15"/>
    <mergeCell ref="BD11:BD15"/>
    <mergeCell ref="BI11:BI15"/>
    <mergeCell ref="BM11:BM15"/>
    <mergeCell ref="BN11:BN15"/>
    <mergeCell ref="BO11:BO15"/>
    <mergeCell ref="BP11:BP15"/>
    <mergeCell ref="BU11:BU15"/>
    <mergeCell ref="BY11:BY15"/>
    <mergeCell ref="BZ11:BZ15"/>
    <mergeCell ref="CA11:CA15"/>
    <mergeCell ref="CB11:CB15"/>
    <mergeCell ref="CG11:CG15"/>
    <mergeCell ref="CK11:CK15"/>
    <mergeCell ref="CL11:CL15"/>
    <mergeCell ref="CM11:CM15"/>
    <mergeCell ref="CN11:CN15"/>
    <mergeCell ref="BI16:BI20"/>
    <mergeCell ref="BM16:BM20"/>
    <mergeCell ref="BN16:BN20"/>
    <mergeCell ref="BO16:BO20"/>
    <mergeCell ref="BP16:BP20"/>
    <mergeCell ref="BU16:BU20"/>
    <mergeCell ref="BY16:BY20"/>
    <mergeCell ref="AQ16:AQ20"/>
    <mergeCell ref="AR16:AR20"/>
    <mergeCell ref="AW16:AW20"/>
    <mergeCell ref="BA16:BA20"/>
    <mergeCell ref="BB16:BB20"/>
    <mergeCell ref="BC16:BC20"/>
    <mergeCell ref="BD16:BD20"/>
    <mergeCell ref="AC16:AC20"/>
    <mergeCell ref="AD16:AD20"/>
    <mergeCell ref="AE16:AE20"/>
    <mergeCell ref="AF16:AF20"/>
    <mergeCell ref="AK16:AK20"/>
    <mergeCell ref="AO16:AO20"/>
    <mergeCell ref="AP16:AP20"/>
    <mergeCell ref="AP23:AQ24"/>
    <mergeCell ref="AR23:AU24"/>
    <mergeCell ref="AW23:BA24"/>
    <mergeCell ref="BB23:BC24"/>
    <mergeCell ref="BD23:BG24"/>
    <mergeCell ref="BI23:BM24"/>
    <mergeCell ref="BN23:BO24"/>
    <mergeCell ref="BP23:BS24"/>
    <mergeCell ref="BU23:BY24"/>
    <mergeCell ref="BZ23:CA24"/>
    <mergeCell ref="CB23:CE24"/>
    <mergeCell ref="CG23:CK24"/>
    <mergeCell ref="CL23:CM24"/>
    <mergeCell ref="CN23:CQ24"/>
    <mergeCell ref="CS23:CW24"/>
    <mergeCell ref="CX23:CY24"/>
    <mergeCell ref="CZ23:DC24"/>
    <mergeCell ref="DE23:DI24"/>
    <mergeCell ref="DJ23:DK24"/>
    <mergeCell ref="DL23:DO24"/>
    <mergeCell ref="DQ23:DU24"/>
    <mergeCell ref="EV23:EY24"/>
    <mergeCell ref="FA23:FE24"/>
    <mergeCell ref="FF23:FG24"/>
    <mergeCell ref="FH23:FK24"/>
    <mergeCell ref="FM23:FQ24"/>
    <mergeCell ref="FR23:FS24"/>
    <mergeCell ref="FT23:FW24"/>
    <mergeCell ref="DV23:DW24"/>
    <mergeCell ref="DX23:EA24"/>
    <mergeCell ref="EC23:EG24"/>
    <mergeCell ref="EH23:EI24"/>
    <mergeCell ref="EJ23:EM24"/>
    <mergeCell ref="EO23:ES24"/>
    <mergeCell ref="ET23:EU24"/>
    <mergeCell ref="BP26:BP30"/>
    <mergeCell ref="BU26:BU30"/>
    <mergeCell ref="BB26:BB30"/>
    <mergeCell ref="BC26:BC30"/>
    <mergeCell ref="BD26:BD30"/>
    <mergeCell ref="BI26:BI30"/>
    <mergeCell ref="BM26:BM30"/>
    <mergeCell ref="BN26:BN30"/>
    <mergeCell ref="BO26:BO30"/>
    <mergeCell ref="CM26:CM30"/>
    <mergeCell ref="CN26:CN30"/>
    <mergeCell ref="BY26:BY30"/>
    <mergeCell ref="BZ26:BZ30"/>
    <mergeCell ref="CA26:CA30"/>
    <mergeCell ref="CB26:CB30"/>
    <mergeCell ref="CG26:CG30"/>
    <mergeCell ref="CK26:CK30"/>
    <mergeCell ref="CL26:CL30"/>
    <mergeCell ref="DJ26:DJ30"/>
    <mergeCell ref="DK26:DK30"/>
    <mergeCell ref="FT26:FT30"/>
    <mergeCell ref="CS26:CS30"/>
    <mergeCell ref="CW26:CW30"/>
    <mergeCell ref="CX26:CX30"/>
    <mergeCell ref="CY26:CY30"/>
    <mergeCell ref="CZ26:CZ30"/>
    <mergeCell ref="DE26:DE30"/>
    <mergeCell ref="DI26:DI30"/>
    <mergeCell ref="FH26:FH30"/>
    <mergeCell ref="FM26:FM30"/>
    <mergeCell ref="DV25:DW25"/>
    <mergeCell ref="ET25:EU25"/>
    <mergeCell ref="FR25:FS25"/>
    <mergeCell ref="DL26:DL30"/>
    <mergeCell ref="DQ26:DQ30"/>
    <mergeCell ref="EC26:EC30"/>
    <mergeCell ref="FA26:FA30"/>
    <mergeCell ref="FS26:FS30"/>
    <mergeCell ref="DW26:DW30"/>
    <mergeCell ref="DX26:DX30"/>
    <mergeCell ref="EH25:EI25"/>
    <mergeCell ref="EG26:EG30"/>
    <mergeCell ref="EH26:EH30"/>
    <mergeCell ref="EI26:EI30"/>
    <mergeCell ref="EJ26:EJ30"/>
    <mergeCell ref="EO26:EO30"/>
    <mergeCell ref="ES26:ES30"/>
    <mergeCell ref="ET26:ET30"/>
    <mergeCell ref="EU26:EU30"/>
    <mergeCell ref="EV26:EV30"/>
    <mergeCell ref="FF25:FG25"/>
    <mergeCell ref="FE26:FE30"/>
    <mergeCell ref="FF26:FF30"/>
    <mergeCell ref="FG26:FG30"/>
    <mergeCell ref="FQ26:FQ30"/>
    <mergeCell ref="FR26:FR30"/>
    <mergeCell ref="DE31:DE35"/>
    <mergeCell ref="DI31:DI35"/>
    <mergeCell ref="DJ31:DJ35"/>
    <mergeCell ref="DK31:DK35"/>
    <mergeCell ref="DL31:DL35"/>
    <mergeCell ref="DQ31:DQ35"/>
    <mergeCell ref="DU31:DU35"/>
    <mergeCell ref="DV31:DV35"/>
    <mergeCell ref="DW31:DW35"/>
    <mergeCell ref="DX31:DX35"/>
    <mergeCell ref="EC31:EC35"/>
    <mergeCell ref="EG31:EG35"/>
    <mergeCell ref="EH31:EH35"/>
    <mergeCell ref="EI31:EI35"/>
    <mergeCell ref="EJ31:EJ35"/>
    <mergeCell ref="EO31:EO35"/>
    <mergeCell ref="ES31:ES35"/>
    <mergeCell ref="ET31:ET35"/>
    <mergeCell ref="EU31:EU35"/>
    <mergeCell ref="EV31:EV35"/>
    <mergeCell ref="FA31:FA35"/>
    <mergeCell ref="FS31:FS35"/>
    <mergeCell ref="FT31:FT35"/>
    <mergeCell ref="FE31:FE35"/>
    <mergeCell ref="FF31:FF35"/>
    <mergeCell ref="FG31:FG35"/>
    <mergeCell ref="FH31:FH35"/>
    <mergeCell ref="FM31:FM35"/>
    <mergeCell ref="FQ31:FQ35"/>
    <mergeCell ref="FR31:FR35"/>
    <mergeCell ref="R36:R40"/>
    <mergeCell ref="S36:S40"/>
    <mergeCell ref="Y26:Y30"/>
    <mergeCell ref="Y36:Y40"/>
    <mergeCell ref="T26:T30"/>
    <mergeCell ref="M31:M35"/>
    <mergeCell ref="R31:R35"/>
    <mergeCell ref="S31:S35"/>
    <mergeCell ref="T31:T35"/>
    <mergeCell ref="M36:M40"/>
    <mergeCell ref="T36:T40"/>
    <mergeCell ref="AQ36:AQ40"/>
    <mergeCell ref="AR36:AR40"/>
    <mergeCell ref="AC36:AC40"/>
    <mergeCell ref="AD36:AD40"/>
    <mergeCell ref="AE36:AE40"/>
    <mergeCell ref="AF36:AF40"/>
    <mergeCell ref="AK36:AK40"/>
    <mergeCell ref="AO36:AO40"/>
    <mergeCell ref="AP36:AP40"/>
    <mergeCell ref="BB36:BB40"/>
    <mergeCell ref="BC36:BC40"/>
    <mergeCell ref="AP31:AP35"/>
    <mergeCell ref="AQ31:AQ35"/>
    <mergeCell ref="AR31:AR35"/>
    <mergeCell ref="AW31:AW35"/>
    <mergeCell ref="BB31:BB35"/>
    <mergeCell ref="BC31:BC35"/>
    <mergeCell ref="AW36:AW40"/>
    <mergeCell ref="BP36:BP40"/>
    <mergeCell ref="BU36:BU40"/>
    <mergeCell ref="BY36:BY40"/>
    <mergeCell ref="BZ36:BZ40"/>
    <mergeCell ref="CA36:CA40"/>
    <mergeCell ref="CB36:CB40"/>
    <mergeCell ref="CG36:CG40"/>
    <mergeCell ref="CK36:CK40"/>
    <mergeCell ref="CL36:CL40"/>
    <mergeCell ref="DW36:DW40"/>
    <mergeCell ref="DX36:DX40"/>
    <mergeCell ref="EC36:EC40"/>
    <mergeCell ref="EG36:EG40"/>
    <mergeCell ref="EH36:EH40"/>
    <mergeCell ref="EI36:EI40"/>
    <mergeCell ref="EJ36:EJ40"/>
    <mergeCell ref="EO36:EO40"/>
    <mergeCell ref="ES36:ES40"/>
    <mergeCell ref="ET36:ET40"/>
    <mergeCell ref="EU36:EU40"/>
    <mergeCell ref="EV36:EV40"/>
    <mergeCell ref="FR36:FR40"/>
    <mergeCell ref="FS36:FS40"/>
    <mergeCell ref="FT36:FT40"/>
    <mergeCell ref="FA36:FA40"/>
    <mergeCell ref="FE36:FE40"/>
    <mergeCell ref="FF36:FF40"/>
    <mergeCell ref="FG36:FG40"/>
    <mergeCell ref="FH36:FH40"/>
    <mergeCell ref="FM36:FM40"/>
    <mergeCell ref="FQ36:FQ40"/>
    <mergeCell ref="AD23:AE24"/>
    <mergeCell ref="AD25:AE25"/>
    <mergeCell ref="AP25:AQ25"/>
    <mergeCell ref="BB25:BC25"/>
    <mergeCell ref="BN25:BO25"/>
    <mergeCell ref="BZ25:CA25"/>
    <mergeCell ref="CL25:CM25"/>
    <mergeCell ref="CX25:CY25"/>
    <mergeCell ref="DJ25:DK25"/>
    <mergeCell ref="R25:S25"/>
    <mergeCell ref="Q26:Q30"/>
    <mergeCell ref="R26:R30"/>
    <mergeCell ref="S26:S30"/>
    <mergeCell ref="AC26:AC30"/>
    <mergeCell ref="AD26:AD30"/>
    <mergeCell ref="AE26:AE30"/>
    <mergeCell ref="AF26:AF30"/>
    <mergeCell ref="AK26:AK30"/>
    <mergeCell ref="AO26:AO30"/>
    <mergeCell ref="AP26:AP30"/>
    <mergeCell ref="AQ26:AQ30"/>
    <mergeCell ref="AR26:AR30"/>
    <mergeCell ref="AW26:AW30"/>
    <mergeCell ref="BA26:BA30"/>
    <mergeCell ref="DU26:DU30"/>
    <mergeCell ref="DV26:DV30"/>
    <mergeCell ref="CM31:CM35"/>
    <mergeCell ref="CN31:CN35"/>
    <mergeCell ref="CS31:CS35"/>
    <mergeCell ref="CW31:CW35"/>
    <mergeCell ref="CX31:CX35"/>
    <mergeCell ref="CY31:CY35"/>
    <mergeCell ref="CZ31:CZ35"/>
    <mergeCell ref="CM36:CM40"/>
    <mergeCell ref="CN36:CN40"/>
    <mergeCell ref="CS36:CS40"/>
    <mergeCell ref="CW36:CW40"/>
    <mergeCell ref="CX36:CX40"/>
    <mergeCell ref="CY36:CY40"/>
    <mergeCell ref="CZ36:CZ40"/>
    <mergeCell ref="AF43:AI44"/>
    <mergeCell ref="AD45:AE45"/>
    <mergeCell ref="BB43:BC44"/>
    <mergeCell ref="BB45:BC45"/>
    <mergeCell ref="AK43:AO44"/>
    <mergeCell ref="AP43:AQ44"/>
    <mergeCell ref="AR43:AU44"/>
    <mergeCell ref="AW43:BA44"/>
    <mergeCell ref="BD43:BG44"/>
    <mergeCell ref="R45:S45"/>
    <mergeCell ref="AP45:AQ45"/>
    <mergeCell ref="DV45:DW45"/>
    <mergeCell ref="EH45:EI45"/>
    <mergeCell ref="ET45:EU45"/>
    <mergeCell ref="FF45:FG45"/>
    <mergeCell ref="FR45:FS45"/>
    <mergeCell ref="BI43:BM44"/>
    <mergeCell ref="BN43:BO44"/>
    <mergeCell ref="BN45:BO45"/>
    <mergeCell ref="BZ45:CA45"/>
    <mergeCell ref="CL45:CM45"/>
    <mergeCell ref="CX45:CY45"/>
    <mergeCell ref="DJ45:DK45"/>
    <mergeCell ref="BP43:BS44"/>
    <mergeCell ref="BU43:BY44"/>
    <mergeCell ref="BZ43:CA44"/>
    <mergeCell ref="CB43:CE44"/>
    <mergeCell ref="CG43:CK44"/>
    <mergeCell ref="CL43:CM44"/>
    <mergeCell ref="CN43:CQ44"/>
    <mergeCell ref="ET43:EU44"/>
    <mergeCell ref="EV43:EY44"/>
    <mergeCell ref="FA43:FE44"/>
    <mergeCell ref="FF43:FG44"/>
    <mergeCell ref="FH43:FK44"/>
    <mergeCell ref="FM43:FQ44"/>
    <mergeCell ref="FR43:FS44"/>
    <mergeCell ref="FT43:FW44"/>
    <mergeCell ref="CS43:CW44"/>
    <mergeCell ref="CX43:CY44"/>
    <mergeCell ref="DX43:EA44"/>
    <mergeCell ref="EC43:EG44"/>
    <mergeCell ref="EH43:EI44"/>
    <mergeCell ref="EJ43:EM44"/>
    <mergeCell ref="EO43:ES44"/>
    <mergeCell ref="BM46:BM50"/>
    <mergeCell ref="BN46:BN50"/>
    <mergeCell ref="BO46:BO50"/>
    <mergeCell ref="BP46:BP50"/>
    <mergeCell ref="BU46:BU50"/>
    <mergeCell ref="BY46:BY50"/>
    <mergeCell ref="BZ46:BZ50"/>
    <mergeCell ref="CA46:CA50"/>
    <mergeCell ref="CB46:CB50"/>
    <mergeCell ref="CG46:CG50"/>
    <mergeCell ref="CK46:CK50"/>
    <mergeCell ref="CL46:CL50"/>
    <mergeCell ref="CM46:CM50"/>
    <mergeCell ref="CN46:CN50"/>
    <mergeCell ref="DE46:DE50"/>
    <mergeCell ref="DI46:DI50"/>
    <mergeCell ref="DJ46:DJ50"/>
    <mergeCell ref="DK46:DK50"/>
    <mergeCell ref="DL46:DL50"/>
    <mergeCell ref="DQ46:DQ50"/>
    <mergeCell ref="DU46:DU50"/>
    <mergeCell ref="DV46:DV50"/>
    <mergeCell ref="DW46:DW50"/>
    <mergeCell ref="DX46:DX50"/>
    <mergeCell ref="EC46:EC50"/>
    <mergeCell ref="EG46:EG50"/>
    <mergeCell ref="EH46:EH50"/>
    <mergeCell ref="EI46:EI50"/>
    <mergeCell ref="EJ46:EJ50"/>
    <mergeCell ref="EO46:EO50"/>
    <mergeCell ref="ES46:ES50"/>
    <mergeCell ref="ET46:ET50"/>
    <mergeCell ref="EU46:EU50"/>
    <mergeCell ref="EV46:EV50"/>
    <mergeCell ref="FA46:FA50"/>
    <mergeCell ref="FS46:FS50"/>
    <mergeCell ref="FT46:FT50"/>
    <mergeCell ref="FE46:FE50"/>
    <mergeCell ref="FF46:FF50"/>
    <mergeCell ref="FG46:FG50"/>
    <mergeCell ref="FH46:FH50"/>
    <mergeCell ref="FM46:FM50"/>
    <mergeCell ref="FQ46:FQ50"/>
    <mergeCell ref="FR46:FR50"/>
    <mergeCell ref="AK51:AK55"/>
    <mergeCell ref="AO51:AO55"/>
    <mergeCell ref="AP51:AP55"/>
    <mergeCell ref="AQ51:AQ55"/>
    <mergeCell ref="AR51:AR55"/>
    <mergeCell ref="AW51:AW55"/>
    <mergeCell ref="BA51:BA55"/>
    <mergeCell ref="BB51:BB55"/>
    <mergeCell ref="BC51:BC55"/>
    <mergeCell ref="DX51:DX55"/>
    <mergeCell ref="EC51:EC55"/>
    <mergeCell ref="EG51:EG55"/>
    <mergeCell ref="EH51:EH55"/>
    <mergeCell ref="EI51:EI55"/>
    <mergeCell ref="EJ51:EJ55"/>
    <mergeCell ref="EO51:EO55"/>
    <mergeCell ref="ES51:ES55"/>
    <mergeCell ref="ET51:ET55"/>
    <mergeCell ref="EU51:EU55"/>
    <mergeCell ref="EV51:EV55"/>
    <mergeCell ref="FA51:FA55"/>
    <mergeCell ref="FS51:FS55"/>
    <mergeCell ref="FT51:FT55"/>
    <mergeCell ref="FE51:FE55"/>
    <mergeCell ref="FF51:FF55"/>
    <mergeCell ref="FG51:FG55"/>
    <mergeCell ref="FH51:FH55"/>
    <mergeCell ref="FM51:FM55"/>
    <mergeCell ref="FQ51:FQ55"/>
    <mergeCell ref="FR51:FR55"/>
    <mergeCell ref="BY51:BY55"/>
    <mergeCell ref="BZ51:BZ55"/>
    <mergeCell ref="BI46:BI50"/>
    <mergeCell ref="BI51:BI55"/>
    <mergeCell ref="BM51:BM55"/>
    <mergeCell ref="BN51:BN55"/>
    <mergeCell ref="BO51:BO55"/>
    <mergeCell ref="BP51:BP55"/>
    <mergeCell ref="BU51:BU55"/>
    <mergeCell ref="CB56:CB60"/>
    <mergeCell ref="CG56:CG60"/>
    <mergeCell ref="CL51:CL55"/>
    <mergeCell ref="CM51:CM55"/>
    <mergeCell ref="BP56:BP60"/>
    <mergeCell ref="BU56:BU60"/>
    <mergeCell ref="BY56:BY60"/>
    <mergeCell ref="BZ56:BZ60"/>
    <mergeCell ref="CA56:CA60"/>
    <mergeCell ref="CM56:CM60"/>
    <mergeCell ref="CN56:CN60"/>
    <mergeCell ref="CS56:CS60"/>
    <mergeCell ref="CW56:CW60"/>
    <mergeCell ref="CX56:CX60"/>
    <mergeCell ref="CY56:CY60"/>
    <mergeCell ref="CZ56:CZ60"/>
    <mergeCell ref="DE56:DE60"/>
    <mergeCell ref="DI56:DI60"/>
    <mergeCell ref="DJ56:DJ60"/>
    <mergeCell ref="DK56:DK60"/>
    <mergeCell ref="DL56:DL60"/>
    <mergeCell ref="DQ56:DQ60"/>
    <mergeCell ref="DU56:DU60"/>
    <mergeCell ref="DV56:DV60"/>
    <mergeCell ref="DW56:DW60"/>
    <mergeCell ref="DX56:DX60"/>
    <mergeCell ref="EC56:EC60"/>
    <mergeCell ref="EG56:EG60"/>
    <mergeCell ref="EH56:EH60"/>
    <mergeCell ref="EI56:EI60"/>
    <mergeCell ref="EJ56:EJ60"/>
    <mergeCell ref="EO56:EO60"/>
    <mergeCell ref="ES56:ES60"/>
    <mergeCell ref="ET56:ET60"/>
    <mergeCell ref="EU56:EU60"/>
    <mergeCell ref="EV56:EV60"/>
    <mergeCell ref="FA56:FA60"/>
    <mergeCell ref="FS56:FS60"/>
    <mergeCell ref="FT56:FT60"/>
    <mergeCell ref="FE56:FE60"/>
    <mergeCell ref="FF56:FF60"/>
    <mergeCell ref="FG56:FG60"/>
    <mergeCell ref="FH56:FH60"/>
    <mergeCell ref="FM56:FM60"/>
    <mergeCell ref="FQ56:FQ60"/>
    <mergeCell ref="FR56:FR60"/>
    <mergeCell ref="BN56:BN60"/>
    <mergeCell ref="BO56:BO60"/>
    <mergeCell ref="AW56:AW60"/>
    <mergeCell ref="BA56:BA60"/>
    <mergeCell ref="BB56:BB60"/>
    <mergeCell ref="BC56:BC60"/>
    <mergeCell ref="BD56:BD60"/>
    <mergeCell ref="BI56:BI60"/>
    <mergeCell ref="BM56:BM60"/>
    <mergeCell ref="FF63:FG64"/>
    <mergeCell ref="FH63:FK64"/>
    <mergeCell ref="FM63:FQ64"/>
    <mergeCell ref="FR63:FS64"/>
    <mergeCell ref="FT63:FW64"/>
    <mergeCell ref="FR65:FS65"/>
    <mergeCell ref="BN63:BO64"/>
    <mergeCell ref="BN65:BO65"/>
    <mergeCell ref="CX63:CY64"/>
    <mergeCell ref="CX65:CY65"/>
    <mergeCell ref="DV63:DW64"/>
    <mergeCell ref="DV65:DW65"/>
    <mergeCell ref="FA63:FE64"/>
    <mergeCell ref="FF65:FG65"/>
    <mergeCell ref="CB71:CB75"/>
    <mergeCell ref="CG71:CG75"/>
    <mergeCell ref="CK71:CK75"/>
    <mergeCell ref="CL71:CL75"/>
    <mergeCell ref="CM71:CM75"/>
    <mergeCell ref="CN71:CN75"/>
    <mergeCell ref="CS71:CS75"/>
    <mergeCell ref="DK71:DK75"/>
    <mergeCell ref="DL71:DL75"/>
    <mergeCell ref="CW71:CW75"/>
    <mergeCell ref="CX71:CX75"/>
    <mergeCell ref="CY71:CY75"/>
    <mergeCell ref="CZ71:CZ75"/>
    <mergeCell ref="DE71:DE75"/>
    <mergeCell ref="DI71:DI75"/>
    <mergeCell ref="DJ71:DJ75"/>
    <mergeCell ref="M56:M60"/>
    <mergeCell ref="M63:Q64"/>
    <mergeCell ref="M66:M70"/>
    <mergeCell ref="Q66:Q70"/>
    <mergeCell ref="R46:R50"/>
    <mergeCell ref="S46:S50"/>
    <mergeCell ref="M51:M55"/>
    <mergeCell ref="R51:R55"/>
    <mergeCell ref="S51:S55"/>
    <mergeCell ref="T51:T55"/>
    <mergeCell ref="T56:T60"/>
    <mergeCell ref="R56:R60"/>
    <mergeCell ref="S56:S60"/>
    <mergeCell ref="R63:S64"/>
    <mergeCell ref="R65:S65"/>
    <mergeCell ref="R66:R70"/>
    <mergeCell ref="S66:S70"/>
    <mergeCell ref="T66:T70"/>
    <mergeCell ref="Y66:Y70"/>
    <mergeCell ref="AC66:AC70"/>
    <mergeCell ref="AD66:AD70"/>
    <mergeCell ref="AE66:AE70"/>
    <mergeCell ref="AF66:AF70"/>
    <mergeCell ref="AK66:AK70"/>
    <mergeCell ref="AO66:AO70"/>
    <mergeCell ref="AP66:AP70"/>
    <mergeCell ref="AQ66:AQ70"/>
    <mergeCell ref="AR66:AR70"/>
    <mergeCell ref="AW66:AW70"/>
    <mergeCell ref="BA66:BA70"/>
    <mergeCell ref="BB66:BB70"/>
    <mergeCell ref="BC66:BC70"/>
    <mergeCell ref="DE66:DE70"/>
    <mergeCell ref="DI66:DI70"/>
    <mergeCell ref="DJ66:DJ70"/>
    <mergeCell ref="DK66:DK70"/>
    <mergeCell ref="DL66:DL70"/>
    <mergeCell ref="BD66:BD70"/>
    <mergeCell ref="BI66:BI70"/>
    <mergeCell ref="BM66:BM70"/>
    <mergeCell ref="BN66:BN70"/>
    <mergeCell ref="BO66:BO70"/>
    <mergeCell ref="BP66:BP70"/>
    <mergeCell ref="BU66:BU70"/>
    <mergeCell ref="R76:R80"/>
    <mergeCell ref="S76:S80"/>
    <mergeCell ref="T76:T80"/>
    <mergeCell ref="Y76:Y80"/>
    <mergeCell ref="T63:W64"/>
    <mergeCell ref="Y63:AC64"/>
    <mergeCell ref="M71:M75"/>
    <mergeCell ref="R71:R75"/>
    <mergeCell ref="S71:S75"/>
    <mergeCell ref="T71:T75"/>
    <mergeCell ref="M76:M80"/>
    <mergeCell ref="AC76:AC80"/>
    <mergeCell ref="T46:T50"/>
    <mergeCell ref="Y46:Y50"/>
    <mergeCell ref="Y51:Y55"/>
    <mergeCell ref="AD51:AD55"/>
    <mergeCell ref="AE51:AE55"/>
    <mergeCell ref="AF51:AF55"/>
    <mergeCell ref="AF56:AF60"/>
    <mergeCell ref="AP63:AQ64"/>
    <mergeCell ref="AP65:AQ65"/>
    <mergeCell ref="AD56:AD60"/>
    <mergeCell ref="AE56:AE60"/>
    <mergeCell ref="AD63:AE64"/>
    <mergeCell ref="AF63:AI64"/>
    <mergeCell ref="AK63:AO64"/>
    <mergeCell ref="AR63:AU64"/>
    <mergeCell ref="AD65:AE65"/>
    <mergeCell ref="Y56:Y60"/>
    <mergeCell ref="Y71:Y75"/>
    <mergeCell ref="Q71:Q75"/>
    <mergeCell ref="Q76:Q80"/>
    <mergeCell ref="AC71:AC75"/>
    <mergeCell ref="AD71:AD75"/>
    <mergeCell ref="AE71:AE75"/>
    <mergeCell ref="AF71:AF75"/>
    <mergeCell ref="AK71:AK75"/>
    <mergeCell ref="AO71:AO75"/>
    <mergeCell ref="AP71:AP75"/>
    <mergeCell ref="BA76:BA80"/>
    <mergeCell ref="BB76:BB80"/>
    <mergeCell ref="BC76:BC80"/>
    <mergeCell ref="BD76:BD80"/>
    <mergeCell ref="AQ71:AQ75"/>
    <mergeCell ref="AR71:AR75"/>
    <mergeCell ref="AW71:AW75"/>
    <mergeCell ref="BA71:BA75"/>
    <mergeCell ref="BB71:BB75"/>
    <mergeCell ref="BC71:BC75"/>
    <mergeCell ref="BD71:BD75"/>
    <mergeCell ref="FR76:FR80"/>
    <mergeCell ref="FS76:FS80"/>
    <mergeCell ref="FT76:FT80"/>
    <mergeCell ref="FA76:FA80"/>
    <mergeCell ref="FE76:FE80"/>
    <mergeCell ref="FF76:FF80"/>
    <mergeCell ref="FG76:FG80"/>
    <mergeCell ref="FH76:FH80"/>
    <mergeCell ref="FM76:FM80"/>
    <mergeCell ref="FQ76:FQ80"/>
    <mergeCell ref="AD76:AD80"/>
    <mergeCell ref="AE76:AE80"/>
    <mergeCell ref="AF76:AF80"/>
    <mergeCell ref="AK76:AK80"/>
    <mergeCell ref="AO76:AO80"/>
    <mergeCell ref="AP76:AP80"/>
    <mergeCell ref="AQ76:AQ80"/>
    <mergeCell ref="AR76:AR80"/>
    <mergeCell ref="AW76:AW80"/>
    <mergeCell ref="BI76:BI80"/>
    <mergeCell ref="BM76:BM80"/>
    <mergeCell ref="BN76:BN80"/>
    <mergeCell ref="BO76:BO80"/>
    <mergeCell ref="BP76:BP80"/>
    <mergeCell ref="BU76:BU80"/>
    <mergeCell ref="BY76:BY80"/>
    <mergeCell ref="BZ76:BZ80"/>
    <mergeCell ref="CA76:CA80"/>
    <mergeCell ref="CB76:CB80"/>
    <mergeCell ref="CG76:CG80"/>
    <mergeCell ref="CK76:CK80"/>
    <mergeCell ref="CL76:CL80"/>
    <mergeCell ref="CM76:CM80"/>
    <mergeCell ref="CN76:CN80"/>
    <mergeCell ref="CS76:CS80"/>
    <mergeCell ref="CW76:CW80"/>
    <mergeCell ref="CX76:CX80"/>
    <mergeCell ref="CY76:CY80"/>
    <mergeCell ref="CZ76:CZ80"/>
    <mergeCell ref="DE76:DE80"/>
    <mergeCell ref="DI76:DI80"/>
    <mergeCell ref="DJ76:DJ80"/>
    <mergeCell ref="DK76:DK80"/>
    <mergeCell ref="DL76:DL80"/>
    <mergeCell ref="DQ76:DQ80"/>
    <mergeCell ref="DU76:DU80"/>
    <mergeCell ref="DV76:DV80"/>
    <mergeCell ref="DW76:DW80"/>
    <mergeCell ref="DX76:DX80"/>
    <mergeCell ref="EC76:EC80"/>
    <mergeCell ref="EG76:EG80"/>
    <mergeCell ref="EH76:EH80"/>
    <mergeCell ref="EI76:EI80"/>
    <mergeCell ref="EJ76:EJ80"/>
    <mergeCell ref="EO76:EO80"/>
    <mergeCell ref="ES76:ES80"/>
    <mergeCell ref="ET76:ET80"/>
    <mergeCell ref="EU76:EU80"/>
    <mergeCell ref="EV76:EV80"/>
    <mergeCell ref="M23:Q24"/>
    <mergeCell ref="R23:S24"/>
    <mergeCell ref="T23:W24"/>
    <mergeCell ref="Y23:AC24"/>
    <mergeCell ref="AF23:AI24"/>
    <mergeCell ref="AK23:AO24"/>
    <mergeCell ref="M26:M30"/>
    <mergeCell ref="BD31:BD35"/>
    <mergeCell ref="BI31:BI35"/>
    <mergeCell ref="BM31:BM35"/>
    <mergeCell ref="BN31:BN35"/>
    <mergeCell ref="BO31:BO35"/>
    <mergeCell ref="BP31:BP35"/>
    <mergeCell ref="BU31:BU35"/>
    <mergeCell ref="BY31:BY35"/>
    <mergeCell ref="BZ31:BZ35"/>
    <mergeCell ref="CA31:CA35"/>
    <mergeCell ref="CB31:CB35"/>
    <mergeCell ref="CG31:CG35"/>
    <mergeCell ref="CK31:CK35"/>
    <mergeCell ref="CL31:CL35"/>
    <mergeCell ref="Y31:Y35"/>
    <mergeCell ref="AC31:AC35"/>
    <mergeCell ref="AD31:AD35"/>
    <mergeCell ref="AE31:AE35"/>
    <mergeCell ref="AF31:AF35"/>
    <mergeCell ref="AK31:AK35"/>
    <mergeCell ref="AO31:AO35"/>
    <mergeCell ref="BA31:BA35"/>
    <mergeCell ref="BA36:BA40"/>
    <mergeCell ref="BD36:BD40"/>
    <mergeCell ref="BI36:BI40"/>
    <mergeCell ref="BM36:BM40"/>
    <mergeCell ref="BN36:BN40"/>
    <mergeCell ref="BO36:BO40"/>
    <mergeCell ref="DE36:DE40"/>
    <mergeCell ref="CZ43:DC44"/>
    <mergeCell ref="DE43:DI44"/>
    <mergeCell ref="DJ43:DK44"/>
    <mergeCell ref="DL43:DO44"/>
    <mergeCell ref="DQ43:DU44"/>
    <mergeCell ref="DV43:DW44"/>
    <mergeCell ref="DI36:DI40"/>
    <mergeCell ref="DJ36:DJ40"/>
    <mergeCell ref="DK36:DK40"/>
    <mergeCell ref="DL36:DL40"/>
    <mergeCell ref="DQ36:DQ40"/>
    <mergeCell ref="DU36:DU40"/>
    <mergeCell ref="DV36:DV40"/>
    <mergeCell ref="CG51:CG55"/>
    <mergeCell ref="CK51:CK55"/>
    <mergeCell ref="CS46:CS50"/>
    <mergeCell ref="CS51:CS55"/>
    <mergeCell ref="CW51:CW55"/>
    <mergeCell ref="CX51:CX55"/>
    <mergeCell ref="CW46:CW50"/>
    <mergeCell ref="CX46:CX50"/>
    <mergeCell ref="CY46:CY50"/>
    <mergeCell ref="CZ46:CZ50"/>
    <mergeCell ref="CA51:CA55"/>
    <mergeCell ref="CB51:CB55"/>
    <mergeCell ref="CN51:CN55"/>
    <mergeCell ref="DQ51:DQ55"/>
    <mergeCell ref="DU51:DU55"/>
    <mergeCell ref="DV51:DV55"/>
    <mergeCell ref="DW51:DW55"/>
    <mergeCell ref="CY51:CY55"/>
    <mergeCell ref="CZ51:CZ55"/>
    <mergeCell ref="DE51:DE55"/>
    <mergeCell ref="DI51:DI55"/>
    <mergeCell ref="DJ51:DJ55"/>
    <mergeCell ref="DK51:DK55"/>
    <mergeCell ref="DL51:DL55"/>
    <mergeCell ref="Q36:Q40"/>
    <mergeCell ref="Q46:Q50"/>
    <mergeCell ref="Q31:Q35"/>
    <mergeCell ref="M43:Q44"/>
    <mergeCell ref="R43:S44"/>
    <mergeCell ref="T43:W44"/>
    <mergeCell ref="Y43:AC44"/>
    <mergeCell ref="AD43:AE44"/>
    <mergeCell ref="M46:M50"/>
    <mergeCell ref="AE46:AE50"/>
    <mergeCell ref="AC46:AC50"/>
    <mergeCell ref="AD46:AD50"/>
    <mergeCell ref="AF46:AF50"/>
    <mergeCell ref="AK46:AK50"/>
    <mergeCell ref="AO46:AO50"/>
    <mergeCell ref="AP46:AP50"/>
    <mergeCell ref="AQ46:AQ50"/>
    <mergeCell ref="AR46:AR50"/>
    <mergeCell ref="AW46:AW50"/>
    <mergeCell ref="BA46:BA50"/>
    <mergeCell ref="BB46:BB50"/>
    <mergeCell ref="BC46:BC50"/>
    <mergeCell ref="BD46:BD50"/>
    <mergeCell ref="BD51:BD55"/>
    <mergeCell ref="Q51:Q55"/>
    <mergeCell ref="Q56:Q60"/>
    <mergeCell ref="AC51:AC55"/>
    <mergeCell ref="AC56:AC60"/>
    <mergeCell ref="AK56:AK60"/>
    <mergeCell ref="AO56:AO60"/>
    <mergeCell ref="AP56:AP60"/>
    <mergeCell ref="AQ56:AQ60"/>
    <mergeCell ref="AR56:AR60"/>
    <mergeCell ref="CK56:CK60"/>
    <mergeCell ref="CL56:CL60"/>
    <mergeCell ref="AW63:BA64"/>
    <mergeCell ref="BB63:BC64"/>
    <mergeCell ref="BD63:BG64"/>
    <mergeCell ref="BI63:BM64"/>
    <mergeCell ref="BP63:BS64"/>
    <mergeCell ref="BU63:BY64"/>
    <mergeCell ref="BB65:BC65"/>
    <mergeCell ref="BZ65:CA65"/>
    <mergeCell ref="BZ63:CA64"/>
    <mergeCell ref="CB63:CE64"/>
    <mergeCell ref="CG63:CK64"/>
    <mergeCell ref="CL63:CM64"/>
    <mergeCell ref="CN63:CQ64"/>
    <mergeCell ref="CS63:CW64"/>
    <mergeCell ref="CL65:CM65"/>
    <mergeCell ref="CZ63:DC64"/>
    <mergeCell ref="DE63:DI64"/>
    <mergeCell ref="DJ63:DK64"/>
    <mergeCell ref="DL63:DO64"/>
    <mergeCell ref="DQ63:DU64"/>
    <mergeCell ref="DX63:EA64"/>
    <mergeCell ref="DJ65:DK65"/>
    <mergeCell ref="EH65:EI65"/>
    <mergeCell ref="EC63:EG64"/>
    <mergeCell ref="EH63:EI64"/>
    <mergeCell ref="EJ63:EM64"/>
    <mergeCell ref="EO63:ES64"/>
    <mergeCell ref="ET63:EU64"/>
    <mergeCell ref="EV63:EY64"/>
    <mergeCell ref="ET65:EU65"/>
    <mergeCell ref="BY66:BY70"/>
    <mergeCell ref="BZ66:BZ70"/>
    <mergeCell ref="CA66:CA70"/>
    <mergeCell ref="CB66:CB70"/>
    <mergeCell ref="CG66:CG70"/>
    <mergeCell ref="CK66:CK70"/>
    <mergeCell ref="CL66:CL70"/>
    <mergeCell ref="CM66:CM70"/>
    <mergeCell ref="CN66:CN70"/>
    <mergeCell ref="CS66:CS70"/>
    <mergeCell ref="CW66:CW70"/>
    <mergeCell ref="CX66:CX70"/>
    <mergeCell ref="CY66:CY70"/>
    <mergeCell ref="CZ66:CZ70"/>
    <mergeCell ref="DQ66:DQ70"/>
    <mergeCell ref="DU66:DU70"/>
    <mergeCell ref="DV66:DV70"/>
    <mergeCell ref="DW66:DW70"/>
    <mergeCell ref="DX66:DX70"/>
    <mergeCell ref="EC66:EC70"/>
    <mergeCell ref="EG66:EG70"/>
    <mergeCell ref="EH66:EH70"/>
    <mergeCell ref="EI66:EI70"/>
    <mergeCell ref="EJ66:EJ70"/>
    <mergeCell ref="EO66:EO70"/>
    <mergeCell ref="ES66:ES70"/>
    <mergeCell ref="ET66:ET70"/>
    <mergeCell ref="EU66:EU70"/>
    <mergeCell ref="FQ66:FQ70"/>
    <mergeCell ref="FR66:FR70"/>
    <mergeCell ref="FS66:FS70"/>
    <mergeCell ref="FT66:FT70"/>
    <mergeCell ref="EV66:EV70"/>
    <mergeCell ref="FA66:FA70"/>
    <mergeCell ref="FE66:FE70"/>
    <mergeCell ref="FF66:FF70"/>
    <mergeCell ref="FG66:FG70"/>
    <mergeCell ref="FH66:FH70"/>
    <mergeCell ref="FM66:FM70"/>
    <mergeCell ref="BI71:BI75"/>
    <mergeCell ref="BM71:BM75"/>
    <mergeCell ref="BN71:BN75"/>
    <mergeCell ref="BO71:BO75"/>
    <mergeCell ref="BP71:BP75"/>
    <mergeCell ref="BU71:BU75"/>
    <mergeCell ref="BY71:BY75"/>
    <mergeCell ref="BZ71:BZ75"/>
    <mergeCell ref="CA71:CA75"/>
    <mergeCell ref="DQ71:DQ75"/>
    <mergeCell ref="DU71:DU75"/>
    <mergeCell ref="DV71:DV75"/>
    <mergeCell ref="DW71:DW75"/>
    <mergeCell ref="DX71:DX75"/>
    <mergeCell ref="EC71:EC75"/>
    <mergeCell ref="EG71:EG75"/>
    <mergeCell ref="EH71:EH75"/>
    <mergeCell ref="EI71:EI75"/>
    <mergeCell ref="EJ71:EJ75"/>
    <mergeCell ref="EO71:EO75"/>
    <mergeCell ref="ES71:ES75"/>
    <mergeCell ref="FH71:FH75"/>
    <mergeCell ref="FM71:FM75"/>
    <mergeCell ref="FQ71:FQ75"/>
    <mergeCell ref="FR71:FR75"/>
    <mergeCell ref="FS71:FS75"/>
    <mergeCell ref="FT71:FT75"/>
    <mergeCell ref="ET71:ET75"/>
    <mergeCell ref="EU71:EU75"/>
    <mergeCell ref="EV71:EV75"/>
    <mergeCell ref="FA71:FA75"/>
    <mergeCell ref="FE71:FE75"/>
    <mergeCell ref="FF71:FF75"/>
    <mergeCell ref="FG71:FG75"/>
  </mergeCells>
  <dataValidations>
    <dataValidation type="list" allowBlank="1" showErrorMessage="1" sqref="Q6 T6 AC6 AF6 AO6 AR6 BA6 BD6 BM6 BP6 BY6 CB6 CK6 CN6 CW6 CZ6 DI6 DL6 DU6 DX6 EG6 EJ6 ES6 EV6 FE6 FH6 FQ6 FT6 Q11 T11 AC11 AF11 AO11 AR11 BA11 BD11 BM11 BP11 BY11 CB11 CK11 CN11 CW11 CZ11 DI11 DL11 DU11 DX11 EG11 EJ11 ES11 EV11 FE11 FH11 FQ11 FT11 Q16 T16 AC16 AF16 AO16 AR16 BA16 BD16 BM16 BP16 BY16 CB16 CK16 CN16 CW16 CZ16 DI16 DL16 DU16 DX16 EG16 EJ16 ES16 EV16 FE16 FH16 FQ16 FT16 Q26 T26 AC26 AF26 AO26 AR26 BA26 BD26 BM26 BP26 BY26 CB26 CK26 CN26 CW26 CZ26 DI26 DL26 DU26 DX26 EG26 EJ26 ES26 EV26 FE26 FH26 FQ26 FT26 Q31 T31 AC31 AF31 AO31 AR31 BA31 BD31 BM31 BP31 BY31 CB31 CK31 CN31 CW31 CZ31 DI31 DL31 DU31 DX31 EG31 EJ31 ES31 EV31 FE31 FH31 FQ31 FT31 Q36 T36 AC36 AF36 AO36 AR36 BA36 BD36 BM36 BP36 BY36 CB36 CK36 CN36 CW36 CZ36 DI36 DL36 DU36 DX36 EG36 EJ36 ES36 EV36 FE36 FH36 FQ36 FT36 Q46 T46 AC46 AF46 AO46 AR46 BA46 BD46 BM46 BP46 BY46 CB46 CK46 CN46 CW46 CZ46 DI46 DL46 DU46 DX46 EG46 EJ46 ES46 EV46 FE46 FH46 FQ46 FT46 Q51 T51 AC51 AF51 AO51 AR51 BA51 BD51 BM51 BP51 BY51 CB51 CK51 CN51 CW51 CZ51 DI51 DL51 DU51 DX51 EG51 EJ51 ES51 EV51 FE51 FH51 FQ51 FT51 Q56 T56 AC56 AF56 AO56 AR56 BA56 BD56 BM56 BP56 BY56 CB56 CK56 CN56 CW56 CZ56 DI56 DL56 DU56 DX56 EG56 EJ56 ES56 EV56 FE56 FH56 FQ56 FT56 Q66 T66 AC66 AF66 AO66 AR66 BA66 BD66 BM66 BP66 BY66 CB66 CK66 CN66 CW66 CZ66 DI66 DL66 DU66 DX66 EG66 EJ66 ES66 EV66 FE66 FH66 FQ66 FT66 Q71 T71 AC71 AF71 AO71 AR71 BA71 BD71 BM71 BP71 BY71 CB71 CK71 CN71 CW71 CZ71 DI71 DL71 DU71 DX71 EG71 EJ71 ES71 EV71 FE71 FH71 FQ71 FT71 Q76 T76 AC76 AF76 AO76 AR76 BA76 BD76 BM76 BP76 BY76 CB76 CK76 CN76 CW76 CZ76 DI76 DL76 DU76 DX76 EG76 EJ76 ES76 EV76 FE76 FH76 FQ76 FT76">
      <formula1>"Blue,Red"</formula1>
    </dataValidation>
    <dataValidation type="list" allowBlank="1" showErrorMessage="1" sqref="AT16:AT20 DZ16:DZ20 EL16:EL20 EQ16:EQ20 EX16:EX20 FO16:FO20 FV16:FV20 BF36:BF40 DS36:DS40 DZ36:DZ40 EE36:EE40 EQ36:EQ40 EX36:EX40 FJ36:FJ40 FO36:FO40 FV36:FV40 EE56:EE60 EQ56:EQ60 AA76:AA80 AH80 DS76:DS80 DZ76:DZ80 EE76:EE80 EL76:EL80 FC76:FC80 FJ76:FJ80">
      <formula1>"Nickname 1,Nickname 2,Nickname 3,Nickname 4,Nickname 5,Nickname 6"</formula1>
    </dataValidation>
    <dataValidation type="list" allowBlank="1" showErrorMessage="1" sqref="DZ26:DZ35 EQ26:EQ35 FV26:FV35 EE66:EE75 FC66:FC75">
      <formula1>'Teams | 2 Division'!$G$26:$G$32</formula1>
    </dataValidation>
    <dataValidation type="list" allowBlank="1" showErrorMessage="1" sqref="FV6:FV15 AY6:AY20 BK6:BK20 FC6:FC20 DB26:DB40 DN26:DN40 EL26:EL40 DS46:DS60 CD66:CD80 CI66:CI80 EQ66:EQ80">
      <formula1>'Teams | 2 Division'!$G$4:$G$9</formula1>
    </dataValidation>
    <dataValidation type="list" allowBlank="1" showErrorMessage="1" sqref="EX6:EX15 DS26:DS35 EE26:EE35 FJ46:FJ60 FV46:FV60">
      <formula1>'Teams | 2 Division'!$C$4:$C$9</formula1>
    </dataValidation>
    <dataValidation type="list" allowBlank="1" showErrorMessage="1" sqref="V6:V20 AA6:AA20 CU6:CU20 AM26:AM40 AY26:AY40 CP46:CP60 DN46:DN60 BR66:BR80 BW66:BW80">
      <formula1>'Teams | 2 Division'!$C$37:$C$46</formula1>
    </dataValidation>
    <dataValidation type="list" allowBlank="1" showErrorMessage="1" sqref="EX26:EX30 FJ26:FJ30 EE46:EE50 FO46:FO50 DZ66:DZ70">
      <formula1>'Teams | 2 Division'!$C$15:$C$19</formula1>
    </dataValidation>
    <dataValidation type="list" allowBlank="1" showErrorMessage="1" sqref="FO6:FO15 AH6:AH20 DS6:DS20 BK26:BK40 EQ46:EQ55 O46:O60 AM46:AM60 AY46:AY60 CD46:CD60 DB46:DB60 EL46:EL60 FJ66:FJ75 CP66:CP80 DN66:DN80">
      <formula1>'Teams | 2 Division'!$G$15:$G$24</formula1>
    </dataValidation>
    <dataValidation type="list" allowBlank="1" showErrorMessage="1" sqref="R6:S6 AD6:AE6 AP6:AQ6 BB6:BC6 BN6:BO6 BZ6:CA6 CL6:CM6 CX6:CY6 DJ6:DK6 DV6:DW6 EH6:EI6 ET6:EU6 FF6:FG6 FR6:FS6 R11:S11 AD11:AE11 AP11:AQ11 BB11:BC11 BN11:BO11 BZ11:CA11 CL11:CM11 CX11:CY11 DJ11:DK11 DV11:DW11 EH11:EI11 ET11:EU11 FF11:FG11 FR11:FS11 R16:S16 AD16:AE16 AP16:AQ16 BB16:BC16 BN16:BO16 BZ16:CA16 CL16:CM16 CX16:CY16 DJ16:DK16 DV16:DW16 EH16:EI16 ET16:EU16 FF16:FG16 FR16:FS16 R26:S26 AD26:AE26 AP26:AQ26 BB26:BC26 BN26:BO26 BZ26:CA26 CL26:CM26 CX26:CY26 DJ26:DK26 DV26:DW26 EH26:EI26 ET26:EU26 FF26:FG26 FR26:FS26 R31:S31 AD31:AE31 AP31:AQ31 BB31:BC31 BN31:BO31 BZ31:CA31 CL31:CM31 CX31:CY31 DJ31:DK31 DV31:DW31 EH31:EI31 ET31:EU31 FF31:FG31 FR31:FS31 R36:S36 AD36:AE36 AP36:AQ36 BB36:BC36 BN36:BO36 BZ36:CA36 CL36:CM36 CX36:CY36 DJ36:DK36 DV36:DW36 EH36:EI36 ET36:EU36 FF36:FG36 FR36:FS36 R46:S46 AD46:AE46 AP46:AQ46 BB46:BC46 BN46:BO46 BZ46:CA46 CL46:CM46 CX46:CY46 DJ46:DK46 DV46:DW46 EH46:EI46 ET46:EU46 FF46:FG46 FR46:FS46 R51:S51 AD51:AE51 AP51:AQ51 BB51:BC51 BN51:BO51 BZ51:CA51 CL51:CM51 CX51:CY51 DJ51:DK51 DV51:DW51 EH51:EI51 ET51:EU51 FF51:FG51 FR51:FS51 R56:S56 AD56:AE56 AP56:AQ56 BB56:BC56 BN56:BO56 BZ56:CA56 CL56:CM56 CX56:CY56 DJ56:DK56 DV56:DW56 EH56:EI56 ET56:EU56 FF56:FG56 FR56:FS56 R66:S66 AD66:AE66 AP66:AQ66 BB66:BC66 BN66:BO66 BZ66:CA66 CL66:CM66 CX66:CY66 DJ66:DK66 DV66:DW66 EH66:EI66 ET66:EU66 FF66:FG66 FR66:FS66 R71:S71 AD71:AE71 AP71:AQ71 BB71:BC71 BN71:BO71 BZ71:CA71 CL71:CM71 CX71:CY71 DJ71:DK71 DV71:DW71 EH71:EI71 ET71:EU71 FF71:FG71 FR71:FS71 R76:S76 AD76:AE76 AP76:AQ76 BB76:BC76 BN76:BO76 BZ76:CA76 CL76:CM76 CX76:CY76 DJ76:DK76 DV76:DW76 EH76:EI76 ET76:EU76 FF76:FG76 FR76:FS76">
      <formula1>"W,L"</formula1>
    </dataValidation>
    <dataValidation type="list" allowBlank="1" showErrorMessage="1" sqref="V26:V40 AH26:AH40 AM66:AM80">
      <formula1>'Teams | 2 Division'!$G$4:$G$13</formula1>
    </dataValidation>
    <dataValidation type="list" allowBlank="1" showErrorMessage="1" sqref="AT6:AT15 BR6:BR20 CI6:CI20 DG6:DG20 BF26:BF35 CD26:CD40 CU26:CU40 V46:V60 AA66:AA75">
      <formula1>'Teams | 2 Division'!$G$26:$G$35</formula1>
    </dataValidation>
    <dataValidation type="list" allowBlank="1" showErrorMessage="1" sqref="O6:O20 BF6:BF20 BW6:BW20 CI26:CI40 AT46:AT60 BK46:BK60 AH66:AH79 DB66:DB80 DG66:DG80">
      <formula1>'Teams | 2 Division'!$C$4:$C$13</formula1>
    </dataValidation>
    <dataValidation type="list" allowBlank="1" showErrorMessage="1" sqref="P6:P20 U6:U20 AB6:AB20 AG6:AG20 AN6:AN20 AS6:AS20 AZ6:AZ20 BE6:BE20 BL6:BL20 BQ6:BQ20 BX6:BX20 CC6:CC20 CJ6:CJ20 CO6:CO20 CV6:CV20 DA6:DA20 DH6:DH20 DM6:DM20 DT6:DT20 DY6:DY20 EF6:EF20 EK6:EK20 ER6:ER20 EW6:EW20 FD6:FD20 FI6:FI20 FP6:FP20 FU6:FU20 P26:P40 U26:U40 AB26:AB40 AG26:AG40 AN26:AN40 AS26:AS40 AZ26:AZ40 BE26:BE40 BL26:BL40 BQ26:BQ40 BX26:BX40 CC26:CC40 CJ26:CJ40 CO26:CO40 CV26:CV40 DA26:DA40 DH26:DH40 DM26:DM40 DT26:DT40 DY26:DY40 EF26:EF40 EK26:EK40 ER26:ER40 EW26:EW40 FD26:FD40 FI26:FI40 FP26:FP40 FU26:FU40 P46:P60 U46:U60 AB46:AB60 AG46:AG60 AN46:AN60 AS46:AS60 AZ46:AZ60 BE46:BE60 BL46:BL60 BQ46:BQ60 BX46:BX60 CC46:CC60 CJ46:CJ60 CO46:CO60 CV46:CV60 DA46:DA60 DH46:DH60 DM46:DM60 DT46:DT60 DY46:DY60 EF46:EF60 EK46:EK60 ER46:ER60 EW46:EW60 FD46:FD60 FI46:FI60 FP46:FP60 FU46:FU60 P66:P80 U66:U80 AB66:AB80 AG66:AG80 AN66:AN80 AS66:AS80 AZ66:AZ80 BE66:BE80 BL66:BL80 BQ66:BQ80 BX66:BX80 CC66:CC80 CJ66:CJ80 CO66:CO80 CV66:CV80 DA66:DA80 DH66:DH80 DM66:DM80 DT66:DT80 DY66:DY80 EF66:EF80 EK66:EK80 ER66:ER80 EW66:EW80 FD66:FD80 FI66:FI80 FP66:FP80 FU66:FU80">
      <formula1>Heroes!$C$3:$C$335</formula1>
    </dataValidation>
    <dataValidation type="list" allowBlank="1" showErrorMessage="1" sqref="DZ6:DZ15 FC46:FC60 EL66:EL75 EX66:EX80 FO66:FO80">
      <formula1>'Teams | 2 Division'!$C$37:$C$42</formula1>
    </dataValidation>
    <dataValidation type="list" allowBlank="1" showErrorMessage="1" sqref="N6:N20 W6:W20 Z6:Z20 AI6:AI20 AL6:AL20 AU6:AU20 AX6:AX20 BG6:BG20 BJ6:BJ20 BS6:BS20 BV6:BV20 CE6:CE20 CH6:CH20 CQ6:CQ20 CT6:CT20 DC6:DC20 DF6:DF20 DO6:DO20 DR6:DR20 EA6:EA20 ED6:ED20 EM6:EM20 EP6:EP20 EY6:EY20 FB6:FB20 FK6:FK20 FN6:FN20 FW6:FW20 N26:N40 W26:W40 Z26:Z40 AI26:AI40 AL26:AL40 AU26:AU40 AX26:AX40 BG26:BG40 BJ26:BJ40 BS26:BS40 BV26:BV40 CE26:CE40 CH26:CH40 CQ26:CQ40 CT26:CT40 DC26:DC40 DF26:DF40 DO26:DO40 DR26:DR40 EA26:EA40 ED26:ED40 EM26:EM40 EP26:EP40 EY26:EY40 FB26:FB40 FK26:FK40 FN26:FN40 FW26:FW40 N46:N60 W46:W60 Z46:Z60 AI46:AI60 AL46:AL60 AU46:AU60 AX46:AX60 BG46:BG60 BJ46:BJ60 BS46:BS60 BV46:BV60 CE46:CE60 CH46:CH60 CQ46:CQ60 CT46:CT60 DC46:DC60 DF46:DF60 DO46:DO60 DR46:DR60 EA46:EA60 ED46:ED60 EM46:EM60 EP46:EP60 EY46:EY60 FB46:FB60 FK46:FK60 FN46:FN60 FW46:FW60 N66:N80 W66:W80 Z66:Z80 AI66:AI80 AL66:AL80 AU66:AU80 AX66:AX80 BG66:BG80 BJ66:BJ80 BS66:BS80 BV66:BV80 CE66:CE80 CH66:CH80 CQ66:CQ80 CT66:CT80 DC66:DC80 DF66:DF80 DO66:DO80 DR66:DR80 EA66:EA80 ED66:ED80 EM66:EM80 EP66:EP80 EY66:EY80 FB66:FB80 FK66:FK80 FN66:FN80 FW66:FW80">
      <formula1>Heroes!$B$3:$C$359</formula1>
    </dataValidation>
    <dataValidation type="list" allowBlank="1" showErrorMessage="1" sqref="AM6:AM20 DN6:DN20 EE6:EE20 AA26:AA40 FC26:FC40 BR46:BR60 BW46:BW60 CI46:CI60 DZ46:DZ60 EX46:EX60 V66:V80 BF66:BF80 CU66:CU80 FV66:FV80">
      <formula1>'Teams | 2 Division'!$C$26:$C$30</formula1>
    </dataValidation>
    <dataValidation type="list" allowBlank="1" showErrorMessage="1" sqref="DB6:DB20 EX31:EX35 FJ31:FJ35 BW26:BW40 CP26:CP40 DG26:DG40 EE51:EE55 AA46:AA60 BF46:BF60 FO51:FO60 DZ71:DZ75 O66:O80 AT66:AT80 BK66:BK80">
      <formula1>'Teams | 2 Division'!$C$15:$C$24</formula1>
    </dataValidation>
    <dataValidation type="list" allowBlank="1" showErrorMessage="1" sqref="EL6:EL15 EQ6:EQ15 CD6:CD20 CP6:CP20 FJ6:FJ20 FO26:FO35 O26:O40 AT26:AT40 BR26:BR40 AH46:AH60 CU46:CU60 DG46:DG60 DS66:DS75 AY66:AY80">
      <formula1>'Teams | 2 Division'!$G$37:$G$46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2.0" topLeftCell="A3" activePane="bottomLeft" state="frozen"/>
      <selection activeCell="B4" sqref="B4" pane="bottomLeft"/>
    </sheetView>
  </sheetViews>
  <sheetFormatPr customHeight="1" defaultColWidth="11.22" defaultRowHeight="15.75"/>
  <cols>
    <col customWidth="1" min="1" max="1" width="17.67"/>
    <col customWidth="1" min="2" max="2" width="10.78"/>
    <col customWidth="1" min="3" max="4" width="23.56"/>
    <col customWidth="1" min="5" max="5" width="17.67"/>
    <col customWidth="1" min="6" max="6" width="10.78"/>
    <col customWidth="1" min="7" max="8" width="23.56"/>
  </cols>
  <sheetData>
    <row r="1">
      <c r="A1" s="809" t="s">
        <v>29</v>
      </c>
      <c r="B1" s="8"/>
      <c r="C1" s="8"/>
      <c r="D1" s="8"/>
      <c r="E1" s="8"/>
      <c r="F1" s="8"/>
      <c r="G1" s="8"/>
      <c r="H1" s="68"/>
    </row>
    <row r="2">
      <c r="A2" s="58" t="s">
        <v>488</v>
      </c>
      <c r="B2" s="104" t="s">
        <v>489</v>
      </c>
      <c r="C2" s="104" t="s">
        <v>490</v>
      </c>
      <c r="D2" s="426" t="s">
        <v>491</v>
      </c>
      <c r="E2" s="58" t="s">
        <v>488</v>
      </c>
      <c r="F2" s="104" t="s">
        <v>489</v>
      </c>
      <c r="G2" s="104" t="s">
        <v>490</v>
      </c>
      <c r="H2" s="426" t="s">
        <v>491</v>
      </c>
    </row>
    <row r="3">
      <c r="A3" s="810" t="str">
        <f>'Schedule | 2 Division'!B3</f>
        <v>HARD GRIND</v>
      </c>
      <c r="B3" s="8"/>
      <c r="C3" s="8"/>
      <c r="D3" s="68"/>
      <c r="E3" s="810" t="str">
        <f>'Schedule | 2 Division'!B7</f>
        <v>INVISION</v>
      </c>
      <c r="F3" s="8"/>
      <c r="G3" s="8"/>
      <c r="H3" s="68"/>
    </row>
    <row r="4">
      <c r="A4" s="428" t="s">
        <v>488</v>
      </c>
      <c r="B4" s="14" t="s">
        <v>498</v>
      </c>
      <c r="C4" s="811" t="s">
        <v>417</v>
      </c>
      <c r="D4" s="812" t="s">
        <v>596</v>
      </c>
      <c r="E4" s="624" t="s">
        <v>488</v>
      </c>
      <c r="F4" s="14" t="s">
        <v>498</v>
      </c>
      <c r="G4" s="14" t="s">
        <v>473</v>
      </c>
      <c r="H4" s="171" t="s">
        <v>598</v>
      </c>
    </row>
    <row r="5">
      <c r="A5" s="429" t="s">
        <v>497</v>
      </c>
      <c r="B5" s="109" t="s">
        <v>507</v>
      </c>
      <c r="C5" s="211" t="s">
        <v>777</v>
      </c>
      <c r="D5" s="464" t="s">
        <v>789</v>
      </c>
      <c r="E5" s="577" t="s">
        <v>497</v>
      </c>
      <c r="F5" s="109" t="s">
        <v>507</v>
      </c>
      <c r="G5" s="109" t="s">
        <v>475</v>
      </c>
      <c r="H5" s="373" t="s">
        <v>601</v>
      </c>
    </row>
    <row r="6">
      <c r="A6" s="429" t="s">
        <v>497</v>
      </c>
      <c r="B6" s="109" t="s">
        <v>503</v>
      </c>
      <c r="C6" s="211" t="s">
        <v>427</v>
      </c>
      <c r="D6" s="464" t="s">
        <v>602</v>
      </c>
      <c r="E6" s="577" t="s">
        <v>497</v>
      </c>
      <c r="F6" s="109" t="s">
        <v>503</v>
      </c>
      <c r="G6" s="109" t="s">
        <v>477</v>
      </c>
      <c r="H6" s="373" t="s">
        <v>604</v>
      </c>
    </row>
    <row r="7">
      <c r="A7" s="429" t="s">
        <v>497</v>
      </c>
      <c r="B7" s="109" t="s">
        <v>494</v>
      </c>
      <c r="C7" s="813" t="s">
        <v>605</v>
      </c>
      <c r="D7" s="814" t="s">
        <v>790</v>
      </c>
      <c r="E7" s="577" t="s">
        <v>497</v>
      </c>
      <c r="F7" s="109" t="s">
        <v>494</v>
      </c>
      <c r="G7" s="109" t="s">
        <v>479</v>
      </c>
      <c r="H7" s="373" t="s">
        <v>608</v>
      </c>
    </row>
    <row r="8">
      <c r="A8" s="429" t="s">
        <v>497</v>
      </c>
      <c r="B8" s="109" t="s">
        <v>492</v>
      </c>
      <c r="C8" s="813" t="s">
        <v>781</v>
      </c>
      <c r="D8" s="814" t="s">
        <v>791</v>
      </c>
      <c r="E8" s="577" t="s">
        <v>497</v>
      </c>
      <c r="F8" s="109" t="s">
        <v>492</v>
      </c>
      <c r="G8" s="109" t="s">
        <v>482</v>
      </c>
      <c r="H8" s="373" t="s">
        <v>611</v>
      </c>
    </row>
    <row r="9">
      <c r="A9" s="429" t="s">
        <v>514</v>
      </c>
      <c r="B9" s="109" t="s">
        <v>494</v>
      </c>
      <c r="C9" s="815" t="s">
        <v>599</v>
      </c>
      <c r="D9" s="816" t="s">
        <v>599</v>
      </c>
      <c r="E9" s="577" t="s">
        <v>514</v>
      </c>
      <c r="F9" s="109" t="s">
        <v>498</v>
      </c>
      <c r="G9" s="109" t="s">
        <v>613</v>
      </c>
      <c r="H9" s="373" t="s">
        <v>614</v>
      </c>
    </row>
    <row r="10">
      <c r="A10" s="429" t="s">
        <v>514</v>
      </c>
      <c r="B10" s="109"/>
      <c r="C10" s="109"/>
      <c r="D10" s="373"/>
      <c r="E10" s="577" t="s">
        <v>514</v>
      </c>
      <c r="F10" s="30"/>
      <c r="G10" s="30"/>
      <c r="H10" s="433"/>
    </row>
    <row r="11">
      <c r="A11" s="429" t="s">
        <v>525</v>
      </c>
      <c r="B11" s="817"/>
      <c r="C11" s="818"/>
      <c r="D11" s="819"/>
      <c r="E11" s="577" t="s">
        <v>525</v>
      </c>
      <c r="F11" s="109" t="s">
        <v>498</v>
      </c>
      <c r="G11" s="30"/>
      <c r="H11" s="69"/>
    </row>
    <row r="12">
      <c r="A12" s="820" t="s">
        <v>749</v>
      </c>
      <c r="B12" s="817"/>
      <c r="C12" s="821"/>
      <c r="D12" s="822"/>
      <c r="E12" s="823" t="s">
        <v>749</v>
      </c>
      <c r="F12" s="817"/>
      <c r="G12" s="817"/>
      <c r="H12" s="824"/>
    </row>
    <row r="13">
      <c r="A13" s="430" t="s">
        <v>532</v>
      </c>
      <c r="B13" s="431"/>
      <c r="C13" s="431"/>
      <c r="D13" s="434"/>
      <c r="E13" s="634" t="s">
        <v>532</v>
      </c>
      <c r="F13" s="132" t="s">
        <v>515</v>
      </c>
      <c r="G13" s="132" t="s">
        <v>617</v>
      </c>
      <c r="H13" s="396" t="s">
        <v>618</v>
      </c>
    </row>
    <row r="14">
      <c r="A14" s="825" t="str">
        <f>'Schedule | 2 Division'!B4</f>
        <v>The Soulless Team</v>
      </c>
      <c r="D14" s="92"/>
      <c r="E14" s="825" t="str">
        <f>'Schedule | 2 Division'!B8</f>
        <v>Dark Phoenix</v>
      </c>
      <c r="H14" s="92"/>
    </row>
    <row r="15">
      <c r="A15" s="428" t="s">
        <v>488</v>
      </c>
      <c r="B15" s="14" t="s">
        <v>494</v>
      </c>
      <c r="C15" s="14" t="s">
        <v>316</v>
      </c>
      <c r="D15" s="171" t="s">
        <v>569</v>
      </c>
      <c r="E15" s="624" t="s">
        <v>488</v>
      </c>
      <c r="F15" s="14" t="s">
        <v>498</v>
      </c>
      <c r="G15" s="14" t="s">
        <v>768</v>
      </c>
      <c r="H15" s="171" t="s">
        <v>621</v>
      </c>
    </row>
    <row r="16">
      <c r="A16" s="429" t="s">
        <v>497</v>
      </c>
      <c r="B16" s="109" t="s">
        <v>492</v>
      </c>
      <c r="C16" s="109" t="s">
        <v>344</v>
      </c>
      <c r="D16" s="373" t="s">
        <v>572</v>
      </c>
      <c r="E16" s="577" t="s">
        <v>497</v>
      </c>
      <c r="F16" s="109" t="s">
        <v>507</v>
      </c>
      <c r="G16" s="109" t="s">
        <v>419</v>
      </c>
      <c r="H16" s="373" t="s">
        <v>624</v>
      </c>
    </row>
    <row r="17">
      <c r="A17" s="429" t="s">
        <v>497</v>
      </c>
      <c r="B17" s="109" t="s">
        <v>503</v>
      </c>
      <c r="C17" s="109" t="s">
        <v>780</v>
      </c>
      <c r="D17" s="373" t="s">
        <v>792</v>
      </c>
      <c r="E17" s="577" t="s">
        <v>497</v>
      </c>
      <c r="F17" s="109" t="s">
        <v>503</v>
      </c>
      <c r="G17" s="109" t="s">
        <v>627</v>
      </c>
      <c r="H17" s="373" t="s">
        <v>628</v>
      </c>
    </row>
    <row r="18">
      <c r="A18" s="429" t="s">
        <v>497</v>
      </c>
      <c r="B18" s="109" t="s">
        <v>498</v>
      </c>
      <c r="C18" s="109" t="s">
        <v>370</v>
      </c>
      <c r="D18" s="373" t="s">
        <v>579</v>
      </c>
      <c r="E18" s="577" t="s">
        <v>497</v>
      </c>
      <c r="F18" s="109" t="s">
        <v>494</v>
      </c>
      <c r="G18" s="109" t="s">
        <v>428</v>
      </c>
      <c r="H18" s="373" t="s">
        <v>631</v>
      </c>
    </row>
    <row r="19">
      <c r="A19" s="429" t="s">
        <v>497</v>
      </c>
      <c r="B19" s="109" t="s">
        <v>515</v>
      </c>
      <c r="C19" s="109" t="s">
        <v>786</v>
      </c>
      <c r="D19" s="373" t="s">
        <v>793</v>
      </c>
      <c r="E19" s="577" t="s">
        <v>497</v>
      </c>
      <c r="F19" s="109" t="s">
        <v>492</v>
      </c>
      <c r="G19" s="109" t="s">
        <v>785</v>
      </c>
      <c r="H19" s="373" t="s">
        <v>794</v>
      </c>
    </row>
    <row r="20">
      <c r="A20" s="429" t="s">
        <v>514</v>
      </c>
      <c r="B20" s="30"/>
      <c r="D20" s="433"/>
      <c r="E20" s="577" t="s">
        <v>514</v>
      </c>
      <c r="F20" s="109" t="s">
        <v>494</v>
      </c>
      <c r="G20" s="109" t="s">
        <v>433</v>
      </c>
      <c r="H20" s="373" t="s">
        <v>795</v>
      </c>
    </row>
    <row r="21">
      <c r="A21" s="429" t="s">
        <v>514</v>
      </c>
      <c r="B21" s="30"/>
      <c r="C21" s="30"/>
      <c r="D21" s="433"/>
      <c r="E21" s="577"/>
      <c r="F21" s="109"/>
      <c r="G21" s="109"/>
      <c r="H21" s="373"/>
    </row>
    <row r="22">
      <c r="A22" s="429" t="s">
        <v>525</v>
      </c>
      <c r="B22" s="109" t="s">
        <v>515</v>
      </c>
      <c r="C22" s="109" t="s">
        <v>590</v>
      </c>
      <c r="D22" s="373" t="s">
        <v>591</v>
      </c>
      <c r="E22" s="577" t="s">
        <v>525</v>
      </c>
      <c r="F22" s="109" t="s">
        <v>515</v>
      </c>
      <c r="G22" s="109" t="s">
        <v>646</v>
      </c>
      <c r="H22" s="373" t="s">
        <v>647</v>
      </c>
    </row>
    <row r="23">
      <c r="A23" s="820" t="s">
        <v>749</v>
      </c>
      <c r="B23" s="817"/>
      <c r="C23" s="817"/>
      <c r="D23" s="824"/>
      <c r="E23" s="823" t="s">
        <v>749</v>
      </c>
      <c r="F23" s="817"/>
      <c r="G23" s="817"/>
      <c r="H23" s="824"/>
    </row>
    <row r="24">
      <c r="A24" s="430" t="s">
        <v>532</v>
      </c>
      <c r="B24" s="431"/>
      <c r="C24" s="431"/>
      <c r="D24" s="434"/>
      <c r="E24" s="634" t="s">
        <v>532</v>
      </c>
      <c r="F24" s="132" t="s">
        <v>515</v>
      </c>
      <c r="G24" s="132" t="s">
        <v>650</v>
      </c>
      <c r="H24" s="396" t="s">
        <v>651</v>
      </c>
    </row>
    <row r="25">
      <c r="A25" s="825" t="str">
        <f>'Schedule | 2 Division'!B5</f>
        <v>TSA White</v>
      </c>
      <c r="D25" s="92"/>
      <c r="E25" s="810" t="str">
        <f>'Schedule | 2 Division'!B9</f>
        <v>Omnix</v>
      </c>
      <c r="F25" s="8"/>
      <c r="G25" s="8"/>
      <c r="H25" s="68"/>
    </row>
    <row r="26">
      <c r="A26" s="428" t="s">
        <v>488</v>
      </c>
      <c r="B26" s="14" t="s">
        <v>507</v>
      </c>
      <c r="C26" s="14" t="s">
        <v>461</v>
      </c>
      <c r="D26" s="14" t="s">
        <v>603</v>
      </c>
      <c r="E26" s="428" t="s">
        <v>497</v>
      </c>
      <c r="F26" s="14" t="s">
        <v>492</v>
      </c>
      <c r="G26" s="14" t="s">
        <v>435</v>
      </c>
      <c r="H26" s="171" t="s">
        <v>620</v>
      </c>
    </row>
    <row r="27">
      <c r="A27" s="429" t="s">
        <v>497</v>
      </c>
      <c r="B27" s="625" t="s">
        <v>503</v>
      </c>
      <c r="C27" s="625" t="s">
        <v>459</v>
      </c>
      <c r="D27" s="625" t="s">
        <v>600</v>
      </c>
      <c r="E27" s="429" t="s">
        <v>497</v>
      </c>
      <c r="F27" s="109" t="s">
        <v>498</v>
      </c>
      <c r="G27" s="109" t="s">
        <v>430</v>
      </c>
      <c r="H27" s="373" t="s">
        <v>623</v>
      </c>
    </row>
    <row r="28">
      <c r="A28" s="429" t="s">
        <v>497</v>
      </c>
      <c r="B28" s="109" t="s">
        <v>494</v>
      </c>
      <c r="C28" s="109" t="s">
        <v>463</v>
      </c>
      <c r="D28" s="109" t="s">
        <v>796</v>
      </c>
      <c r="E28" s="429" t="s">
        <v>497</v>
      </c>
      <c r="F28" s="109" t="s">
        <v>507</v>
      </c>
      <c r="G28" s="109" t="s">
        <v>441</v>
      </c>
      <c r="H28" s="373" t="s">
        <v>626</v>
      </c>
    </row>
    <row r="29">
      <c r="A29" s="429" t="s">
        <v>497</v>
      </c>
      <c r="B29" s="109" t="s">
        <v>498</v>
      </c>
      <c r="C29" s="109" t="s">
        <v>457</v>
      </c>
      <c r="D29" s="109" t="s">
        <v>597</v>
      </c>
      <c r="E29" s="429" t="s">
        <v>488</v>
      </c>
      <c r="F29" s="109" t="s">
        <v>494</v>
      </c>
      <c r="G29" s="815" t="s">
        <v>421</v>
      </c>
      <c r="H29" s="826" t="s">
        <v>630</v>
      </c>
    </row>
    <row r="30">
      <c r="A30" s="429" t="s">
        <v>497</v>
      </c>
      <c r="B30" s="109" t="s">
        <v>492</v>
      </c>
      <c r="C30" s="109" t="s">
        <v>774</v>
      </c>
      <c r="D30" s="109" t="s">
        <v>610</v>
      </c>
      <c r="E30" s="429" t="s">
        <v>497</v>
      </c>
      <c r="F30" s="109" t="s">
        <v>503</v>
      </c>
      <c r="G30" s="827" t="s">
        <v>425</v>
      </c>
      <c r="H30" s="828" t="s">
        <v>633</v>
      </c>
    </row>
    <row r="31">
      <c r="A31" s="429" t="s">
        <v>514</v>
      </c>
      <c r="B31" s="30"/>
      <c r="C31" s="30"/>
      <c r="D31" s="30"/>
      <c r="E31" s="429" t="s">
        <v>514</v>
      </c>
      <c r="F31" s="109" t="s">
        <v>515</v>
      </c>
      <c r="G31" s="109" t="s">
        <v>637</v>
      </c>
      <c r="H31" s="373" t="s">
        <v>638</v>
      </c>
    </row>
    <row r="32">
      <c r="A32" s="429" t="s">
        <v>514</v>
      </c>
      <c r="B32" s="30"/>
      <c r="C32" s="30"/>
      <c r="D32" s="30"/>
      <c r="E32" s="429" t="s">
        <v>514</v>
      </c>
      <c r="F32" s="109" t="s">
        <v>503</v>
      </c>
      <c r="G32" s="829" t="s">
        <v>639</v>
      </c>
      <c r="H32" s="830" t="s">
        <v>640</v>
      </c>
    </row>
    <row r="33">
      <c r="A33" s="429" t="s">
        <v>525</v>
      </c>
      <c r="B33" s="30"/>
      <c r="C33" s="30"/>
      <c r="D33" s="30"/>
      <c r="E33" s="429" t="s">
        <v>525</v>
      </c>
      <c r="F33" s="109" t="s">
        <v>515</v>
      </c>
      <c r="G33" s="109" t="s">
        <v>644</v>
      </c>
      <c r="H33" s="373" t="s">
        <v>645</v>
      </c>
    </row>
    <row r="34">
      <c r="A34" s="820" t="s">
        <v>749</v>
      </c>
      <c r="B34" s="817"/>
      <c r="C34" s="817"/>
      <c r="D34" s="817"/>
      <c r="E34" s="820" t="s">
        <v>749</v>
      </c>
      <c r="F34" s="821"/>
      <c r="G34" s="821"/>
      <c r="H34" s="822"/>
    </row>
    <row r="35">
      <c r="A35" s="430" t="s">
        <v>532</v>
      </c>
      <c r="B35" s="431"/>
      <c r="C35" s="431"/>
      <c r="D35" s="431"/>
      <c r="E35" s="430" t="s">
        <v>532</v>
      </c>
      <c r="F35" s="132" t="s">
        <v>515</v>
      </c>
      <c r="G35" s="132" t="s">
        <v>797</v>
      </c>
      <c r="H35" s="396" t="s">
        <v>798</v>
      </c>
    </row>
    <row r="36">
      <c r="A36" s="825" t="str">
        <f>'Schedule | 2 Division'!B6</f>
        <v>Aterion Esports</v>
      </c>
      <c r="D36" s="92"/>
      <c r="E36" s="825" t="str">
        <f>'Schedule | 2 Division'!B10</f>
        <v>Suplex team</v>
      </c>
      <c r="H36" s="92"/>
    </row>
    <row r="37">
      <c r="A37" s="169" t="s">
        <v>488</v>
      </c>
      <c r="B37" s="14" t="s">
        <v>498</v>
      </c>
      <c r="C37" s="14" t="s">
        <v>480</v>
      </c>
      <c r="D37" s="171" t="s">
        <v>619</v>
      </c>
      <c r="E37" s="428" t="s">
        <v>488</v>
      </c>
      <c r="F37" s="14" t="s">
        <v>503</v>
      </c>
      <c r="G37" s="14" t="s">
        <v>345</v>
      </c>
      <c r="H37" s="171" t="s">
        <v>653</v>
      </c>
    </row>
    <row r="38">
      <c r="A38" s="29" t="s">
        <v>497</v>
      </c>
      <c r="B38" s="109" t="s">
        <v>507</v>
      </c>
      <c r="C38" s="109" t="s">
        <v>476</v>
      </c>
      <c r="D38" s="373" t="s">
        <v>622</v>
      </c>
      <c r="E38" s="429" t="s">
        <v>497</v>
      </c>
      <c r="F38" s="109" t="s">
        <v>498</v>
      </c>
      <c r="G38" s="831" t="s">
        <v>323</v>
      </c>
      <c r="H38" s="830" t="s">
        <v>652</v>
      </c>
    </row>
    <row r="39">
      <c r="A39" s="29" t="s">
        <v>497</v>
      </c>
      <c r="B39" s="109" t="s">
        <v>494</v>
      </c>
      <c r="C39" s="109" t="s">
        <v>431</v>
      </c>
      <c r="D39" s="373" t="s">
        <v>578</v>
      </c>
      <c r="E39" s="429" t="s">
        <v>497</v>
      </c>
      <c r="F39" s="109" t="s">
        <v>507</v>
      </c>
      <c r="G39" s="831" t="s">
        <v>360</v>
      </c>
      <c r="H39" s="830" t="s">
        <v>654</v>
      </c>
    </row>
    <row r="40">
      <c r="A40" s="29" t="s">
        <v>497</v>
      </c>
      <c r="B40" s="109" t="s">
        <v>492</v>
      </c>
      <c r="C40" s="109" t="s">
        <v>481</v>
      </c>
      <c r="D40" s="373" t="s">
        <v>629</v>
      </c>
      <c r="E40" s="429" t="s">
        <v>497</v>
      </c>
      <c r="F40" s="109" t="s">
        <v>494</v>
      </c>
      <c r="G40" s="109" t="s">
        <v>390</v>
      </c>
      <c r="H40" s="373" t="s">
        <v>655</v>
      </c>
    </row>
    <row r="41">
      <c r="A41" s="29" t="s">
        <v>497</v>
      </c>
      <c r="B41" s="109" t="s">
        <v>503</v>
      </c>
      <c r="C41" s="109" t="s">
        <v>474</v>
      </c>
      <c r="D41" s="373" t="s">
        <v>632</v>
      </c>
      <c r="E41" s="429" t="s">
        <v>497</v>
      </c>
      <c r="F41" s="109" t="s">
        <v>492</v>
      </c>
      <c r="G41" s="109" t="s">
        <v>372</v>
      </c>
      <c r="H41" s="373" t="s">
        <v>656</v>
      </c>
    </row>
    <row r="42">
      <c r="A42" s="29" t="s">
        <v>514</v>
      </c>
      <c r="B42" s="109" t="s">
        <v>515</v>
      </c>
      <c r="C42" s="109" t="s">
        <v>635</v>
      </c>
      <c r="D42" s="373" t="s">
        <v>636</v>
      </c>
      <c r="E42" s="429" t="s">
        <v>514</v>
      </c>
      <c r="F42" s="30"/>
      <c r="G42" s="30"/>
      <c r="H42" s="433"/>
    </row>
    <row r="43">
      <c r="A43" s="29" t="s">
        <v>514</v>
      </c>
      <c r="B43" s="30"/>
      <c r="C43" s="30"/>
      <c r="D43" s="433"/>
      <c r="E43" s="429" t="s">
        <v>514</v>
      </c>
      <c r="F43" s="30"/>
      <c r="G43" s="30"/>
      <c r="H43" s="433"/>
    </row>
    <row r="44">
      <c r="A44" s="29" t="s">
        <v>525</v>
      </c>
      <c r="B44" s="30"/>
      <c r="C44" s="109" t="s">
        <v>799</v>
      </c>
      <c r="D44" s="373" t="s">
        <v>800</v>
      </c>
      <c r="E44" s="429" t="s">
        <v>525</v>
      </c>
      <c r="F44" s="109" t="s">
        <v>515</v>
      </c>
      <c r="G44" s="109" t="s">
        <v>657</v>
      </c>
      <c r="H44" s="373" t="s">
        <v>658</v>
      </c>
    </row>
    <row r="45">
      <c r="A45" s="485" t="s">
        <v>749</v>
      </c>
      <c r="B45" s="817"/>
      <c r="C45" s="817"/>
      <c r="D45" s="824"/>
      <c r="E45" s="820" t="s">
        <v>749</v>
      </c>
      <c r="F45" s="817"/>
      <c r="G45" s="817"/>
      <c r="H45" s="824"/>
    </row>
    <row r="46">
      <c r="A46" s="394" t="s">
        <v>532</v>
      </c>
      <c r="B46" s="431"/>
      <c r="C46" s="132" t="s">
        <v>648</v>
      </c>
      <c r="D46" s="396" t="s">
        <v>649</v>
      </c>
      <c r="E46" s="430" t="s">
        <v>532</v>
      </c>
      <c r="F46" s="132" t="s">
        <v>515</v>
      </c>
      <c r="G46" s="132" t="s">
        <v>659</v>
      </c>
      <c r="H46" s="396" t="s">
        <v>660</v>
      </c>
    </row>
  </sheetData>
  <mergeCells count="9">
    <mergeCell ref="A36:D36"/>
    <mergeCell ref="E36:H36"/>
    <mergeCell ref="A1:H1"/>
    <mergeCell ref="A3:D3"/>
    <mergeCell ref="E3:H3"/>
    <mergeCell ref="A14:D14"/>
    <mergeCell ref="E14:H14"/>
    <mergeCell ref="A25:D25"/>
    <mergeCell ref="E25:H25"/>
  </mergeCells>
  <dataValidations>
    <dataValidation type="list" allowBlank="1" showErrorMessage="1" sqref="B4:B10 F4:F11 B13 F13 B15:B22 F15:F22 B24 F24 B26 B28:B33 F26:F33 B35 F35 B37:B44 F37:F44 B46 F46">
      <formula1>"Roam,Exp,Jungler,Gold,Mid,Multirole"</formula1>
    </dataValidation>
    <dataValidation type="list" allowBlank="1" showErrorMessage="1" sqref="B11:B12 F12 B23 F23 B27 B34 F34 B45 F45">
      <formula1>"Roam,Exp,Junger,Gold,Mid,Multirole"</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2.0" topLeftCell="A3" activePane="bottomLeft" state="frozen"/>
      <selection activeCell="B4" sqref="B4" pane="bottomLeft"/>
    </sheetView>
  </sheetViews>
  <sheetFormatPr customHeight="1" defaultColWidth="11.22" defaultRowHeight="15.75"/>
  <cols>
    <col customWidth="1" min="1" max="1" width="6.67"/>
    <col customWidth="1" min="2" max="2" width="22.33"/>
    <col customWidth="1" min="3" max="3" width="19.33"/>
  </cols>
  <sheetData>
    <row r="1" ht="24.75" customHeight="1">
      <c r="A1" s="448"/>
      <c r="B1" s="448"/>
      <c r="C1" s="449"/>
      <c r="D1" s="211"/>
      <c r="E1" s="641" t="s">
        <v>765</v>
      </c>
      <c r="F1" s="8"/>
      <c r="G1" s="8"/>
      <c r="H1" s="8"/>
      <c r="I1" s="8"/>
      <c r="J1" s="8"/>
      <c r="K1" s="8"/>
      <c r="L1" s="8"/>
      <c r="M1" s="8"/>
      <c r="N1" s="8"/>
      <c r="O1" s="8"/>
      <c r="P1" s="68"/>
    </row>
    <row r="2" ht="24.75" customHeight="1">
      <c r="A2" s="4" t="s">
        <v>661</v>
      </c>
      <c r="B2" s="6" t="s">
        <v>115</v>
      </c>
      <c r="C2" s="449"/>
      <c r="D2" s="211"/>
      <c r="E2" s="644" t="s">
        <v>801</v>
      </c>
      <c r="F2" s="454"/>
      <c r="G2" s="454"/>
      <c r="H2" s="454"/>
      <c r="I2" s="454"/>
      <c r="J2" s="455"/>
      <c r="K2" s="644" t="s">
        <v>802</v>
      </c>
      <c r="L2" s="454"/>
      <c r="M2" s="454"/>
      <c r="N2" s="454"/>
      <c r="O2" s="454"/>
      <c r="P2" s="455"/>
    </row>
    <row r="3">
      <c r="A3" s="26">
        <v>1.0</v>
      </c>
      <c r="B3" s="832" t="s">
        <v>803</v>
      </c>
      <c r="C3" s="449"/>
      <c r="D3" s="216"/>
      <c r="E3" s="648">
        <v>46097.0</v>
      </c>
      <c r="F3" s="22"/>
      <c r="G3" s="22"/>
      <c r="H3" s="22"/>
      <c r="I3" s="22"/>
      <c r="J3" s="93"/>
      <c r="K3" s="648">
        <v>46132.0</v>
      </c>
      <c r="L3" s="22"/>
      <c r="M3" s="22"/>
      <c r="N3" s="22"/>
      <c r="O3" s="22"/>
      <c r="P3" s="144"/>
    </row>
    <row r="4">
      <c r="A4" s="26">
        <v>2.0</v>
      </c>
      <c r="B4" s="833" t="s">
        <v>804</v>
      </c>
      <c r="D4" s="223"/>
      <c r="E4" s="224" t="s">
        <v>258</v>
      </c>
      <c r="F4" s="225" t="s">
        <v>259</v>
      </c>
      <c r="G4" s="226" t="s">
        <v>260</v>
      </c>
      <c r="H4" s="225" t="s">
        <v>259</v>
      </c>
      <c r="I4" s="226" t="s">
        <v>261</v>
      </c>
      <c r="J4" s="228" t="s">
        <v>263</v>
      </c>
      <c r="K4" s="834" t="s">
        <v>805</v>
      </c>
      <c r="L4" s="225" t="s">
        <v>259</v>
      </c>
      <c r="M4" s="835" t="s">
        <v>806</v>
      </c>
      <c r="N4" s="225" t="s">
        <v>259</v>
      </c>
      <c r="O4" s="835" t="s">
        <v>807</v>
      </c>
      <c r="P4" s="836" t="s">
        <v>808</v>
      </c>
    </row>
    <row r="5">
      <c r="A5" s="26">
        <v>3.0</v>
      </c>
      <c r="B5" s="832" t="s">
        <v>809</v>
      </c>
      <c r="D5" s="211"/>
      <c r="E5" s="224" t="str">
        <f>$B$3</f>
        <v>Green Hustle</v>
      </c>
      <c r="F5" s="225">
        <f>'Matches | 2 Division (OLD)'!M10</f>
        <v>0</v>
      </c>
      <c r="G5" s="233">
        <v>0.75</v>
      </c>
      <c r="H5" s="837">
        <f>'Matches | 2 Division (OLD)'!P10</f>
        <v>0</v>
      </c>
      <c r="I5" s="226" t="str">
        <f>$B$10</f>
        <v>PARADOX</v>
      </c>
      <c r="J5" s="228">
        <v>1.0</v>
      </c>
      <c r="K5" s="226" t="str">
        <f>$B$10</f>
        <v>PARADOX</v>
      </c>
      <c r="L5" s="225">
        <f>'Matches | 2 Division (OLD)'!BX10</f>
        <v>0</v>
      </c>
      <c r="M5" s="233">
        <v>0.75</v>
      </c>
      <c r="N5" s="225">
        <f>'Matches | 2 Division (OLD)'!CA10</f>
        <v>0</v>
      </c>
      <c r="O5" s="226" t="str">
        <f>$B$3</f>
        <v>Green Hustle</v>
      </c>
      <c r="P5" s="228">
        <v>29.0</v>
      </c>
    </row>
    <row r="6">
      <c r="A6" s="26">
        <v>4.0</v>
      </c>
      <c r="B6" s="832" t="s">
        <v>810</v>
      </c>
      <c r="D6" s="238"/>
      <c r="E6" s="239" t="str">
        <f>$B$4</f>
        <v>DISTANCE</v>
      </c>
      <c r="F6" s="243">
        <f>'Matches | 2 Division (OLD)'!M20</f>
        <v>0</v>
      </c>
      <c r="G6" s="241">
        <v>0.8125</v>
      </c>
      <c r="H6" s="818">
        <f>'Matches | 2 Division (OLD)'!P20</f>
        <v>0</v>
      </c>
      <c r="I6" s="243" t="str">
        <f>$B$9</f>
        <v>ICM</v>
      </c>
      <c r="J6" s="838">
        <v>2.0</v>
      </c>
      <c r="K6" s="263" t="str">
        <f>$B$9</f>
        <v>ICM</v>
      </c>
      <c r="L6" s="243">
        <f>'Matches | 2 Division (OLD)'!BX20</f>
        <v>0</v>
      </c>
      <c r="M6" s="241">
        <v>0.8125</v>
      </c>
      <c r="N6" s="243">
        <f>'Matches | 2 Division (OLD)'!CA20</f>
        <v>0</v>
      </c>
      <c r="O6" s="266" t="str">
        <f>$B$4</f>
        <v>DISTANCE</v>
      </c>
      <c r="P6" s="464">
        <v>30.0</v>
      </c>
    </row>
    <row r="7">
      <c r="A7" s="26">
        <v>5.0</v>
      </c>
      <c r="B7" s="832" t="s">
        <v>811</v>
      </c>
      <c r="D7" s="211"/>
      <c r="E7" s="247" t="str">
        <f>$B$5</f>
        <v>ALFA</v>
      </c>
      <c r="F7" s="243">
        <f>'Matches | 2 Division (OLD)'!M30</f>
        <v>0</v>
      </c>
      <c r="G7" s="241">
        <v>0.875</v>
      </c>
      <c r="H7" s="818">
        <f>'Matches | 2 Division (OLD)'!P30</f>
        <v>0</v>
      </c>
      <c r="I7" s="243" t="str">
        <f>$B$8</f>
        <v>VIOLENCE</v>
      </c>
      <c r="J7" s="838">
        <v>3.0</v>
      </c>
      <c r="K7" s="263" t="str">
        <f>$B$8</f>
        <v>VIOLENCE</v>
      </c>
      <c r="L7" s="243">
        <f>'Matches | 2 Division (OLD)'!BX30</f>
        <v>0</v>
      </c>
      <c r="M7" s="241">
        <v>0.875</v>
      </c>
      <c r="N7" s="243">
        <f>'Matches | 2 Division (OLD)'!CA30</f>
        <v>0</v>
      </c>
      <c r="O7" s="263" t="str">
        <f>$B$5</f>
        <v>ALFA</v>
      </c>
      <c r="P7" s="464">
        <v>31.0</v>
      </c>
    </row>
    <row r="8">
      <c r="A8" s="26">
        <v>6.0</v>
      </c>
      <c r="B8" s="832" t="s">
        <v>812</v>
      </c>
      <c r="D8" s="211"/>
      <c r="E8" s="251" t="str">
        <f>$B$6</f>
        <v>Hoax</v>
      </c>
      <c r="F8" s="255">
        <f>'Matches | 2 Division (OLD)'!M40</f>
        <v>0</v>
      </c>
      <c r="G8" s="253">
        <v>0.9375</v>
      </c>
      <c r="H8" s="839">
        <f>'Matches | 2 Division (OLD)'!P40</f>
        <v>0</v>
      </c>
      <c r="I8" s="255" t="str">
        <f>$B$7</f>
        <v>QW0TROBERY</v>
      </c>
      <c r="J8" s="840">
        <v>4.0</v>
      </c>
      <c r="K8" s="470" t="str">
        <f>$B$7</f>
        <v>QW0TROBERY</v>
      </c>
      <c r="L8" s="255">
        <f>'Matches | 2 Division (OLD)'!BX40</f>
        <v>0</v>
      </c>
      <c r="M8" s="253">
        <v>0.9375</v>
      </c>
      <c r="N8" s="255">
        <f>'Matches | 2 Division (OLD)'!CA40</f>
        <v>0</v>
      </c>
      <c r="O8" s="470" t="str">
        <f>$B$6</f>
        <v>Hoax</v>
      </c>
      <c r="P8" s="471">
        <v>32.0</v>
      </c>
    </row>
    <row r="9">
      <c r="A9" s="26">
        <v>7.0</v>
      </c>
      <c r="B9" s="832" t="s">
        <v>813</v>
      </c>
      <c r="D9" s="216"/>
      <c r="E9" s="841">
        <v>46098.0</v>
      </c>
      <c r="F9" s="22"/>
      <c r="G9" s="22"/>
      <c r="H9" s="22"/>
      <c r="I9" s="22"/>
      <c r="J9" s="144"/>
      <c r="K9" s="841">
        <v>46133.0</v>
      </c>
      <c r="L9" s="22"/>
      <c r="M9" s="22"/>
      <c r="N9" s="22"/>
      <c r="O9" s="22"/>
      <c r="P9" s="144"/>
    </row>
    <row r="10">
      <c r="A10" s="842">
        <v>8.0</v>
      </c>
      <c r="B10" s="843" t="s">
        <v>814</v>
      </c>
      <c r="D10" s="223"/>
      <c r="E10" s="224" t="s">
        <v>258</v>
      </c>
      <c r="F10" s="225" t="s">
        <v>259</v>
      </c>
      <c r="G10" s="226" t="s">
        <v>260</v>
      </c>
      <c r="H10" s="225" t="s">
        <v>259</v>
      </c>
      <c r="I10" s="226" t="s">
        <v>261</v>
      </c>
      <c r="J10" s="228" t="s">
        <v>263</v>
      </c>
      <c r="K10" s="834" t="s">
        <v>805</v>
      </c>
      <c r="L10" s="225" t="s">
        <v>259</v>
      </c>
      <c r="M10" s="835" t="s">
        <v>806</v>
      </c>
      <c r="N10" s="225" t="s">
        <v>259</v>
      </c>
      <c r="O10" s="835" t="s">
        <v>807</v>
      </c>
      <c r="P10" s="836" t="s">
        <v>808</v>
      </c>
    </row>
    <row r="11">
      <c r="D11" s="211"/>
      <c r="E11" s="224" t="str">
        <f>$B$6</f>
        <v>Hoax</v>
      </c>
      <c r="F11" s="225">
        <f>'Matches | 2 Division (OLD)'!V10</f>
        <v>0</v>
      </c>
      <c r="G11" s="233">
        <v>0.75</v>
      </c>
      <c r="H11" s="225">
        <f>'Matches | 2 Division (OLD)'!Y10</f>
        <v>0</v>
      </c>
      <c r="I11" s="226" t="str">
        <f>$B$8</f>
        <v>VIOLENCE</v>
      </c>
      <c r="J11" s="226">
        <v>5.0</v>
      </c>
      <c r="K11" s="224" t="str">
        <f>$B$8</f>
        <v>VIOLENCE</v>
      </c>
      <c r="L11" s="225">
        <f>'Matches | 2 Division (OLD)'!CG10</f>
        <v>0</v>
      </c>
      <c r="M11" s="233">
        <v>0.75</v>
      </c>
      <c r="N11" s="225">
        <f>'Matches | 2 Division (OLD)'!CJ10</f>
        <v>0</v>
      </c>
      <c r="O11" s="226" t="str">
        <f>$B$6</f>
        <v>Hoax</v>
      </c>
      <c r="P11" s="228">
        <v>33.0</v>
      </c>
    </row>
    <row r="12">
      <c r="A12" s="447"/>
      <c r="B12" s="447"/>
      <c r="D12" s="263"/>
      <c r="E12" s="264" t="str">
        <f>$B$5</f>
        <v>ALFA</v>
      </c>
      <c r="F12" s="243">
        <f>'Matches | 2 Division (OLD)'!V20</f>
        <v>0</v>
      </c>
      <c r="G12" s="241">
        <v>0.8125</v>
      </c>
      <c r="H12" s="243">
        <f>'Matches | 2 Division (OLD)'!Y20</f>
        <v>0</v>
      </c>
      <c r="I12" s="263" t="str">
        <f>$B$7</f>
        <v>QW0TROBERY</v>
      </c>
      <c r="J12" s="211">
        <v>6.0</v>
      </c>
      <c r="K12" s="264" t="str">
        <f>$B$3</f>
        <v>Green Hustle</v>
      </c>
      <c r="L12" s="243">
        <f>'Matches | 2 Division (OLD)'!CG20</f>
        <v>0</v>
      </c>
      <c r="M12" s="241">
        <v>0.8125</v>
      </c>
      <c r="N12" s="243">
        <f>'Matches | 2 Division (OLD)'!CJ20</f>
        <v>0</v>
      </c>
      <c r="O12" s="263" t="str">
        <f>$B$9</f>
        <v>ICM</v>
      </c>
      <c r="P12" s="464">
        <v>34.0</v>
      </c>
    </row>
    <row r="13">
      <c r="A13" s="447"/>
      <c r="B13" s="447"/>
      <c r="D13" s="266"/>
      <c r="E13" s="267" t="str">
        <f>$B$4</f>
        <v>DISTANCE</v>
      </c>
      <c r="F13" s="243">
        <f>'Matches | 2 Division (OLD)'!V30</f>
        <v>0</v>
      </c>
      <c r="G13" s="241">
        <v>0.875</v>
      </c>
      <c r="H13" s="243">
        <f>'Matches | 2 Division (OLD)'!Y30</f>
        <v>0</v>
      </c>
      <c r="I13" s="263" t="str">
        <f>$B$10</f>
        <v>PARADOX</v>
      </c>
      <c r="J13" s="211">
        <v>7.0</v>
      </c>
      <c r="K13" s="264" t="str">
        <f>$B$7</f>
        <v>QW0TROBERY</v>
      </c>
      <c r="L13" s="243">
        <f>'Matches | 2 Division (OLD)'!CG30</f>
        <v>0</v>
      </c>
      <c r="M13" s="241">
        <v>0.875</v>
      </c>
      <c r="N13" s="243">
        <f>'Matches | 2 Division (OLD)'!CJ30</f>
        <v>0</v>
      </c>
      <c r="O13" s="263" t="str">
        <f>$B$5</f>
        <v>ALFA</v>
      </c>
      <c r="P13" s="464">
        <v>35.0</v>
      </c>
    </row>
    <row r="14">
      <c r="A14" s="479" t="s">
        <v>103</v>
      </c>
      <c r="B14" s="480" t="s">
        <v>115</v>
      </c>
      <c r="C14" s="481" t="s">
        <v>674</v>
      </c>
      <c r="D14" s="263"/>
      <c r="E14" s="270" t="str">
        <f>$B$9</f>
        <v>ICM</v>
      </c>
      <c r="F14" s="255">
        <f>'Matches | 2 Division (OLD)'!V40</f>
        <v>0</v>
      </c>
      <c r="G14" s="253">
        <v>0.9375</v>
      </c>
      <c r="H14" s="255">
        <f>'Matches | 2 Division (OLD)'!Y40</f>
        <v>0</v>
      </c>
      <c r="I14" s="470" t="str">
        <f>$B$3</f>
        <v>Green Hustle</v>
      </c>
      <c r="J14" s="468">
        <v>8.0</v>
      </c>
      <c r="K14" s="270" t="str">
        <f>$B$10</f>
        <v>PARADOX</v>
      </c>
      <c r="L14" s="255">
        <f>'Matches | 2 Division (OLD)'!CG40</f>
        <v>0</v>
      </c>
      <c r="M14" s="253">
        <v>0.9375</v>
      </c>
      <c r="N14" s="255">
        <f>'Matches | 2 Division (OLD)'!CJ40</f>
        <v>0</v>
      </c>
      <c r="O14" s="844" t="str">
        <f>$B$4</f>
        <v>DISTANCE</v>
      </c>
      <c r="P14" s="471">
        <v>36.0</v>
      </c>
    </row>
    <row r="15">
      <c r="A15" s="482">
        <v>1.0</v>
      </c>
      <c r="B15" s="483"/>
      <c r="C15" s="484" t="s">
        <v>39</v>
      </c>
      <c r="D15" s="216"/>
      <c r="E15" s="841">
        <v>46104.0</v>
      </c>
      <c r="F15" s="22"/>
      <c r="G15" s="22"/>
      <c r="H15" s="22"/>
      <c r="I15" s="22"/>
      <c r="J15" s="144"/>
      <c r="K15" s="841">
        <v>46139.0</v>
      </c>
      <c r="L15" s="22"/>
      <c r="M15" s="22"/>
      <c r="N15" s="22"/>
      <c r="O15" s="22"/>
      <c r="P15" s="144"/>
    </row>
    <row r="16">
      <c r="A16" s="485">
        <v>2.0</v>
      </c>
      <c r="B16" s="486"/>
      <c r="C16" s="487" t="s">
        <v>815</v>
      </c>
      <c r="D16" s="223"/>
      <c r="E16" s="224" t="s">
        <v>258</v>
      </c>
      <c r="F16" s="225" t="s">
        <v>259</v>
      </c>
      <c r="G16" s="226" t="s">
        <v>260</v>
      </c>
      <c r="H16" s="225" t="s">
        <v>259</v>
      </c>
      <c r="I16" s="226" t="s">
        <v>261</v>
      </c>
      <c r="J16" s="228" t="s">
        <v>263</v>
      </c>
      <c r="K16" s="834" t="s">
        <v>805</v>
      </c>
      <c r="L16" s="225" t="s">
        <v>259</v>
      </c>
      <c r="M16" s="835" t="s">
        <v>806</v>
      </c>
      <c r="N16" s="225" t="s">
        <v>259</v>
      </c>
      <c r="O16" s="835" t="s">
        <v>807</v>
      </c>
      <c r="P16" s="836" t="s">
        <v>808</v>
      </c>
    </row>
    <row r="17">
      <c r="A17" s="488">
        <v>3.0</v>
      </c>
      <c r="B17" s="845"/>
      <c r="C17" s="490" t="s">
        <v>815</v>
      </c>
      <c r="D17" s="211"/>
      <c r="E17" s="224" t="str">
        <f>$B$5</f>
        <v>ALFA</v>
      </c>
      <c r="F17" s="225">
        <f>'Matches | 2 Division (OLD)'!AE10</f>
        <v>0</v>
      </c>
      <c r="G17" s="233">
        <v>0.75</v>
      </c>
      <c r="H17" s="225">
        <f>'Matches | 2 Division (OLD)'!AH10</f>
        <v>0</v>
      </c>
      <c r="I17" s="226" t="str">
        <f>$B$9</f>
        <v>ICM</v>
      </c>
      <c r="J17" s="228">
        <v>9.0</v>
      </c>
      <c r="K17" s="226" t="str">
        <f>$B$9</f>
        <v>ICM</v>
      </c>
      <c r="L17" s="225">
        <f>'Matches | 2 Division (OLD)'!CP10</f>
        <v>0</v>
      </c>
      <c r="M17" s="233">
        <v>0.75</v>
      </c>
      <c r="N17" s="225">
        <f>'Matches | 2 Division (OLD)'!CS20</f>
        <v>0</v>
      </c>
      <c r="O17" s="226" t="str">
        <f>$B$5</f>
        <v>ALFA</v>
      </c>
      <c r="P17" s="228">
        <v>37.0</v>
      </c>
    </row>
    <row r="18">
      <c r="A18" s="485">
        <v>4.0</v>
      </c>
      <c r="B18" s="486"/>
      <c r="C18" s="626" t="s">
        <v>816</v>
      </c>
      <c r="D18" s="263"/>
      <c r="E18" s="264" t="str">
        <f>$B$6</f>
        <v>Hoax</v>
      </c>
      <c r="F18" s="243">
        <f>'Matches | 2 Division (OLD)'!AE20</f>
        <v>0</v>
      </c>
      <c r="G18" s="241">
        <v>0.8125</v>
      </c>
      <c r="H18" s="243">
        <f>'Matches | 2 Division (OLD)'!AH20</f>
        <v>0</v>
      </c>
      <c r="I18" s="263" t="str">
        <f>$B$10</f>
        <v>PARADOX</v>
      </c>
      <c r="J18" s="464">
        <v>10.0</v>
      </c>
      <c r="K18" s="266" t="str">
        <f>$B$4</f>
        <v>DISTANCE</v>
      </c>
      <c r="L18" s="243">
        <f>'Matches | 2 Division (OLD)'!CP20</f>
        <v>0</v>
      </c>
      <c r="M18" s="241">
        <v>0.8125</v>
      </c>
      <c r="N18" s="243">
        <f>'Matches | 2 Division (OLD)'!CS20</f>
        <v>0</v>
      </c>
      <c r="O18" s="263" t="str">
        <f>$B$7</f>
        <v>QW0TROBERY</v>
      </c>
      <c r="P18" s="464">
        <v>38.0</v>
      </c>
    </row>
    <row r="19">
      <c r="A19" s="625">
        <v>5.0</v>
      </c>
      <c r="B19" s="486"/>
      <c r="C19" s="626" t="s">
        <v>816</v>
      </c>
      <c r="D19" s="263"/>
      <c r="E19" s="264" t="str">
        <f>$B$8</f>
        <v>VIOLENCE</v>
      </c>
      <c r="F19" s="243">
        <f>'Matches | 2 Division (OLD)'!AE30</f>
        <v>0</v>
      </c>
      <c r="G19" s="241">
        <v>0.875</v>
      </c>
      <c r="H19" s="243">
        <f>'Matches | 2 Division (OLD)'!AH30</f>
        <v>0</v>
      </c>
      <c r="I19" s="263" t="str">
        <f>$B$3</f>
        <v>Green Hustle</v>
      </c>
      <c r="J19" s="464">
        <v>11.0</v>
      </c>
      <c r="K19" s="263" t="str">
        <f>$B$10</f>
        <v>PARADOX</v>
      </c>
      <c r="L19" s="243">
        <f>'Matches | 2 Division (OLD)'!CP30</f>
        <v>0</v>
      </c>
      <c r="M19" s="241">
        <v>0.875</v>
      </c>
      <c r="N19" s="243">
        <f>'Matches | 2 Division (OLD)'!CS30</f>
        <v>0</v>
      </c>
      <c r="O19" s="263" t="str">
        <f>$B$6</f>
        <v>Hoax</v>
      </c>
      <c r="P19" s="464">
        <v>39.0</v>
      </c>
    </row>
    <row r="20">
      <c r="A20" s="846">
        <v>6.0</v>
      </c>
      <c r="B20" s="845"/>
      <c r="C20" s="490" t="s">
        <v>817</v>
      </c>
      <c r="D20" s="263"/>
      <c r="E20" s="270" t="str">
        <f>$B$7</f>
        <v>QW0TROBERY</v>
      </c>
      <c r="F20" s="255">
        <f>'Matches | 2 Division (OLD)'!AE40</f>
        <v>0</v>
      </c>
      <c r="G20" s="253">
        <v>0.9375</v>
      </c>
      <c r="H20" s="255">
        <f>'Matches | 2 Division (OLD)'!AH40</f>
        <v>0</v>
      </c>
      <c r="I20" s="844" t="str">
        <f>$B$4</f>
        <v>DISTANCE</v>
      </c>
      <c r="J20" s="471">
        <v>12.0</v>
      </c>
      <c r="K20" s="470" t="str">
        <f>$B$3</f>
        <v>Green Hustle</v>
      </c>
      <c r="L20" s="255">
        <f>'Matches | 2 Division (OLD)'!CP40</f>
        <v>0</v>
      </c>
      <c r="M20" s="253">
        <v>0.9375</v>
      </c>
      <c r="N20" s="255">
        <f>'Matches | 2 Division (OLD)'!CS40</f>
        <v>0</v>
      </c>
      <c r="O20" s="470" t="str">
        <f>$B$8</f>
        <v>VIOLENCE</v>
      </c>
      <c r="P20" s="471">
        <v>40.0</v>
      </c>
    </row>
    <row r="21">
      <c r="A21" s="847">
        <v>7.0</v>
      </c>
      <c r="B21" s="493"/>
      <c r="C21" s="494" t="s">
        <v>817</v>
      </c>
      <c r="D21" s="216"/>
      <c r="E21" s="841">
        <v>46106.0</v>
      </c>
      <c r="F21" s="22"/>
      <c r="G21" s="22"/>
      <c r="H21" s="22"/>
      <c r="I21" s="22"/>
      <c r="J21" s="144"/>
      <c r="K21" s="841">
        <v>46140.0</v>
      </c>
      <c r="L21" s="22"/>
      <c r="M21" s="22"/>
      <c r="N21" s="22"/>
      <c r="O21" s="22"/>
      <c r="P21" s="144"/>
    </row>
    <row r="22">
      <c r="A22" s="496">
        <v>8.0</v>
      </c>
      <c r="B22" s="497"/>
      <c r="C22" s="498" t="s">
        <v>818</v>
      </c>
      <c r="D22" s="223"/>
      <c r="E22" s="224" t="s">
        <v>258</v>
      </c>
      <c r="F22" s="225" t="s">
        <v>259</v>
      </c>
      <c r="G22" s="226" t="s">
        <v>260</v>
      </c>
      <c r="H22" s="225" t="s">
        <v>259</v>
      </c>
      <c r="I22" s="226" t="s">
        <v>261</v>
      </c>
      <c r="J22" s="228" t="s">
        <v>263</v>
      </c>
      <c r="K22" s="834" t="s">
        <v>805</v>
      </c>
      <c r="L22" s="225" t="s">
        <v>259</v>
      </c>
      <c r="M22" s="835" t="s">
        <v>806</v>
      </c>
      <c r="N22" s="225" t="s">
        <v>259</v>
      </c>
      <c r="O22" s="835" t="s">
        <v>807</v>
      </c>
      <c r="P22" s="836" t="s">
        <v>808</v>
      </c>
    </row>
    <row r="23">
      <c r="A23" s="447"/>
      <c r="B23" s="447"/>
      <c r="D23" s="211"/>
      <c r="E23" s="224" t="str">
        <f>$B$7</f>
        <v>QW0TROBERY</v>
      </c>
      <c r="F23" s="225">
        <f>'Matches | 2 Division (OLD)'!AN10</f>
        <v>0</v>
      </c>
      <c r="G23" s="233">
        <v>0.75</v>
      </c>
      <c r="H23" s="225">
        <f>'Matches | 2 Division (OLD)'!AQ10</f>
        <v>0</v>
      </c>
      <c r="I23" s="226" t="str">
        <f>$B$3</f>
        <v>Green Hustle</v>
      </c>
      <c r="J23" s="226">
        <v>13.0</v>
      </c>
      <c r="K23" s="224" t="str">
        <f>$B$5</f>
        <v>ALFA</v>
      </c>
      <c r="L23" s="225">
        <f>'Matches | 2 Division (OLD)'!CY10</f>
        <v>0</v>
      </c>
      <c r="M23" s="233">
        <v>0.75</v>
      </c>
      <c r="N23" s="225">
        <f>'Matches | 2 Division (OLD)'!DB10</f>
        <v>0</v>
      </c>
      <c r="O23" s="226" t="str">
        <f>$B$10</f>
        <v>PARADOX</v>
      </c>
      <c r="P23" s="228">
        <v>41.0</v>
      </c>
    </row>
    <row r="24">
      <c r="A24" s="447"/>
      <c r="B24" s="447"/>
      <c r="D24" s="263"/>
      <c r="E24" s="264" t="str">
        <f>$B$6</f>
        <v>Hoax</v>
      </c>
      <c r="F24" s="243">
        <f>'Matches | 2 Division (OLD)'!AN20</f>
        <v>0</v>
      </c>
      <c r="G24" s="241">
        <v>0.8125</v>
      </c>
      <c r="H24" s="243">
        <f>'Matches | 2 Division (OLD)'!AQ20</f>
        <v>0</v>
      </c>
      <c r="I24" s="263" t="str">
        <f>$B$9</f>
        <v>ICM</v>
      </c>
      <c r="J24" s="211">
        <v>14.0</v>
      </c>
      <c r="K24" s="264" t="str">
        <f>$B$3</f>
        <v>Green Hustle</v>
      </c>
      <c r="L24" s="243">
        <f>'Matches | 2 Division (OLD)'!CY20</f>
        <v>0</v>
      </c>
      <c r="M24" s="241">
        <v>0.8125</v>
      </c>
      <c r="N24" s="243">
        <f>'Matches | 2 Division (OLD)'!DB20</f>
        <v>0</v>
      </c>
      <c r="O24" s="263" t="str">
        <f>$B$7</f>
        <v>QW0TROBERY</v>
      </c>
      <c r="P24" s="464">
        <v>42.0</v>
      </c>
    </row>
    <row r="25">
      <c r="A25" s="447"/>
      <c r="B25" s="447"/>
      <c r="D25" s="263"/>
      <c r="E25" s="264" t="str">
        <f>$B$8</f>
        <v>VIOLENCE</v>
      </c>
      <c r="F25" s="243">
        <f>'Matches | 2 Division (OLD)'!AN30</f>
        <v>0</v>
      </c>
      <c r="G25" s="241">
        <v>0.875</v>
      </c>
      <c r="H25" s="243">
        <f>'Matches | 2 Division (OLD)'!AQ30</f>
        <v>0</v>
      </c>
      <c r="I25" s="266" t="str">
        <f>$B$4</f>
        <v>DISTANCE</v>
      </c>
      <c r="J25" s="211">
        <v>15.0</v>
      </c>
      <c r="K25" s="267" t="str">
        <f>$B$4</f>
        <v>DISTANCE</v>
      </c>
      <c r="L25" s="243">
        <f>'Matches | 2 Division (OLD)'!CY30</f>
        <v>0</v>
      </c>
      <c r="M25" s="241">
        <v>0.875</v>
      </c>
      <c r="N25" s="243">
        <f>'Matches | 2 Division (OLD)'!DB30</f>
        <v>0</v>
      </c>
      <c r="O25" s="263" t="str">
        <f>$B$8</f>
        <v>VIOLENCE</v>
      </c>
      <c r="P25" s="464">
        <v>43.0</v>
      </c>
    </row>
    <row r="26">
      <c r="A26" s="447"/>
      <c r="B26" s="447"/>
      <c r="D26" s="263"/>
      <c r="E26" s="270" t="str">
        <f>$B$10</f>
        <v>PARADOX</v>
      </c>
      <c r="F26" s="252">
        <f>'Matches | 2 Division (OLD)'!AN40</f>
        <v>0</v>
      </c>
      <c r="G26" s="253">
        <v>0.9375</v>
      </c>
      <c r="H26" s="255">
        <f>'Matches | 2 Division (OLD)'!AQ40</f>
        <v>0</v>
      </c>
      <c r="I26" s="470" t="str">
        <f>$B$5</f>
        <v>ALFA</v>
      </c>
      <c r="J26" s="468">
        <v>16.0</v>
      </c>
      <c r="K26" s="270" t="str">
        <f>$B$9</f>
        <v>ICM</v>
      </c>
      <c r="L26" s="255">
        <f>'Matches | 2 Division (OLD)'!CY40</f>
        <v>0</v>
      </c>
      <c r="M26" s="253">
        <v>0.9375</v>
      </c>
      <c r="N26" s="255">
        <f>'Matches | 2 Division (OLD)'!DB40</f>
        <v>0</v>
      </c>
      <c r="O26" s="470" t="str">
        <f>$B$6</f>
        <v>Hoax</v>
      </c>
      <c r="P26" s="471">
        <v>44.0</v>
      </c>
    </row>
    <row r="27">
      <c r="A27" s="447"/>
      <c r="B27" s="447"/>
      <c r="D27" s="216"/>
      <c r="E27" s="841">
        <v>46114.0</v>
      </c>
      <c r="F27" s="22"/>
      <c r="G27" s="22"/>
      <c r="H27" s="22"/>
      <c r="I27" s="22"/>
      <c r="J27" s="144"/>
      <c r="K27" s="841">
        <v>46143.0</v>
      </c>
      <c r="L27" s="22"/>
      <c r="M27" s="22"/>
      <c r="N27" s="22"/>
      <c r="O27" s="22"/>
      <c r="P27" s="144"/>
    </row>
    <row r="28">
      <c r="A28" s="447"/>
      <c r="B28" s="447"/>
      <c r="D28" s="223"/>
      <c r="E28" s="224" t="s">
        <v>258</v>
      </c>
      <c r="F28" s="225" t="s">
        <v>259</v>
      </c>
      <c r="G28" s="226" t="s">
        <v>260</v>
      </c>
      <c r="H28" s="225" t="s">
        <v>259</v>
      </c>
      <c r="I28" s="226" t="s">
        <v>261</v>
      </c>
      <c r="J28" s="228" t="s">
        <v>263</v>
      </c>
      <c r="K28" s="834" t="s">
        <v>805</v>
      </c>
      <c r="L28" s="225" t="s">
        <v>259</v>
      </c>
      <c r="M28" s="835" t="s">
        <v>806</v>
      </c>
      <c r="N28" s="225" t="s">
        <v>259</v>
      </c>
      <c r="O28" s="835" t="s">
        <v>807</v>
      </c>
      <c r="P28" s="836" t="s">
        <v>808</v>
      </c>
    </row>
    <row r="29">
      <c r="A29" s="27"/>
      <c r="B29" s="27"/>
      <c r="D29" s="292"/>
      <c r="E29" s="500" t="str">
        <f>$B$7</f>
        <v>QW0TROBERY</v>
      </c>
      <c r="F29" s="225">
        <f>'Matches | 2 Division (OLD)'!AW10</f>
        <v>0</v>
      </c>
      <c r="G29" s="233">
        <v>0.75</v>
      </c>
      <c r="H29" s="225">
        <f>'Matches | 2 Division (OLD)'!AZ10</f>
        <v>0</v>
      </c>
      <c r="I29" s="501" t="str">
        <f>$B$9</f>
        <v>ICM</v>
      </c>
      <c r="J29" s="848">
        <v>17.0</v>
      </c>
      <c r="K29" s="500" t="str">
        <f>$B$6</f>
        <v>Hoax</v>
      </c>
      <c r="L29" s="225">
        <f>'Matches | 2 Division (OLD)'!DH10</f>
        <v>0</v>
      </c>
      <c r="M29" s="233">
        <v>0.625</v>
      </c>
      <c r="N29" s="225">
        <f>'Matches | 2 Division (OLD)'!DK10</f>
        <v>0</v>
      </c>
      <c r="O29" s="849" t="str">
        <f>$B$4</f>
        <v>DISTANCE</v>
      </c>
      <c r="P29" s="228">
        <v>45.0</v>
      </c>
    </row>
    <row r="30">
      <c r="A30" s="27"/>
      <c r="B30" s="27"/>
      <c r="D30" s="502"/>
      <c r="E30" s="503" t="str">
        <f>$B$8</f>
        <v>VIOLENCE</v>
      </c>
      <c r="F30" s="243">
        <f>'Matches | 2 Division (OLD)'!AW20</f>
        <v>0</v>
      </c>
      <c r="G30" s="241">
        <v>0.8125</v>
      </c>
      <c r="H30" s="243">
        <f>'Matches | 2 Division (OLD)'!AZ20</f>
        <v>0</v>
      </c>
      <c r="I30" s="502" t="str">
        <f>$B$10</f>
        <v>PARADOX</v>
      </c>
      <c r="J30" s="850">
        <v>18.0</v>
      </c>
      <c r="K30" s="503" t="str">
        <f>$B$9</f>
        <v>ICM</v>
      </c>
      <c r="L30" s="243">
        <f>'Matches | 2 Division (OLD)'!DH20</f>
        <v>0</v>
      </c>
      <c r="M30" s="241">
        <v>0.6875</v>
      </c>
      <c r="N30" s="243">
        <f>'Matches | 2 Division (OLD)'!DK20</f>
        <v>0</v>
      </c>
      <c r="O30" s="502" t="str">
        <f>$B$7</f>
        <v>QW0TROBERY</v>
      </c>
      <c r="P30" s="464">
        <v>46.0</v>
      </c>
    </row>
    <row r="31">
      <c r="A31" s="27"/>
      <c r="B31" s="27"/>
      <c r="D31" s="502"/>
      <c r="E31" s="503" t="str">
        <f>$B$3</f>
        <v>Green Hustle</v>
      </c>
      <c r="F31" s="243">
        <f>'Matches | 2 Division (OLD)'!AW30</f>
        <v>0</v>
      </c>
      <c r="G31" s="241">
        <v>0.875</v>
      </c>
      <c r="H31" s="243">
        <f>'Matches | 2 Division (OLD)'!AZ30</f>
        <v>0</v>
      </c>
      <c r="I31" s="502" t="str">
        <f>$B$5</f>
        <v>ALFA</v>
      </c>
      <c r="J31" s="850">
        <v>19.0</v>
      </c>
      <c r="K31" s="503" t="str">
        <f>$B$10</f>
        <v>PARADOX</v>
      </c>
      <c r="L31" s="243">
        <f>'Matches | 2 Division (OLD)'!DH30</f>
        <v>0</v>
      </c>
      <c r="M31" s="241">
        <v>0.75</v>
      </c>
      <c r="N31" s="243">
        <f>'Matches | 2 Division (OLD)'!DK30</f>
        <v>0</v>
      </c>
      <c r="O31" s="502" t="str">
        <f>$B$8</f>
        <v>VIOLENCE</v>
      </c>
      <c r="P31" s="464">
        <v>47.0</v>
      </c>
    </row>
    <row r="32">
      <c r="A32" s="27"/>
      <c r="B32" s="27"/>
      <c r="D32" s="505"/>
      <c r="E32" s="851" t="str">
        <f>$B$4</f>
        <v>DISTANCE</v>
      </c>
      <c r="F32" s="255">
        <f>'Matches | 2 Division (OLD)'!AW40</f>
        <v>0</v>
      </c>
      <c r="G32" s="253">
        <v>0.9375</v>
      </c>
      <c r="H32" s="255">
        <f>'Matches | 2 Division (OLD)'!AZ40</f>
        <v>0</v>
      </c>
      <c r="I32" s="507" t="str">
        <f>$B$6</f>
        <v>Hoax</v>
      </c>
      <c r="J32" s="852">
        <v>20.0</v>
      </c>
      <c r="K32" s="506" t="str">
        <f>$B$5</f>
        <v>ALFA</v>
      </c>
      <c r="L32" s="255">
        <f>'Matches | 2 Division (OLD)'!DH40</f>
        <v>0</v>
      </c>
      <c r="M32" s="253">
        <v>0.8125</v>
      </c>
      <c r="N32" s="255">
        <f>'Matches | 2 Division (OLD)'!DK40</f>
        <v>0</v>
      </c>
      <c r="O32" s="507" t="str">
        <f>$B$3</f>
        <v>Green Hustle</v>
      </c>
      <c r="P32" s="471">
        <v>48.0</v>
      </c>
    </row>
    <row r="33">
      <c r="A33" s="27"/>
      <c r="B33" s="447"/>
      <c r="D33" s="216"/>
      <c r="E33" s="841">
        <v>46120.0</v>
      </c>
      <c r="F33" s="22"/>
      <c r="G33" s="22"/>
      <c r="H33" s="22"/>
      <c r="I33" s="22"/>
      <c r="J33" s="144"/>
      <c r="K33" s="841">
        <v>46144.0</v>
      </c>
      <c r="L33" s="22"/>
      <c r="M33" s="22"/>
      <c r="N33" s="22"/>
      <c r="O33" s="22"/>
      <c r="P33" s="144"/>
    </row>
    <row r="34">
      <c r="A34" s="27"/>
      <c r="B34" s="27"/>
      <c r="D34" s="223"/>
      <c r="E34" s="224" t="s">
        <v>258</v>
      </c>
      <c r="F34" s="225" t="s">
        <v>259</v>
      </c>
      <c r="G34" s="226" t="s">
        <v>260</v>
      </c>
      <c r="H34" s="225" t="s">
        <v>259</v>
      </c>
      <c r="I34" s="226" t="s">
        <v>261</v>
      </c>
      <c r="J34" s="228" t="s">
        <v>263</v>
      </c>
      <c r="K34" s="834" t="s">
        <v>805</v>
      </c>
      <c r="L34" s="225" t="s">
        <v>259</v>
      </c>
      <c r="M34" s="835" t="s">
        <v>806</v>
      </c>
      <c r="N34" s="225" t="s">
        <v>259</v>
      </c>
      <c r="O34" s="835" t="s">
        <v>807</v>
      </c>
      <c r="P34" s="836" t="s">
        <v>808</v>
      </c>
    </row>
    <row r="35">
      <c r="A35" s="447"/>
      <c r="B35" s="447"/>
      <c r="D35" s="508"/>
      <c r="E35" s="509" t="str">
        <f>$B$3</f>
        <v>Green Hustle</v>
      </c>
      <c r="F35" s="225">
        <f>'Matches | 2 Division (OLD)'!BF10</f>
        <v>0</v>
      </c>
      <c r="G35" s="233">
        <v>0.75</v>
      </c>
      <c r="H35" s="225">
        <f>'Matches | 2 Division (OLD)'!BI10</f>
        <v>0</v>
      </c>
      <c r="I35" s="510" t="str">
        <f>$B$6</f>
        <v>Hoax</v>
      </c>
      <c r="J35" s="228">
        <v>21.0</v>
      </c>
      <c r="K35" s="501" t="str">
        <f>$B$7</f>
        <v>QW0TROBERY</v>
      </c>
      <c r="L35" s="225">
        <f>'Matches | 2 Division (OLD)'!DQ10</f>
        <v>0</v>
      </c>
      <c r="M35" s="233">
        <v>0.625</v>
      </c>
      <c r="N35" s="225">
        <f>'Matches | 2 Division (OLD)'!DT10</f>
        <v>0</v>
      </c>
      <c r="O35" s="501" t="str">
        <f>$B$10</f>
        <v>PARADOX</v>
      </c>
      <c r="P35" s="228">
        <v>49.0</v>
      </c>
    </row>
    <row r="36">
      <c r="A36" s="447"/>
      <c r="B36" s="447"/>
      <c r="D36" s="502"/>
      <c r="E36" s="503" t="str">
        <f>$B$10</f>
        <v>PARADOX</v>
      </c>
      <c r="F36" s="243">
        <f>'Matches | 2 Division (OLD)'!BF20</f>
        <v>0</v>
      </c>
      <c r="G36" s="241">
        <v>0.8125</v>
      </c>
      <c r="H36" s="243">
        <f>'Matches | 2 Division (OLD)'!BI20</f>
        <v>0</v>
      </c>
      <c r="I36" s="502" t="str">
        <f>$B$7</f>
        <v>QW0TROBERY</v>
      </c>
      <c r="J36" s="464">
        <v>22.0</v>
      </c>
      <c r="K36" s="502" t="str">
        <f>$B$5</f>
        <v>ALFA</v>
      </c>
      <c r="L36" s="243">
        <f>'Matches | 2 Division (OLD)'!DQ20</f>
        <v>0</v>
      </c>
      <c r="M36" s="241">
        <v>0.6875</v>
      </c>
      <c r="N36" s="243">
        <f>'Matches | 2 Division (OLD)'!DT20</f>
        <v>0</v>
      </c>
      <c r="O36" s="266" t="str">
        <f>$B$4</f>
        <v>DISTANCE</v>
      </c>
      <c r="P36" s="464">
        <v>50.0</v>
      </c>
    </row>
    <row r="37">
      <c r="A37" s="447"/>
      <c r="B37" s="447"/>
      <c r="D37" s="263"/>
      <c r="E37" s="264" t="str">
        <f>$B$8</f>
        <v>VIOLENCE</v>
      </c>
      <c r="F37" s="243">
        <f>'Matches | 2 Division (OLD)'!BF30</f>
        <v>0</v>
      </c>
      <c r="G37" s="241">
        <v>0.875</v>
      </c>
      <c r="H37" s="243">
        <f>'Matches | 2 Division (OLD)'!BI30</f>
        <v>0</v>
      </c>
      <c r="I37" s="263" t="str">
        <f>$B$9</f>
        <v>ICM</v>
      </c>
      <c r="J37" s="464">
        <v>23.0</v>
      </c>
      <c r="K37" s="502" t="str">
        <f>$B$6</f>
        <v>Hoax</v>
      </c>
      <c r="L37" s="243">
        <f>'Matches | 2 Division (OLD)'!DQ30</f>
        <v>0</v>
      </c>
      <c r="M37" s="241">
        <v>0.75</v>
      </c>
      <c r="N37" s="243">
        <f>'Matches | 2 Division (OLD)'!DT30</f>
        <v>0</v>
      </c>
      <c r="O37" s="502" t="str">
        <f>$B$3</f>
        <v>Green Hustle</v>
      </c>
      <c r="P37" s="464">
        <v>51.0</v>
      </c>
    </row>
    <row r="38">
      <c r="A38" s="447"/>
      <c r="B38" s="447"/>
      <c r="D38" s="505"/>
      <c r="E38" s="851" t="str">
        <f>$B$4</f>
        <v>DISTANCE</v>
      </c>
      <c r="F38" s="255">
        <f>'Matches | 2 Division (OLD)'!BF40</f>
        <v>0</v>
      </c>
      <c r="G38" s="253">
        <v>0.9375</v>
      </c>
      <c r="H38" s="255">
        <f>'Matches | 2 Division (OLD)'!BI40</f>
        <v>0</v>
      </c>
      <c r="I38" s="470" t="str">
        <f>$B$5</f>
        <v>ALFA</v>
      </c>
      <c r="J38" s="471">
        <v>24.0</v>
      </c>
      <c r="K38" s="470" t="str">
        <f>$B$9</f>
        <v>ICM</v>
      </c>
      <c r="L38" s="255">
        <f>'Matches | 2 Division (OLD)'!DQ40</f>
        <v>0</v>
      </c>
      <c r="M38" s="253">
        <v>0.8125</v>
      </c>
      <c r="N38" s="255">
        <f>'Matches | 2 Division (OLD)'!DT40</f>
        <v>0</v>
      </c>
      <c r="O38" s="507" t="str">
        <f>$B$8</f>
        <v>VIOLENCE</v>
      </c>
      <c r="P38" s="471">
        <v>52.0</v>
      </c>
    </row>
    <row r="39">
      <c r="A39" s="447"/>
      <c r="B39" s="447"/>
      <c r="D39" s="216"/>
      <c r="E39" s="841">
        <v>46121.0</v>
      </c>
      <c r="F39" s="22"/>
      <c r="G39" s="22"/>
      <c r="H39" s="22"/>
      <c r="I39" s="22"/>
      <c r="J39" s="144"/>
      <c r="K39" s="841">
        <v>46155.0</v>
      </c>
      <c r="L39" s="22"/>
      <c r="M39" s="22"/>
      <c r="N39" s="22"/>
      <c r="O39" s="22"/>
      <c r="P39" s="144"/>
    </row>
    <row r="40">
      <c r="A40" s="447"/>
      <c r="B40" s="447"/>
      <c r="D40" s="223"/>
      <c r="E40" s="224" t="s">
        <v>258</v>
      </c>
      <c r="F40" s="225" t="s">
        <v>259</v>
      </c>
      <c r="G40" s="226" t="s">
        <v>260</v>
      </c>
      <c r="H40" s="225" t="s">
        <v>259</v>
      </c>
      <c r="I40" s="226" t="s">
        <v>261</v>
      </c>
      <c r="J40" s="228" t="s">
        <v>263</v>
      </c>
      <c r="K40" s="834" t="s">
        <v>805</v>
      </c>
      <c r="L40" s="225" t="s">
        <v>259</v>
      </c>
      <c r="M40" s="835" t="s">
        <v>806</v>
      </c>
      <c r="N40" s="225" t="s">
        <v>259</v>
      </c>
      <c r="O40" s="835" t="s">
        <v>807</v>
      </c>
      <c r="P40" s="836" t="s">
        <v>808</v>
      </c>
    </row>
    <row r="41">
      <c r="A41" s="447"/>
      <c r="B41" s="447"/>
      <c r="D41" s="211"/>
      <c r="E41" s="224" t="str">
        <f>$B$9</f>
        <v>ICM</v>
      </c>
      <c r="F41" s="225">
        <f>'Matches | 2 Division (OLD)'!BO10</f>
        <v>0</v>
      </c>
      <c r="G41" s="233">
        <v>0.75</v>
      </c>
      <c r="H41" s="225">
        <f>'Matches | 2 Division (OLD)'!BR10</f>
        <v>0</v>
      </c>
      <c r="I41" s="226" t="str">
        <f>$B$10</f>
        <v>PARADOX</v>
      </c>
      <c r="J41" s="228">
        <v>25.0</v>
      </c>
      <c r="K41" s="224" t="str">
        <f>$B$8</f>
        <v>VIOLENCE</v>
      </c>
      <c r="L41" s="225">
        <f>'Matches | 2 Division (OLD)'!DZ10</f>
        <v>0</v>
      </c>
      <c r="M41" s="233">
        <v>0.75</v>
      </c>
      <c r="N41" s="225">
        <f>'Matches | 2 Division (OLD)'!EC10</f>
        <v>0</v>
      </c>
      <c r="O41" s="226" t="str">
        <f>$B$7</f>
        <v>QW0TROBERY</v>
      </c>
      <c r="P41" s="228">
        <v>53.0</v>
      </c>
    </row>
    <row r="42">
      <c r="A42" s="447"/>
      <c r="B42" s="447"/>
      <c r="D42" s="263"/>
      <c r="E42" s="264" t="str">
        <f>$B$3</f>
        <v>Green Hustle</v>
      </c>
      <c r="F42" s="243">
        <f>'Matches | 2 Division (OLD)'!BO20</f>
        <v>0</v>
      </c>
      <c r="G42" s="241">
        <v>0.8125</v>
      </c>
      <c r="H42" s="243">
        <f>'Matches | 2 Division (OLD)'!BR20</f>
        <v>0</v>
      </c>
      <c r="I42" s="266" t="str">
        <f>$B$4</f>
        <v>DISTANCE</v>
      </c>
      <c r="J42" s="464">
        <v>26.0</v>
      </c>
      <c r="K42" s="264" t="str">
        <f>$B$10</f>
        <v>PARADOX</v>
      </c>
      <c r="L42" s="243">
        <f>'Matches | 2 Division (OLD)'!DZ20</f>
        <v>0</v>
      </c>
      <c r="M42" s="241">
        <v>0.8125</v>
      </c>
      <c r="N42" s="243">
        <f>'Matches | 2 Division (OLD)'!EC20</f>
        <v>0</v>
      </c>
      <c r="O42" s="263" t="str">
        <f>$B$9</f>
        <v>ICM</v>
      </c>
      <c r="P42" s="464">
        <v>54.0</v>
      </c>
    </row>
    <row r="43">
      <c r="A43" s="447"/>
      <c r="B43" s="447"/>
      <c r="D43" s="263"/>
      <c r="E43" s="264" t="str">
        <f>$B$5</f>
        <v>ALFA</v>
      </c>
      <c r="F43" s="243">
        <f>'Matches | 2 Division (OLD)'!BO30</f>
        <v>0</v>
      </c>
      <c r="G43" s="241">
        <v>0.875</v>
      </c>
      <c r="H43" s="243">
        <f>'Matches | 2 Division (OLD)'!BR30</f>
        <v>0</v>
      </c>
      <c r="I43" s="263" t="str">
        <f>$B$6</f>
        <v>Hoax</v>
      </c>
      <c r="J43" s="464">
        <v>27.0</v>
      </c>
      <c r="K43" s="267" t="str">
        <f>$B$4</f>
        <v>DISTANCE</v>
      </c>
      <c r="L43" s="243">
        <f>'Matches | 2 Division (OLD)'!DZ30</f>
        <v>0</v>
      </c>
      <c r="M43" s="241">
        <v>0.875</v>
      </c>
      <c r="N43" s="243">
        <f>'Matches | 2 Division (OLD)'!EC30</f>
        <v>0</v>
      </c>
      <c r="O43" s="263" t="str">
        <f>$B$3</f>
        <v>Green Hustle</v>
      </c>
      <c r="P43" s="464">
        <v>55.0</v>
      </c>
    </row>
    <row r="44">
      <c r="A44" s="447"/>
      <c r="B44" s="447"/>
      <c r="D44" s="263"/>
      <c r="E44" s="270" t="str">
        <f>$B$7</f>
        <v>QW0TROBERY</v>
      </c>
      <c r="F44" s="255">
        <f>'Matches | 2 Division (OLD)'!BO40</f>
        <v>0</v>
      </c>
      <c r="G44" s="253">
        <v>0.9375</v>
      </c>
      <c r="H44" s="255">
        <f>'Matches | 2 Division (OLD)'!BR40</f>
        <v>0</v>
      </c>
      <c r="I44" s="470" t="str">
        <f>$B$8</f>
        <v>VIOLENCE</v>
      </c>
      <c r="J44" s="471">
        <v>28.0</v>
      </c>
      <c r="K44" s="270" t="str">
        <f>$B$6</f>
        <v>Hoax</v>
      </c>
      <c r="L44" s="255">
        <f>'Matches | 2 Division (OLD)'!DZ40</f>
        <v>0</v>
      </c>
      <c r="M44" s="253">
        <v>0.9375</v>
      </c>
      <c r="N44" s="255">
        <f>'Matches | 2 Division (OLD)'!EC40</f>
        <v>0</v>
      </c>
      <c r="O44" s="470" t="str">
        <f>$B$5</f>
        <v>ALFA</v>
      </c>
      <c r="P44" s="471">
        <v>56.0</v>
      </c>
    </row>
  </sheetData>
  <mergeCells count="17">
    <mergeCell ref="E1:P1"/>
    <mergeCell ref="E2:J2"/>
    <mergeCell ref="K2:P2"/>
    <mergeCell ref="E3:J3"/>
    <mergeCell ref="K3:P3"/>
    <mergeCell ref="E9:J9"/>
    <mergeCell ref="K9:P9"/>
    <mergeCell ref="E33:J33"/>
    <mergeCell ref="E39:J39"/>
    <mergeCell ref="K39:P39"/>
    <mergeCell ref="E15:J15"/>
    <mergeCell ref="K15:P15"/>
    <mergeCell ref="E21:J21"/>
    <mergeCell ref="K21:P21"/>
    <mergeCell ref="E27:J27"/>
    <mergeCell ref="K27:P27"/>
    <mergeCell ref="K33:P3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9" width="15.33"/>
    <col customWidth="1" min="10" max="10" width="3.33"/>
    <col customWidth="1" min="12" max="12" width="19.33"/>
    <col customWidth="1" min="15" max="15" width="17.78"/>
    <col customWidth="1" min="18" max="18" width="19.33"/>
    <col customWidth="1" min="19" max="19" width="3.33"/>
    <col customWidth="1" min="21" max="21" width="19.33"/>
    <col customWidth="1" min="24" max="24" width="17.78"/>
    <col customWidth="1" min="27" max="27" width="19.33"/>
    <col customWidth="1" min="28" max="28" width="3.56"/>
    <col customWidth="1" min="30" max="30" width="19.33"/>
    <col customWidth="1" min="33" max="33" width="17.78"/>
    <col customWidth="1" min="36" max="36" width="19.33"/>
    <col customWidth="1" min="37" max="37" width="3.56"/>
    <col customWidth="1" min="39" max="39" width="19.33"/>
    <col customWidth="1" min="42" max="42" width="17.78"/>
    <col customWidth="1" min="45" max="45" width="19.33"/>
    <col customWidth="1" min="46" max="46" width="3.56"/>
    <col customWidth="1" min="48" max="48" width="19.33"/>
    <col customWidth="1" min="51" max="51" width="17.78"/>
    <col customWidth="1" min="54" max="54" width="19.33"/>
    <col customWidth="1" min="55" max="55" width="3.56"/>
    <col customWidth="1" min="57" max="57" width="19.33"/>
    <col customWidth="1" min="60" max="60" width="17.78"/>
    <col customWidth="1" min="63" max="63" width="19.33"/>
    <col customWidth="1" min="64" max="64" width="3.56"/>
    <col customWidth="1" min="66" max="66" width="19.33"/>
    <col customWidth="1" min="69" max="69" width="17.78"/>
    <col customWidth="1" min="72" max="72" width="19.33"/>
    <col customWidth="1" min="73" max="73" width="3.56"/>
    <col customWidth="1" min="75" max="75" width="19.33"/>
    <col customWidth="1" min="78" max="78" width="17.78"/>
    <col customWidth="1" min="81" max="81" width="19.33"/>
    <col customWidth="1" min="82" max="82" width="3.56"/>
    <col customWidth="1" min="84" max="84" width="19.33"/>
    <col customWidth="1" min="87" max="87" width="17.78"/>
    <col customWidth="1" min="90" max="90" width="19.33"/>
    <col customWidth="1" min="91" max="91" width="3.56"/>
    <col customWidth="1" min="93" max="93" width="19.33"/>
    <col customWidth="1" min="96" max="96" width="17.78"/>
    <col customWidth="1" min="99" max="99" width="19.33"/>
    <col customWidth="1" min="100" max="100" width="3.56"/>
    <col customWidth="1" min="102" max="102" width="19.33"/>
    <col customWidth="1" min="105" max="105" width="17.78"/>
    <col customWidth="1" min="108" max="108" width="19.33"/>
    <col customWidth="1" min="109" max="109" width="3.56"/>
    <col customWidth="1" min="111" max="111" width="19.33"/>
    <col customWidth="1" min="114" max="114" width="17.78"/>
    <col customWidth="1" min="117" max="117" width="19.33"/>
    <col customWidth="1" min="118" max="118" width="3.56"/>
    <col customWidth="1" min="120" max="120" width="19.33"/>
    <col customWidth="1" min="123" max="123" width="17.78"/>
    <col customWidth="1" min="126" max="126" width="19.33"/>
    <col customWidth="1" min="127" max="127" width="3.56"/>
    <col customWidth="1" min="129" max="129" width="19.33"/>
    <col customWidth="1" min="132" max="132" width="17.78"/>
    <col customWidth="1" min="135" max="135" width="19.33"/>
  </cols>
  <sheetData>
    <row r="1" ht="33.0" customHeight="1">
      <c r="A1" s="853" t="s">
        <v>819</v>
      </c>
      <c r="J1" s="854"/>
      <c r="K1" s="855">
        <f>'Schedule | 2 Division (OLD)'!E3</f>
        <v>46097</v>
      </c>
      <c r="L1" s="97"/>
      <c r="M1" s="97"/>
      <c r="N1" s="97"/>
      <c r="O1" s="97"/>
      <c r="P1" s="97"/>
      <c r="Q1" s="97"/>
      <c r="R1" s="100"/>
      <c r="S1" s="854"/>
      <c r="T1" s="855">
        <f>'Schedule | 2 Division (OLD)'!E9</f>
        <v>46098</v>
      </c>
      <c r="U1" s="97"/>
      <c r="V1" s="97"/>
      <c r="W1" s="97"/>
      <c r="X1" s="97"/>
      <c r="Y1" s="97"/>
      <c r="Z1" s="97"/>
      <c r="AA1" s="100"/>
      <c r="AB1" s="856"/>
      <c r="AC1" s="855">
        <f>'Schedule | 2 Division (OLD)'!E15</f>
        <v>46104</v>
      </c>
      <c r="AD1" s="97"/>
      <c r="AE1" s="97"/>
      <c r="AF1" s="97"/>
      <c r="AG1" s="97"/>
      <c r="AH1" s="97"/>
      <c r="AI1" s="97"/>
      <c r="AJ1" s="100"/>
      <c r="AK1" s="856"/>
      <c r="AL1" s="855">
        <f>'Schedule | 2 Division (OLD)'!E21</f>
        <v>46106</v>
      </c>
      <c r="AM1" s="97"/>
      <c r="AN1" s="97"/>
      <c r="AO1" s="97"/>
      <c r="AP1" s="97"/>
      <c r="AQ1" s="97"/>
      <c r="AR1" s="97"/>
      <c r="AS1" s="100"/>
      <c r="AT1" s="856"/>
      <c r="AU1" s="855">
        <f>'Schedule | 2 Division (OLD)'!E27</f>
        <v>46114</v>
      </c>
      <c r="AV1" s="97"/>
      <c r="AW1" s="97"/>
      <c r="AX1" s="97"/>
      <c r="AY1" s="97"/>
      <c r="AZ1" s="97"/>
      <c r="BA1" s="97"/>
      <c r="BB1" s="100"/>
      <c r="BC1" s="856"/>
      <c r="BD1" s="855">
        <f>'Schedule | 2 Division (OLD)'!E33</f>
        <v>46120</v>
      </c>
      <c r="BE1" s="97"/>
      <c r="BF1" s="97"/>
      <c r="BG1" s="97"/>
      <c r="BH1" s="97"/>
      <c r="BI1" s="97"/>
      <c r="BJ1" s="97"/>
      <c r="BK1" s="100"/>
      <c r="BL1" s="856"/>
      <c r="BM1" s="855">
        <f>'Schedule | 2 Division (OLD)'!E39</f>
        <v>46121</v>
      </c>
      <c r="BN1" s="97"/>
      <c r="BO1" s="97"/>
      <c r="BP1" s="97"/>
      <c r="BQ1" s="97"/>
      <c r="BR1" s="97"/>
      <c r="BS1" s="97"/>
      <c r="BT1" s="100"/>
      <c r="BU1" s="856"/>
      <c r="BV1" s="855">
        <f>'Schedule | 2 Division (OLD)'!K3</f>
        <v>46132</v>
      </c>
      <c r="BW1" s="97"/>
      <c r="BX1" s="97"/>
      <c r="BY1" s="97"/>
      <c r="BZ1" s="97"/>
      <c r="CA1" s="97"/>
      <c r="CB1" s="97"/>
      <c r="CC1" s="100"/>
      <c r="CD1" s="856"/>
      <c r="CE1" s="855">
        <f>'Schedule | 2 Division (OLD)'!K9</f>
        <v>46133</v>
      </c>
      <c r="CF1" s="97"/>
      <c r="CG1" s="97"/>
      <c r="CH1" s="97"/>
      <c r="CI1" s="97"/>
      <c r="CJ1" s="97"/>
      <c r="CK1" s="97"/>
      <c r="CL1" s="100"/>
      <c r="CM1" s="856"/>
      <c r="CN1" s="855">
        <f>'Schedule | 2 Division (OLD)'!K15</f>
        <v>46139</v>
      </c>
      <c r="CO1" s="97"/>
      <c r="CP1" s="97"/>
      <c r="CQ1" s="97"/>
      <c r="CR1" s="97"/>
      <c r="CS1" s="97"/>
      <c r="CT1" s="97"/>
      <c r="CU1" s="100"/>
      <c r="CV1" s="856"/>
      <c r="CW1" s="855">
        <f>'Schedule | 2 Division (OLD)'!K21</f>
        <v>46140</v>
      </c>
      <c r="CX1" s="97"/>
      <c r="CY1" s="97"/>
      <c r="CZ1" s="97"/>
      <c r="DA1" s="97"/>
      <c r="DB1" s="97"/>
      <c r="DC1" s="97"/>
      <c r="DD1" s="100"/>
      <c r="DE1" s="856"/>
      <c r="DF1" s="855">
        <f>'Schedule | 2 Division (OLD)'!K27</f>
        <v>46143</v>
      </c>
      <c r="DG1" s="97"/>
      <c r="DH1" s="97"/>
      <c r="DI1" s="97"/>
      <c r="DJ1" s="97"/>
      <c r="DK1" s="97"/>
      <c r="DL1" s="97"/>
      <c r="DM1" s="100"/>
      <c r="DN1" s="856"/>
      <c r="DO1" s="855">
        <f>'Schedule | 2 Division (OLD)'!K33</f>
        <v>46144</v>
      </c>
      <c r="DP1" s="97"/>
      <c r="DQ1" s="97"/>
      <c r="DR1" s="97"/>
      <c r="DS1" s="97"/>
      <c r="DT1" s="97"/>
      <c r="DU1" s="97"/>
      <c r="DV1" s="100"/>
      <c r="DW1" s="856"/>
      <c r="DX1" s="855">
        <f>'Schedule | 2 Division (OLD)'!K39</f>
        <v>46155</v>
      </c>
      <c r="DY1" s="97"/>
      <c r="DZ1" s="97"/>
      <c r="EA1" s="97"/>
      <c r="EB1" s="97"/>
      <c r="EC1" s="97"/>
      <c r="ED1" s="97"/>
      <c r="EE1" s="100"/>
    </row>
    <row r="2">
      <c r="A2" s="857" t="s">
        <v>103</v>
      </c>
      <c r="B2" s="525" t="s">
        <v>258</v>
      </c>
      <c r="C2" s="524" t="s">
        <v>716</v>
      </c>
      <c r="D2" s="528" t="s">
        <v>717</v>
      </c>
      <c r="E2" s="858" t="s">
        <v>820</v>
      </c>
      <c r="F2" s="859" t="s">
        <v>821</v>
      </c>
      <c r="G2" s="860" t="s">
        <v>822</v>
      </c>
      <c r="H2" s="860" t="s">
        <v>823</v>
      </c>
      <c r="I2" s="861" t="s">
        <v>824</v>
      </c>
      <c r="J2" s="862"/>
      <c r="K2" s="863" t="s">
        <v>263</v>
      </c>
      <c r="L2" s="864" t="s">
        <v>258</v>
      </c>
      <c r="M2" s="865" t="s">
        <v>825</v>
      </c>
      <c r="N2" s="866" t="s">
        <v>259</v>
      </c>
      <c r="O2" s="866" t="s">
        <v>307</v>
      </c>
      <c r="P2" s="866" t="s">
        <v>259</v>
      </c>
      <c r="Q2" s="867" t="s">
        <v>826</v>
      </c>
      <c r="R2" s="863" t="s">
        <v>261</v>
      </c>
      <c r="S2" s="868"/>
      <c r="T2" s="863" t="s">
        <v>263</v>
      </c>
      <c r="U2" s="863" t="s">
        <v>258</v>
      </c>
      <c r="V2" s="865" t="s">
        <v>825</v>
      </c>
      <c r="W2" s="866" t="s">
        <v>259</v>
      </c>
      <c r="X2" s="866" t="s">
        <v>307</v>
      </c>
      <c r="Y2" s="866" t="s">
        <v>259</v>
      </c>
      <c r="Z2" s="867" t="s">
        <v>826</v>
      </c>
      <c r="AA2" s="863" t="s">
        <v>261</v>
      </c>
      <c r="AB2" s="862"/>
      <c r="AC2" s="863" t="s">
        <v>263</v>
      </c>
      <c r="AD2" s="863" t="s">
        <v>258</v>
      </c>
      <c r="AE2" s="865" t="s">
        <v>825</v>
      </c>
      <c r="AF2" s="866" t="s">
        <v>259</v>
      </c>
      <c r="AG2" s="866" t="s">
        <v>307</v>
      </c>
      <c r="AH2" s="866" t="s">
        <v>259</v>
      </c>
      <c r="AI2" s="867" t="s">
        <v>826</v>
      </c>
      <c r="AJ2" s="863" t="s">
        <v>261</v>
      </c>
      <c r="AK2" s="862"/>
      <c r="AL2" s="869" t="s">
        <v>263</v>
      </c>
      <c r="AM2" s="869" t="s">
        <v>258</v>
      </c>
      <c r="AN2" s="865" t="s">
        <v>825</v>
      </c>
      <c r="AO2" s="866" t="s">
        <v>259</v>
      </c>
      <c r="AP2" s="866" t="s">
        <v>307</v>
      </c>
      <c r="AQ2" s="866" t="s">
        <v>259</v>
      </c>
      <c r="AR2" s="867" t="s">
        <v>826</v>
      </c>
      <c r="AS2" s="869" t="s">
        <v>261</v>
      </c>
      <c r="AT2" s="870"/>
      <c r="AU2" s="863" t="s">
        <v>263</v>
      </c>
      <c r="AV2" s="863" t="s">
        <v>258</v>
      </c>
      <c r="AW2" s="865" t="s">
        <v>825</v>
      </c>
      <c r="AX2" s="866" t="s">
        <v>259</v>
      </c>
      <c r="AY2" s="866" t="s">
        <v>307</v>
      </c>
      <c r="AZ2" s="866" t="s">
        <v>259</v>
      </c>
      <c r="BA2" s="867" t="s">
        <v>826</v>
      </c>
      <c r="BB2" s="863" t="s">
        <v>261</v>
      </c>
      <c r="BC2" s="870"/>
      <c r="BD2" s="863" t="s">
        <v>263</v>
      </c>
      <c r="BE2" s="863" t="s">
        <v>258</v>
      </c>
      <c r="BF2" s="865" t="s">
        <v>825</v>
      </c>
      <c r="BG2" s="866" t="s">
        <v>259</v>
      </c>
      <c r="BH2" s="866" t="s">
        <v>307</v>
      </c>
      <c r="BI2" s="866" t="s">
        <v>259</v>
      </c>
      <c r="BJ2" s="867" t="s">
        <v>826</v>
      </c>
      <c r="BK2" s="863" t="s">
        <v>261</v>
      </c>
      <c r="BL2" s="870"/>
      <c r="BM2" s="863" t="s">
        <v>263</v>
      </c>
      <c r="BN2" s="863" t="s">
        <v>258</v>
      </c>
      <c r="BO2" s="865" t="s">
        <v>825</v>
      </c>
      <c r="BP2" s="866" t="s">
        <v>259</v>
      </c>
      <c r="BQ2" s="866" t="s">
        <v>307</v>
      </c>
      <c r="BR2" s="866" t="s">
        <v>259</v>
      </c>
      <c r="BS2" s="867" t="s">
        <v>826</v>
      </c>
      <c r="BT2" s="863" t="s">
        <v>261</v>
      </c>
      <c r="BU2" s="870"/>
      <c r="BV2" s="863" t="s">
        <v>263</v>
      </c>
      <c r="BW2" s="863" t="s">
        <v>258</v>
      </c>
      <c r="BX2" s="865" t="s">
        <v>825</v>
      </c>
      <c r="BY2" s="866" t="s">
        <v>259</v>
      </c>
      <c r="BZ2" s="866" t="s">
        <v>307</v>
      </c>
      <c r="CA2" s="866" t="s">
        <v>259</v>
      </c>
      <c r="CB2" s="867" t="s">
        <v>826</v>
      </c>
      <c r="CC2" s="863" t="s">
        <v>261</v>
      </c>
      <c r="CD2" s="870"/>
      <c r="CE2" s="863" t="s">
        <v>263</v>
      </c>
      <c r="CF2" s="863" t="s">
        <v>258</v>
      </c>
      <c r="CG2" s="865" t="s">
        <v>825</v>
      </c>
      <c r="CH2" s="866" t="s">
        <v>259</v>
      </c>
      <c r="CI2" s="866" t="s">
        <v>307</v>
      </c>
      <c r="CJ2" s="866" t="s">
        <v>259</v>
      </c>
      <c r="CK2" s="867" t="s">
        <v>826</v>
      </c>
      <c r="CL2" s="863" t="s">
        <v>261</v>
      </c>
      <c r="CM2" s="870"/>
      <c r="CN2" s="863" t="s">
        <v>263</v>
      </c>
      <c r="CO2" s="863" t="s">
        <v>258</v>
      </c>
      <c r="CP2" s="865" t="s">
        <v>825</v>
      </c>
      <c r="CQ2" s="866" t="s">
        <v>259</v>
      </c>
      <c r="CR2" s="866" t="s">
        <v>307</v>
      </c>
      <c r="CS2" s="866" t="s">
        <v>259</v>
      </c>
      <c r="CT2" s="867" t="s">
        <v>826</v>
      </c>
      <c r="CU2" s="863" t="s">
        <v>261</v>
      </c>
      <c r="CV2" s="870"/>
      <c r="CW2" s="863" t="s">
        <v>263</v>
      </c>
      <c r="CX2" s="863" t="s">
        <v>258</v>
      </c>
      <c r="CY2" s="865" t="s">
        <v>825</v>
      </c>
      <c r="CZ2" s="866" t="s">
        <v>259</v>
      </c>
      <c r="DA2" s="866" t="s">
        <v>307</v>
      </c>
      <c r="DB2" s="866" t="s">
        <v>259</v>
      </c>
      <c r="DC2" s="867" t="s">
        <v>826</v>
      </c>
      <c r="DD2" s="863" t="s">
        <v>261</v>
      </c>
      <c r="DE2" s="870"/>
      <c r="DF2" s="863" t="s">
        <v>263</v>
      </c>
      <c r="DG2" s="863" t="s">
        <v>258</v>
      </c>
      <c r="DH2" s="865" t="s">
        <v>825</v>
      </c>
      <c r="DI2" s="866" t="s">
        <v>259</v>
      </c>
      <c r="DJ2" s="866" t="s">
        <v>307</v>
      </c>
      <c r="DK2" s="866" t="s">
        <v>259</v>
      </c>
      <c r="DL2" s="867" t="s">
        <v>826</v>
      </c>
      <c r="DM2" s="863" t="s">
        <v>261</v>
      </c>
      <c r="DN2" s="870"/>
      <c r="DO2" s="863" t="s">
        <v>263</v>
      </c>
      <c r="DP2" s="863" t="s">
        <v>258</v>
      </c>
      <c r="DQ2" s="865" t="s">
        <v>825</v>
      </c>
      <c r="DR2" s="866" t="s">
        <v>259</v>
      </c>
      <c r="DS2" s="866" t="s">
        <v>307</v>
      </c>
      <c r="DT2" s="866" t="s">
        <v>259</v>
      </c>
      <c r="DU2" s="867" t="s">
        <v>826</v>
      </c>
      <c r="DV2" s="863" t="s">
        <v>261</v>
      </c>
      <c r="DW2" s="870"/>
      <c r="DX2" s="863" t="s">
        <v>263</v>
      </c>
      <c r="DY2" s="863" t="s">
        <v>258</v>
      </c>
      <c r="DZ2" s="865" t="s">
        <v>825</v>
      </c>
      <c r="EA2" s="866" t="s">
        <v>259</v>
      </c>
      <c r="EB2" s="866" t="s">
        <v>307</v>
      </c>
      <c r="EC2" s="866" t="s">
        <v>259</v>
      </c>
      <c r="ED2" s="867" t="s">
        <v>826</v>
      </c>
      <c r="EE2" s="863" t="s">
        <v>261</v>
      </c>
    </row>
    <row r="3">
      <c r="A3" s="871">
        <v>1.0</v>
      </c>
      <c r="B3" s="30" t="str">
        <f>'Schedule | 2 Division (OLD)'!B3</f>
        <v>Green Hustle</v>
      </c>
      <c r="C3" s="872">
        <f t="shared" ref="C3:C10" si="1">E3</f>
        <v>0</v>
      </c>
      <c r="D3" s="438">
        <f t="shared" ref="D3:D10" si="2">SUM(E3:F3)</f>
        <v>0</v>
      </c>
      <c r="E3" s="13">
        <f t="shared" ref="E3:E10" si="3">COUNTIF($F$13:$F$68, B3)</f>
        <v>0</v>
      </c>
      <c r="F3" s="438">
        <f t="shared" ref="F3:F10" si="4">COUNTIF($G$13:$G$68, B3)</f>
        <v>0</v>
      </c>
      <c r="G3" s="13">
        <f t="shared" ref="G3:G10" si="5">SUMIFS($C$13:$C$68,$B$13:$B$68,B3)+SUMIFS($D$13:$D$68,$E$13:$E$68,B3)</f>
        <v>0</v>
      </c>
      <c r="H3" s="873">
        <f t="shared" ref="H3:H10" si="6">SUMIFS($C$13:$C$68,$E$13:$E$68,B3)+SUMIFS($D$13:$D$68,$B$13:$B$68,B3)</f>
        <v>0</v>
      </c>
      <c r="I3" s="873">
        <f t="shared" ref="I3:I10" si="7">G3-H3</f>
        <v>0</v>
      </c>
      <c r="J3" s="874"/>
      <c r="K3" s="456">
        <f>'Schedule | 2 Division (OLD)'!J5</f>
        <v>1</v>
      </c>
      <c r="L3" s="875" t="str">
        <f>'Schedule | 2 Division (OLD)'!E5</f>
        <v>Green Hustle</v>
      </c>
      <c r="M3" s="876"/>
      <c r="N3" s="877"/>
      <c r="O3" s="877"/>
      <c r="P3" s="878">
        <f t="shared" ref="P3:P9" si="8">ifs(N3="W","L",N3="L", "W",N3=0,0)</f>
        <v>0</v>
      </c>
      <c r="Q3" s="879" t="str">
        <f t="shared" ref="Q3:Q9" si="9">ifs(M3="Attack","Defense",M3="Defense", "Attack",N3=0, "-")</f>
        <v>-</v>
      </c>
      <c r="R3" s="880" t="str">
        <f>'Schedule | 2 Division (OLD)'!I5</f>
        <v>PARADOX</v>
      </c>
      <c r="S3" s="35"/>
      <c r="T3" s="456">
        <f>'Schedule | 2 Division (OLD)'!J11</f>
        <v>5</v>
      </c>
      <c r="U3" s="881" t="str">
        <f>'Schedule | 2 Division (OLD)'!E11</f>
        <v>Hoax</v>
      </c>
      <c r="V3" s="876"/>
      <c r="W3" s="877"/>
      <c r="X3" s="877"/>
      <c r="Y3" s="878">
        <f t="shared" ref="Y3:Y9" si="10">ifs(W3="W","L",W3="L", "W",W3=0,0)</f>
        <v>0</v>
      </c>
      <c r="Z3" s="879" t="str">
        <f t="shared" ref="Z3:Z9" si="11">ifs(V3="Attack","Defense",V3="Defense", "Attack",W3=0, "-")</f>
        <v>-</v>
      </c>
      <c r="AA3" s="882" t="str">
        <f>'Schedule | 2 Division (OLD)'!I11</f>
        <v>VIOLENCE</v>
      </c>
      <c r="AB3" s="874"/>
      <c r="AC3" s="456">
        <f>'Schedule | 2 Division (OLD)'!J17</f>
        <v>9</v>
      </c>
      <c r="AD3" s="875" t="str">
        <f>'Schedule | 2 Division (OLD)'!E17</f>
        <v>ALFA</v>
      </c>
      <c r="AE3" s="876"/>
      <c r="AF3" s="877"/>
      <c r="AG3" s="877"/>
      <c r="AH3" s="878">
        <f t="shared" ref="AH3:AH9" si="12">ifs(AF3="W","L",AF3="L", "W",AF3=0,0)</f>
        <v>0</v>
      </c>
      <c r="AI3" s="879" t="str">
        <f t="shared" ref="AI3:AI9" si="13">ifs(AE3="Attack","Defense",AE3="Defense", "Attack",AF3=0, "-")</f>
        <v>-</v>
      </c>
      <c r="AJ3" s="883" t="str">
        <f>'Schedule | 2 Division (OLD)'!I17</f>
        <v>ICM</v>
      </c>
      <c r="AK3" s="874"/>
      <c r="AL3" s="456">
        <f>'Schedule | 2 Division (OLD)'!J23</f>
        <v>13</v>
      </c>
      <c r="AM3" s="875" t="str">
        <f>'Schedule | 2 Division (OLD)'!E23</f>
        <v>QW0TROBERY</v>
      </c>
      <c r="AN3" s="876"/>
      <c r="AO3" s="877"/>
      <c r="AP3" s="877"/>
      <c r="AQ3" s="878">
        <f t="shared" ref="AQ3:AQ9" si="14">ifs(AO3="W","L",AO3="L", "W",AO3=0,0)</f>
        <v>0</v>
      </c>
      <c r="AR3" s="879" t="str">
        <f t="shared" ref="AR3:AR9" si="15">ifs(AN3="Attack","Defense",AN3="Defense", "Attack",AO3=0, "-")</f>
        <v>-</v>
      </c>
      <c r="AS3" s="883" t="str">
        <f>'Schedule | 2 Division (OLD)'!I23</f>
        <v>Green Hustle</v>
      </c>
      <c r="AT3" s="884"/>
      <c r="AU3" s="456">
        <f>'Schedule | 2 Division (OLD)'!J29</f>
        <v>17</v>
      </c>
      <c r="AV3" s="875" t="str">
        <f>'Schedule | 2 Division (OLD)'!E29</f>
        <v>QW0TROBERY</v>
      </c>
      <c r="AW3" s="876"/>
      <c r="AX3" s="877"/>
      <c r="AY3" s="877"/>
      <c r="AZ3" s="878">
        <f t="shared" ref="AZ3:AZ9" si="16">ifs(AX3="W","L",AX3="L", "W",AX3=0,0)</f>
        <v>0</v>
      </c>
      <c r="BA3" s="879" t="str">
        <f t="shared" ref="BA3:BA9" si="17">ifs(AW3="Attack","Defense",AW3="Defense", "Attack",AX3=0, "-")</f>
        <v>-</v>
      </c>
      <c r="BB3" s="883" t="str">
        <f>'Schedule | 2 Division (OLD)'!I29</f>
        <v>ICM</v>
      </c>
      <c r="BC3" s="884"/>
      <c r="BD3" s="456">
        <f>'Schedule | 2 Division (OLD)'!J35</f>
        <v>21</v>
      </c>
      <c r="BE3" s="885" t="str">
        <f>'Schedule | 2 Division (OLD)'!E35</f>
        <v>Green Hustle</v>
      </c>
      <c r="BF3" s="876"/>
      <c r="BG3" s="877"/>
      <c r="BH3" s="877"/>
      <c r="BI3" s="878">
        <f t="shared" ref="BI3:BI9" si="18">ifs(BG3="W","L",BG3="L", "W",BG3=0,0)</f>
        <v>0</v>
      </c>
      <c r="BJ3" s="879" t="str">
        <f t="shared" ref="BJ3:BJ9" si="19">ifs(BF3="Attack","Defense",BF3="Defense", "Attack",BG3=0, "-")</f>
        <v>-</v>
      </c>
      <c r="BK3" s="886" t="str">
        <f>'Schedule | 2 Division (OLD)'!I35</f>
        <v>Hoax</v>
      </c>
      <c r="BL3" s="884"/>
      <c r="BM3" s="456">
        <f>'Schedule | 2 Division (OLD)'!J41</f>
        <v>25</v>
      </c>
      <c r="BN3" s="887" t="str">
        <f>'Schedule | 2 Division (OLD)'!E41</f>
        <v>ICM</v>
      </c>
      <c r="BO3" s="876"/>
      <c r="BP3" s="877"/>
      <c r="BQ3" s="877"/>
      <c r="BR3" s="878">
        <f t="shared" ref="BR3:BR9" si="20">ifs(BP3="W","L",BP3="L", "W",BP3=0,0)</f>
        <v>0</v>
      </c>
      <c r="BS3" s="879" t="str">
        <f t="shared" ref="BS3:BS9" si="21">ifs(BO3="Attack","Defense",BO3="Defense", "Attack",BP3=0, "-")</f>
        <v>-</v>
      </c>
      <c r="BT3" s="883" t="str">
        <f>'Schedule | 2 Division (OLD)'!I41</f>
        <v>PARADOX</v>
      </c>
      <c r="BU3" s="884"/>
      <c r="BV3" s="456">
        <f>'Schedule | 2 Division (OLD)'!P5</f>
        <v>29</v>
      </c>
      <c r="BW3" s="447" t="str">
        <f>'Schedule | 2 Division (OLD)'!K5</f>
        <v>PARADOX</v>
      </c>
      <c r="BX3" s="876"/>
      <c r="BY3" s="877"/>
      <c r="BZ3" s="877"/>
      <c r="CA3" s="878">
        <f t="shared" ref="CA3:CA9" si="22">ifs(BY3="W","L",BY3="L", "W",BY3=0,0)</f>
        <v>0</v>
      </c>
      <c r="CB3" s="879" t="str">
        <f t="shared" ref="CB3:CB9" si="23">ifs(BX3="Attack","Defense",BX3="Defense", "Attack",BY3=0, "-")</f>
        <v>-</v>
      </c>
      <c r="CC3" s="882" t="str">
        <f>'Schedule | 2 Division (OLD)'!O5</f>
        <v>Green Hustle</v>
      </c>
      <c r="CD3" s="884"/>
      <c r="CE3" s="456">
        <f>'Schedule | 2 Division (OLD)'!P11</f>
        <v>33</v>
      </c>
      <c r="CF3" s="447" t="str">
        <f>'Schedule | 2 Division (OLD)'!K11</f>
        <v>VIOLENCE</v>
      </c>
      <c r="CG3" s="876"/>
      <c r="CH3" s="877"/>
      <c r="CI3" s="877"/>
      <c r="CJ3" s="878">
        <f t="shared" ref="CJ3:CJ9" si="24">ifs(CH3="W","L",CH3="L", "W",CH3=0,0)</f>
        <v>0</v>
      </c>
      <c r="CK3" s="879" t="str">
        <f t="shared" ref="CK3:CK9" si="25">ifs(CG3="Attack","Defense",CG3="Defense", "Attack",CH3=0, "-")</f>
        <v>-</v>
      </c>
      <c r="CL3" s="882" t="str">
        <f>'Schedule | 2 Division (OLD)'!O11</f>
        <v>Hoax</v>
      </c>
      <c r="CM3" s="884"/>
      <c r="CN3" s="456">
        <f>'Schedule | 2 Division (OLD)'!P17</f>
        <v>37</v>
      </c>
      <c r="CO3" s="447" t="str">
        <f>'Schedule | 2 Division (OLD)'!K17</f>
        <v>ICM</v>
      </c>
      <c r="CP3" s="876"/>
      <c r="CQ3" s="877"/>
      <c r="CR3" s="877"/>
      <c r="CS3" s="878">
        <f t="shared" ref="CS3:CS9" si="26">ifs(CQ3="W","L",CQ3="L", "W",CQ3=0,0)</f>
        <v>0</v>
      </c>
      <c r="CT3" s="879" t="str">
        <f t="shared" ref="CT3:CT9" si="27">ifs(CP3="Attack","Defense",CP3="Defense", "Attack",CQ3=0, "-")</f>
        <v>-</v>
      </c>
      <c r="CU3" s="882" t="str">
        <f>'Schedule | 2 Division (OLD)'!O17</f>
        <v>ALFA</v>
      </c>
      <c r="CV3" s="884"/>
      <c r="CW3" s="456">
        <f>'Schedule | 2 Division (OLD)'!P23</f>
        <v>41</v>
      </c>
      <c r="CX3" s="447" t="str">
        <f>'Schedule | 2 Division (OLD)'!K23</f>
        <v>ALFA</v>
      </c>
      <c r="CY3" s="876"/>
      <c r="CZ3" s="877"/>
      <c r="DA3" s="877"/>
      <c r="DB3" s="878">
        <f t="shared" ref="DB3:DB9" si="28">ifs(CZ3="W","L",CZ3="L", "W",CZ3=0,0)</f>
        <v>0</v>
      </c>
      <c r="DC3" s="879" t="str">
        <f t="shared" ref="DC3:DC9" si="29">ifs(CY3="Attack","Defense",CY3="Defense", "Attack",CZ3=0, "-")</f>
        <v>-</v>
      </c>
      <c r="DD3" s="882" t="str">
        <f>'Schedule | 2 Division (OLD)'!O23</f>
        <v>PARADOX</v>
      </c>
      <c r="DE3" s="884"/>
      <c r="DF3" s="456">
        <f>'Schedule | 2 Division (OLD)'!P29</f>
        <v>45</v>
      </c>
      <c r="DG3" s="881" t="str">
        <f>'Schedule | 2 Division (OLD)'!K29</f>
        <v>Hoax</v>
      </c>
      <c r="DH3" s="876"/>
      <c r="DI3" s="877"/>
      <c r="DJ3" s="877"/>
      <c r="DK3" s="878">
        <f t="shared" ref="DK3:DK9" si="30">ifs(DI3="W","L",DI3="L", "W",DI3=0,0)</f>
        <v>0</v>
      </c>
      <c r="DL3" s="879" t="str">
        <f t="shared" ref="DL3:DL9" si="31">ifs(DH3="Attack","Defense",DH3="Defense", "Attack",DI3=0, "-")</f>
        <v>-</v>
      </c>
      <c r="DM3" s="882" t="str">
        <f>'Schedule | 2 Division (OLD)'!O29</f>
        <v>DISTANCE</v>
      </c>
      <c r="DN3" s="884"/>
      <c r="DO3" s="456">
        <f>'Schedule | 2 Division (OLD)'!P35</f>
        <v>49</v>
      </c>
      <c r="DP3" s="875" t="str">
        <f>'Schedule | 2 Division (OLD)'!K35</f>
        <v>QW0TROBERY</v>
      </c>
      <c r="DQ3" s="876"/>
      <c r="DR3" s="877"/>
      <c r="DS3" s="877"/>
      <c r="DT3" s="878">
        <f t="shared" ref="DT3:DT9" si="32">ifs(DR3="W","L",DR3="L", "W",DR3=0,0)</f>
        <v>0</v>
      </c>
      <c r="DU3" s="879" t="str">
        <f t="shared" ref="DU3:DU9" si="33">ifs(DQ3="Attack","Defense",DQ3="Defense", "Attack",DR3=0, "-")</f>
        <v>-</v>
      </c>
      <c r="DV3" s="888" t="str">
        <f>'Schedule | 2 Division (OLD)'!O35</f>
        <v>PARADOX</v>
      </c>
      <c r="DW3" s="884"/>
      <c r="DX3" s="456">
        <f>'Schedule | 2 Division (OLD)'!P41</f>
        <v>53</v>
      </c>
      <c r="DY3" s="875" t="str">
        <f>'Schedule | 2 Division (OLD)'!K41</f>
        <v>VIOLENCE</v>
      </c>
      <c r="DZ3" s="876"/>
      <c r="EA3" s="877"/>
      <c r="EB3" s="877"/>
      <c r="EC3" s="878">
        <f t="shared" ref="EC3:EC9" si="34">ifs(EA3="W","L",EA3="L", "W",EA3=0,0)</f>
        <v>0</v>
      </c>
      <c r="ED3" s="879" t="str">
        <f t="shared" ref="ED3:ED9" si="35">ifs(DZ3="Attack","Defense",DZ3="Defense", "Attack",EA3=0, "-")</f>
        <v>-</v>
      </c>
      <c r="EE3" s="883" t="str">
        <f>'Schedule | 2 Division (OLD)'!O41</f>
        <v>QW0TROBERY</v>
      </c>
    </row>
    <row r="4">
      <c r="A4" s="889">
        <v>2.0</v>
      </c>
      <c r="B4" s="30" t="str">
        <f>'Schedule | 2 Division (OLD)'!B4</f>
        <v>DISTANCE</v>
      </c>
      <c r="C4" s="538">
        <f t="shared" si="1"/>
        <v>0</v>
      </c>
      <c r="D4" s="30">
        <f t="shared" si="2"/>
        <v>0</v>
      </c>
      <c r="E4" s="33">
        <f t="shared" si="3"/>
        <v>0</v>
      </c>
      <c r="F4" s="30">
        <f t="shared" si="4"/>
        <v>0</v>
      </c>
      <c r="G4" s="33">
        <f t="shared" si="5"/>
        <v>0</v>
      </c>
      <c r="H4" s="433">
        <f t="shared" si="6"/>
        <v>0</v>
      </c>
      <c r="I4" s="433">
        <f t="shared" si="7"/>
        <v>0</v>
      </c>
      <c r="J4" s="874"/>
      <c r="K4" s="66"/>
      <c r="L4" s="55"/>
      <c r="M4" s="876"/>
      <c r="N4" s="890"/>
      <c r="O4" s="890"/>
      <c r="P4" s="891">
        <f t="shared" si="8"/>
        <v>0</v>
      </c>
      <c r="Q4" s="892" t="str">
        <f t="shared" si="9"/>
        <v>-</v>
      </c>
      <c r="S4" s="35"/>
      <c r="T4" s="66"/>
      <c r="V4" s="876"/>
      <c r="W4" s="890"/>
      <c r="X4" s="890"/>
      <c r="Y4" s="891">
        <f t="shared" si="10"/>
        <v>0</v>
      </c>
      <c r="Z4" s="892" t="str">
        <f t="shared" si="11"/>
        <v>-</v>
      </c>
      <c r="AA4" s="92"/>
      <c r="AB4" s="874"/>
      <c r="AC4" s="66"/>
      <c r="AD4" s="55"/>
      <c r="AE4" s="876"/>
      <c r="AF4" s="890"/>
      <c r="AG4" s="890"/>
      <c r="AH4" s="891">
        <f t="shared" si="12"/>
        <v>0</v>
      </c>
      <c r="AI4" s="892" t="str">
        <f t="shared" si="13"/>
        <v>-</v>
      </c>
      <c r="AJ4" s="92"/>
      <c r="AK4" s="874"/>
      <c r="AL4" s="66"/>
      <c r="AM4" s="55"/>
      <c r="AN4" s="876"/>
      <c r="AO4" s="890"/>
      <c r="AP4" s="890"/>
      <c r="AQ4" s="891">
        <f t="shared" si="14"/>
        <v>0</v>
      </c>
      <c r="AR4" s="892" t="str">
        <f t="shared" si="15"/>
        <v>-</v>
      </c>
      <c r="AS4" s="92"/>
      <c r="AT4" s="884"/>
      <c r="AU4" s="66"/>
      <c r="AV4" s="55"/>
      <c r="AW4" s="876"/>
      <c r="AX4" s="890"/>
      <c r="AY4" s="890"/>
      <c r="AZ4" s="891">
        <f t="shared" si="16"/>
        <v>0</v>
      </c>
      <c r="BA4" s="892" t="str">
        <f t="shared" si="17"/>
        <v>-</v>
      </c>
      <c r="BB4" s="92"/>
      <c r="BC4" s="884"/>
      <c r="BD4" s="66"/>
      <c r="BE4" s="55"/>
      <c r="BF4" s="876"/>
      <c r="BG4" s="890"/>
      <c r="BH4" s="890"/>
      <c r="BI4" s="891">
        <f t="shared" si="18"/>
        <v>0</v>
      </c>
      <c r="BJ4" s="892" t="str">
        <f t="shared" si="19"/>
        <v>-</v>
      </c>
      <c r="BK4" s="92"/>
      <c r="BL4" s="884"/>
      <c r="BM4" s="66"/>
      <c r="BN4" s="55"/>
      <c r="BO4" s="876"/>
      <c r="BP4" s="890"/>
      <c r="BQ4" s="890"/>
      <c r="BR4" s="891">
        <f t="shared" si="20"/>
        <v>0</v>
      </c>
      <c r="BS4" s="892" t="str">
        <f t="shared" si="21"/>
        <v>-</v>
      </c>
      <c r="BT4" s="92"/>
      <c r="BU4" s="884"/>
      <c r="BV4" s="66"/>
      <c r="BX4" s="876"/>
      <c r="BY4" s="890"/>
      <c r="BZ4" s="890"/>
      <c r="CA4" s="891">
        <f t="shared" si="22"/>
        <v>0</v>
      </c>
      <c r="CB4" s="892" t="str">
        <f t="shared" si="23"/>
        <v>-</v>
      </c>
      <c r="CC4" s="92"/>
      <c r="CD4" s="884"/>
      <c r="CE4" s="66"/>
      <c r="CG4" s="876"/>
      <c r="CH4" s="890"/>
      <c r="CI4" s="890"/>
      <c r="CJ4" s="891">
        <f t="shared" si="24"/>
        <v>0</v>
      </c>
      <c r="CK4" s="892" t="str">
        <f t="shared" si="25"/>
        <v>-</v>
      </c>
      <c r="CL4" s="92"/>
      <c r="CM4" s="884"/>
      <c r="CN4" s="66"/>
      <c r="CP4" s="876"/>
      <c r="CQ4" s="890"/>
      <c r="CR4" s="890"/>
      <c r="CS4" s="891">
        <f t="shared" si="26"/>
        <v>0</v>
      </c>
      <c r="CT4" s="892" t="str">
        <f t="shared" si="27"/>
        <v>-</v>
      </c>
      <c r="CU4" s="92"/>
      <c r="CV4" s="884"/>
      <c r="CW4" s="66"/>
      <c r="CY4" s="876"/>
      <c r="CZ4" s="890"/>
      <c r="DA4" s="890"/>
      <c r="DB4" s="891">
        <f t="shared" si="28"/>
        <v>0</v>
      </c>
      <c r="DC4" s="892" t="str">
        <f t="shared" si="29"/>
        <v>-</v>
      </c>
      <c r="DD4" s="92"/>
      <c r="DE4" s="884"/>
      <c r="DF4" s="66"/>
      <c r="DH4" s="876"/>
      <c r="DI4" s="890"/>
      <c r="DJ4" s="890"/>
      <c r="DK4" s="891">
        <f t="shared" si="30"/>
        <v>0</v>
      </c>
      <c r="DL4" s="892" t="str">
        <f t="shared" si="31"/>
        <v>-</v>
      </c>
      <c r="DM4" s="92"/>
      <c r="DN4" s="884"/>
      <c r="DO4" s="66"/>
      <c r="DP4" s="55"/>
      <c r="DQ4" s="876"/>
      <c r="DR4" s="890"/>
      <c r="DS4" s="890"/>
      <c r="DT4" s="891">
        <f t="shared" si="32"/>
        <v>0</v>
      </c>
      <c r="DU4" s="892" t="str">
        <f t="shared" si="33"/>
        <v>-</v>
      </c>
      <c r="DV4" s="92"/>
      <c r="DW4" s="884"/>
      <c r="DX4" s="66"/>
      <c r="DY4" s="55"/>
      <c r="DZ4" s="876"/>
      <c r="EA4" s="890"/>
      <c r="EB4" s="890"/>
      <c r="EC4" s="891">
        <f t="shared" si="34"/>
        <v>0</v>
      </c>
      <c r="ED4" s="892" t="str">
        <f t="shared" si="35"/>
        <v>-</v>
      </c>
      <c r="EE4" s="92"/>
    </row>
    <row r="5">
      <c r="A5" s="889">
        <v>3.0</v>
      </c>
      <c r="B5" s="30" t="str">
        <f>'Schedule | 2 Division (OLD)'!B5</f>
        <v>ALFA</v>
      </c>
      <c r="C5" s="538">
        <f t="shared" si="1"/>
        <v>0</v>
      </c>
      <c r="D5" s="30">
        <f t="shared" si="2"/>
        <v>0</v>
      </c>
      <c r="E5" s="33">
        <f t="shared" si="3"/>
        <v>0</v>
      </c>
      <c r="F5" s="30">
        <f t="shared" si="4"/>
        <v>0</v>
      </c>
      <c r="G5" s="33">
        <f t="shared" si="5"/>
        <v>0</v>
      </c>
      <c r="H5" s="433">
        <f t="shared" si="6"/>
        <v>0</v>
      </c>
      <c r="I5" s="433">
        <f t="shared" si="7"/>
        <v>0</v>
      </c>
      <c r="J5" s="874"/>
      <c r="K5" s="66"/>
      <c r="L5" s="55"/>
      <c r="M5" s="876"/>
      <c r="N5" s="890"/>
      <c r="O5" s="890"/>
      <c r="P5" s="891">
        <f t="shared" si="8"/>
        <v>0</v>
      </c>
      <c r="Q5" s="892" t="str">
        <f t="shared" si="9"/>
        <v>-</v>
      </c>
      <c r="S5" s="35"/>
      <c r="T5" s="66"/>
      <c r="V5" s="876"/>
      <c r="W5" s="890"/>
      <c r="X5" s="890"/>
      <c r="Y5" s="891">
        <f t="shared" si="10"/>
        <v>0</v>
      </c>
      <c r="Z5" s="892" t="str">
        <f t="shared" si="11"/>
        <v>-</v>
      </c>
      <c r="AA5" s="92"/>
      <c r="AB5" s="874"/>
      <c r="AC5" s="66"/>
      <c r="AD5" s="55"/>
      <c r="AE5" s="876"/>
      <c r="AF5" s="890"/>
      <c r="AG5" s="890"/>
      <c r="AH5" s="891">
        <f t="shared" si="12"/>
        <v>0</v>
      </c>
      <c r="AI5" s="892" t="str">
        <f t="shared" si="13"/>
        <v>-</v>
      </c>
      <c r="AJ5" s="92"/>
      <c r="AK5" s="874"/>
      <c r="AL5" s="66"/>
      <c r="AM5" s="55"/>
      <c r="AN5" s="876"/>
      <c r="AO5" s="890"/>
      <c r="AP5" s="890"/>
      <c r="AQ5" s="891">
        <f t="shared" si="14"/>
        <v>0</v>
      </c>
      <c r="AR5" s="892" t="str">
        <f t="shared" si="15"/>
        <v>-</v>
      </c>
      <c r="AS5" s="92"/>
      <c r="AT5" s="884"/>
      <c r="AU5" s="66"/>
      <c r="AV5" s="55"/>
      <c r="AW5" s="876"/>
      <c r="AX5" s="890"/>
      <c r="AY5" s="890"/>
      <c r="AZ5" s="891">
        <f t="shared" si="16"/>
        <v>0</v>
      </c>
      <c r="BA5" s="892" t="str">
        <f t="shared" si="17"/>
        <v>-</v>
      </c>
      <c r="BB5" s="92"/>
      <c r="BC5" s="884"/>
      <c r="BD5" s="66"/>
      <c r="BE5" s="55"/>
      <c r="BF5" s="876"/>
      <c r="BG5" s="890"/>
      <c r="BH5" s="890"/>
      <c r="BI5" s="891">
        <f t="shared" si="18"/>
        <v>0</v>
      </c>
      <c r="BJ5" s="892" t="str">
        <f t="shared" si="19"/>
        <v>-</v>
      </c>
      <c r="BK5" s="92"/>
      <c r="BL5" s="884"/>
      <c r="BM5" s="66"/>
      <c r="BN5" s="55"/>
      <c r="BO5" s="876"/>
      <c r="BP5" s="890"/>
      <c r="BQ5" s="890"/>
      <c r="BR5" s="891">
        <f t="shared" si="20"/>
        <v>0</v>
      </c>
      <c r="BS5" s="892" t="str">
        <f t="shared" si="21"/>
        <v>-</v>
      </c>
      <c r="BT5" s="92"/>
      <c r="BU5" s="884"/>
      <c r="BV5" s="66"/>
      <c r="BX5" s="876"/>
      <c r="BY5" s="890"/>
      <c r="BZ5" s="890"/>
      <c r="CA5" s="891">
        <f t="shared" si="22"/>
        <v>0</v>
      </c>
      <c r="CB5" s="892" t="str">
        <f t="shared" si="23"/>
        <v>-</v>
      </c>
      <c r="CC5" s="92"/>
      <c r="CD5" s="884"/>
      <c r="CE5" s="66"/>
      <c r="CG5" s="876"/>
      <c r="CH5" s="890"/>
      <c r="CI5" s="890"/>
      <c r="CJ5" s="891">
        <f t="shared" si="24"/>
        <v>0</v>
      </c>
      <c r="CK5" s="892" t="str">
        <f t="shared" si="25"/>
        <v>-</v>
      </c>
      <c r="CL5" s="92"/>
      <c r="CM5" s="884"/>
      <c r="CN5" s="66"/>
      <c r="CP5" s="876"/>
      <c r="CQ5" s="890"/>
      <c r="CR5" s="890"/>
      <c r="CS5" s="891">
        <f t="shared" si="26"/>
        <v>0</v>
      </c>
      <c r="CT5" s="892" t="str">
        <f t="shared" si="27"/>
        <v>-</v>
      </c>
      <c r="CU5" s="92"/>
      <c r="CV5" s="884"/>
      <c r="CW5" s="66"/>
      <c r="CY5" s="876"/>
      <c r="CZ5" s="890"/>
      <c r="DA5" s="890"/>
      <c r="DB5" s="891">
        <f t="shared" si="28"/>
        <v>0</v>
      </c>
      <c r="DC5" s="892" t="str">
        <f t="shared" si="29"/>
        <v>-</v>
      </c>
      <c r="DD5" s="92"/>
      <c r="DE5" s="884"/>
      <c r="DF5" s="66"/>
      <c r="DH5" s="876"/>
      <c r="DI5" s="890"/>
      <c r="DJ5" s="890"/>
      <c r="DK5" s="891">
        <f t="shared" si="30"/>
        <v>0</v>
      </c>
      <c r="DL5" s="892" t="str">
        <f t="shared" si="31"/>
        <v>-</v>
      </c>
      <c r="DM5" s="92"/>
      <c r="DN5" s="884"/>
      <c r="DO5" s="66"/>
      <c r="DP5" s="55"/>
      <c r="DQ5" s="876"/>
      <c r="DR5" s="890"/>
      <c r="DS5" s="890"/>
      <c r="DT5" s="891">
        <f t="shared" si="32"/>
        <v>0</v>
      </c>
      <c r="DU5" s="892" t="str">
        <f t="shared" si="33"/>
        <v>-</v>
      </c>
      <c r="DV5" s="92"/>
      <c r="DW5" s="884"/>
      <c r="DX5" s="66"/>
      <c r="DY5" s="55"/>
      <c r="DZ5" s="876"/>
      <c r="EA5" s="890"/>
      <c r="EB5" s="890"/>
      <c r="EC5" s="891">
        <f t="shared" si="34"/>
        <v>0</v>
      </c>
      <c r="ED5" s="892" t="str">
        <f t="shared" si="35"/>
        <v>-</v>
      </c>
      <c r="EE5" s="92"/>
    </row>
    <row r="6">
      <c r="A6" s="889">
        <v>4.0</v>
      </c>
      <c r="B6" s="30" t="str">
        <f>'Schedule | 2 Division (OLD)'!B6</f>
        <v>Hoax</v>
      </c>
      <c r="C6" s="538">
        <f t="shared" si="1"/>
        <v>0</v>
      </c>
      <c r="D6" s="30">
        <f t="shared" si="2"/>
        <v>0</v>
      </c>
      <c r="E6" s="33">
        <f t="shared" si="3"/>
        <v>0</v>
      </c>
      <c r="F6" s="30">
        <f t="shared" si="4"/>
        <v>0</v>
      </c>
      <c r="G6" s="33">
        <f t="shared" si="5"/>
        <v>0</v>
      </c>
      <c r="H6" s="433">
        <f t="shared" si="6"/>
        <v>0</v>
      </c>
      <c r="I6" s="433">
        <f t="shared" si="7"/>
        <v>0</v>
      </c>
      <c r="J6" s="874"/>
      <c r="K6" s="66"/>
      <c r="L6" s="55"/>
      <c r="M6" s="876"/>
      <c r="N6" s="890"/>
      <c r="O6" s="890"/>
      <c r="P6" s="891">
        <f t="shared" si="8"/>
        <v>0</v>
      </c>
      <c r="Q6" s="892" t="str">
        <f t="shared" si="9"/>
        <v>-</v>
      </c>
      <c r="S6" s="35"/>
      <c r="T6" s="66"/>
      <c r="V6" s="876"/>
      <c r="W6" s="890"/>
      <c r="X6" s="890"/>
      <c r="Y6" s="891">
        <f t="shared" si="10"/>
        <v>0</v>
      </c>
      <c r="Z6" s="892" t="str">
        <f t="shared" si="11"/>
        <v>-</v>
      </c>
      <c r="AA6" s="92"/>
      <c r="AB6" s="874"/>
      <c r="AC6" s="66"/>
      <c r="AD6" s="55"/>
      <c r="AE6" s="876"/>
      <c r="AF6" s="890"/>
      <c r="AG6" s="890"/>
      <c r="AH6" s="891">
        <f t="shared" si="12"/>
        <v>0</v>
      </c>
      <c r="AI6" s="892" t="str">
        <f t="shared" si="13"/>
        <v>-</v>
      </c>
      <c r="AJ6" s="92"/>
      <c r="AK6" s="874"/>
      <c r="AL6" s="66"/>
      <c r="AM6" s="55"/>
      <c r="AN6" s="876"/>
      <c r="AO6" s="890"/>
      <c r="AP6" s="890"/>
      <c r="AQ6" s="891">
        <f t="shared" si="14"/>
        <v>0</v>
      </c>
      <c r="AR6" s="892" t="str">
        <f t="shared" si="15"/>
        <v>-</v>
      </c>
      <c r="AS6" s="92"/>
      <c r="AT6" s="884"/>
      <c r="AU6" s="66"/>
      <c r="AV6" s="55"/>
      <c r="AW6" s="876"/>
      <c r="AX6" s="890"/>
      <c r="AY6" s="890"/>
      <c r="AZ6" s="891">
        <f t="shared" si="16"/>
        <v>0</v>
      </c>
      <c r="BA6" s="892" t="str">
        <f t="shared" si="17"/>
        <v>-</v>
      </c>
      <c r="BB6" s="92"/>
      <c r="BC6" s="884"/>
      <c r="BD6" s="66"/>
      <c r="BE6" s="55"/>
      <c r="BF6" s="876"/>
      <c r="BG6" s="890"/>
      <c r="BH6" s="890"/>
      <c r="BI6" s="891">
        <f t="shared" si="18"/>
        <v>0</v>
      </c>
      <c r="BJ6" s="892" t="str">
        <f t="shared" si="19"/>
        <v>-</v>
      </c>
      <c r="BK6" s="92"/>
      <c r="BL6" s="884"/>
      <c r="BM6" s="66"/>
      <c r="BN6" s="55"/>
      <c r="BO6" s="876"/>
      <c r="BP6" s="890"/>
      <c r="BQ6" s="890"/>
      <c r="BR6" s="891">
        <f t="shared" si="20"/>
        <v>0</v>
      </c>
      <c r="BS6" s="892" t="str">
        <f t="shared" si="21"/>
        <v>-</v>
      </c>
      <c r="BT6" s="92"/>
      <c r="BU6" s="884"/>
      <c r="BV6" s="66"/>
      <c r="BX6" s="876"/>
      <c r="BY6" s="890"/>
      <c r="BZ6" s="890"/>
      <c r="CA6" s="891">
        <f t="shared" si="22"/>
        <v>0</v>
      </c>
      <c r="CB6" s="892" t="str">
        <f t="shared" si="23"/>
        <v>-</v>
      </c>
      <c r="CC6" s="92"/>
      <c r="CD6" s="884"/>
      <c r="CE6" s="66"/>
      <c r="CG6" s="876"/>
      <c r="CH6" s="890"/>
      <c r="CI6" s="890"/>
      <c r="CJ6" s="891">
        <f t="shared" si="24"/>
        <v>0</v>
      </c>
      <c r="CK6" s="892" t="str">
        <f t="shared" si="25"/>
        <v>-</v>
      </c>
      <c r="CL6" s="92"/>
      <c r="CM6" s="884"/>
      <c r="CN6" s="66"/>
      <c r="CP6" s="876"/>
      <c r="CQ6" s="890"/>
      <c r="CR6" s="890"/>
      <c r="CS6" s="891">
        <f t="shared" si="26"/>
        <v>0</v>
      </c>
      <c r="CT6" s="892" t="str">
        <f t="shared" si="27"/>
        <v>-</v>
      </c>
      <c r="CU6" s="92"/>
      <c r="CV6" s="884"/>
      <c r="CW6" s="66"/>
      <c r="CY6" s="876"/>
      <c r="CZ6" s="890"/>
      <c r="DA6" s="890"/>
      <c r="DB6" s="891">
        <f t="shared" si="28"/>
        <v>0</v>
      </c>
      <c r="DC6" s="892" t="str">
        <f t="shared" si="29"/>
        <v>-</v>
      </c>
      <c r="DD6" s="92"/>
      <c r="DE6" s="884"/>
      <c r="DF6" s="66"/>
      <c r="DH6" s="876"/>
      <c r="DI6" s="890"/>
      <c r="DJ6" s="890"/>
      <c r="DK6" s="891">
        <f t="shared" si="30"/>
        <v>0</v>
      </c>
      <c r="DL6" s="892" t="str">
        <f t="shared" si="31"/>
        <v>-</v>
      </c>
      <c r="DM6" s="92"/>
      <c r="DN6" s="884"/>
      <c r="DO6" s="66"/>
      <c r="DP6" s="55"/>
      <c r="DQ6" s="876"/>
      <c r="DR6" s="890"/>
      <c r="DS6" s="890"/>
      <c r="DT6" s="891">
        <f t="shared" si="32"/>
        <v>0</v>
      </c>
      <c r="DU6" s="892" t="str">
        <f t="shared" si="33"/>
        <v>-</v>
      </c>
      <c r="DV6" s="92"/>
      <c r="DW6" s="884"/>
      <c r="DX6" s="66"/>
      <c r="DY6" s="55"/>
      <c r="DZ6" s="876"/>
      <c r="EA6" s="890"/>
      <c r="EB6" s="890"/>
      <c r="EC6" s="891">
        <f t="shared" si="34"/>
        <v>0</v>
      </c>
      <c r="ED6" s="892" t="str">
        <f t="shared" si="35"/>
        <v>-</v>
      </c>
      <c r="EE6" s="92"/>
    </row>
    <row r="7">
      <c r="A7" s="889">
        <v>5.0</v>
      </c>
      <c r="B7" s="30" t="str">
        <f>'Schedule | 2 Division (OLD)'!B7</f>
        <v>QW0TROBERY</v>
      </c>
      <c r="C7" s="538">
        <f t="shared" si="1"/>
        <v>0</v>
      </c>
      <c r="D7" s="30">
        <f t="shared" si="2"/>
        <v>0</v>
      </c>
      <c r="E7" s="33">
        <f t="shared" si="3"/>
        <v>0</v>
      </c>
      <c r="F7" s="30">
        <f t="shared" si="4"/>
        <v>0</v>
      </c>
      <c r="G7" s="33">
        <f t="shared" si="5"/>
        <v>0</v>
      </c>
      <c r="H7" s="433">
        <f t="shared" si="6"/>
        <v>0</v>
      </c>
      <c r="I7" s="433">
        <f t="shared" si="7"/>
        <v>0</v>
      </c>
      <c r="J7" s="874"/>
      <c r="K7" s="66"/>
      <c r="L7" s="55"/>
      <c r="M7" s="876"/>
      <c r="N7" s="890"/>
      <c r="O7" s="890"/>
      <c r="P7" s="891">
        <f t="shared" si="8"/>
        <v>0</v>
      </c>
      <c r="Q7" s="892" t="str">
        <f t="shared" si="9"/>
        <v>-</v>
      </c>
      <c r="S7" s="35"/>
      <c r="T7" s="66"/>
      <c r="V7" s="876"/>
      <c r="W7" s="890"/>
      <c r="X7" s="890"/>
      <c r="Y7" s="891">
        <f t="shared" si="10"/>
        <v>0</v>
      </c>
      <c r="Z7" s="892" t="str">
        <f t="shared" si="11"/>
        <v>-</v>
      </c>
      <c r="AA7" s="92"/>
      <c r="AB7" s="874"/>
      <c r="AC7" s="66"/>
      <c r="AD7" s="55"/>
      <c r="AE7" s="876"/>
      <c r="AF7" s="890"/>
      <c r="AG7" s="890"/>
      <c r="AH7" s="891">
        <f t="shared" si="12"/>
        <v>0</v>
      </c>
      <c r="AI7" s="892" t="str">
        <f t="shared" si="13"/>
        <v>-</v>
      </c>
      <c r="AJ7" s="92"/>
      <c r="AK7" s="874"/>
      <c r="AL7" s="66"/>
      <c r="AM7" s="55"/>
      <c r="AN7" s="876"/>
      <c r="AO7" s="890"/>
      <c r="AP7" s="890"/>
      <c r="AQ7" s="891">
        <f t="shared" si="14"/>
        <v>0</v>
      </c>
      <c r="AR7" s="892" t="str">
        <f t="shared" si="15"/>
        <v>-</v>
      </c>
      <c r="AS7" s="92"/>
      <c r="AT7" s="884"/>
      <c r="AU7" s="66"/>
      <c r="AV7" s="55"/>
      <c r="AW7" s="876"/>
      <c r="AX7" s="890"/>
      <c r="AY7" s="890"/>
      <c r="AZ7" s="891">
        <f t="shared" si="16"/>
        <v>0</v>
      </c>
      <c r="BA7" s="892" t="str">
        <f t="shared" si="17"/>
        <v>-</v>
      </c>
      <c r="BB7" s="92"/>
      <c r="BC7" s="884"/>
      <c r="BD7" s="66"/>
      <c r="BE7" s="55"/>
      <c r="BF7" s="876"/>
      <c r="BG7" s="890"/>
      <c r="BH7" s="890"/>
      <c r="BI7" s="891">
        <f t="shared" si="18"/>
        <v>0</v>
      </c>
      <c r="BJ7" s="892" t="str">
        <f t="shared" si="19"/>
        <v>-</v>
      </c>
      <c r="BK7" s="92"/>
      <c r="BL7" s="884"/>
      <c r="BM7" s="66"/>
      <c r="BN7" s="55"/>
      <c r="BO7" s="876"/>
      <c r="BP7" s="890"/>
      <c r="BQ7" s="890"/>
      <c r="BR7" s="891">
        <f t="shared" si="20"/>
        <v>0</v>
      </c>
      <c r="BS7" s="892" t="str">
        <f t="shared" si="21"/>
        <v>-</v>
      </c>
      <c r="BT7" s="92"/>
      <c r="BU7" s="884"/>
      <c r="BV7" s="66"/>
      <c r="BX7" s="876"/>
      <c r="BY7" s="890"/>
      <c r="BZ7" s="890"/>
      <c r="CA7" s="891">
        <f t="shared" si="22"/>
        <v>0</v>
      </c>
      <c r="CB7" s="892" t="str">
        <f t="shared" si="23"/>
        <v>-</v>
      </c>
      <c r="CC7" s="92"/>
      <c r="CD7" s="884"/>
      <c r="CE7" s="66"/>
      <c r="CG7" s="876"/>
      <c r="CH7" s="890"/>
      <c r="CI7" s="890"/>
      <c r="CJ7" s="891">
        <f t="shared" si="24"/>
        <v>0</v>
      </c>
      <c r="CK7" s="892" t="str">
        <f t="shared" si="25"/>
        <v>-</v>
      </c>
      <c r="CL7" s="92"/>
      <c r="CM7" s="884"/>
      <c r="CN7" s="66"/>
      <c r="CP7" s="876"/>
      <c r="CQ7" s="890"/>
      <c r="CR7" s="890"/>
      <c r="CS7" s="891">
        <f t="shared" si="26"/>
        <v>0</v>
      </c>
      <c r="CT7" s="892" t="str">
        <f t="shared" si="27"/>
        <v>-</v>
      </c>
      <c r="CU7" s="92"/>
      <c r="CV7" s="884"/>
      <c r="CW7" s="66"/>
      <c r="CY7" s="876"/>
      <c r="CZ7" s="890"/>
      <c r="DA7" s="890"/>
      <c r="DB7" s="891">
        <f t="shared" si="28"/>
        <v>0</v>
      </c>
      <c r="DC7" s="892" t="str">
        <f t="shared" si="29"/>
        <v>-</v>
      </c>
      <c r="DD7" s="92"/>
      <c r="DE7" s="884"/>
      <c r="DF7" s="66"/>
      <c r="DH7" s="876"/>
      <c r="DI7" s="890"/>
      <c r="DJ7" s="890"/>
      <c r="DK7" s="891">
        <f t="shared" si="30"/>
        <v>0</v>
      </c>
      <c r="DL7" s="892" t="str">
        <f t="shared" si="31"/>
        <v>-</v>
      </c>
      <c r="DM7" s="92"/>
      <c r="DN7" s="884"/>
      <c r="DO7" s="66"/>
      <c r="DP7" s="55"/>
      <c r="DQ7" s="876"/>
      <c r="DR7" s="890"/>
      <c r="DS7" s="890"/>
      <c r="DT7" s="891">
        <f t="shared" si="32"/>
        <v>0</v>
      </c>
      <c r="DU7" s="892" t="str">
        <f t="shared" si="33"/>
        <v>-</v>
      </c>
      <c r="DV7" s="92"/>
      <c r="DW7" s="884"/>
      <c r="DX7" s="66"/>
      <c r="DY7" s="55"/>
      <c r="DZ7" s="876"/>
      <c r="EA7" s="890"/>
      <c r="EB7" s="890"/>
      <c r="EC7" s="891">
        <f t="shared" si="34"/>
        <v>0</v>
      </c>
      <c r="ED7" s="892" t="str">
        <f t="shared" si="35"/>
        <v>-</v>
      </c>
      <c r="EE7" s="92"/>
    </row>
    <row r="8">
      <c r="A8" s="889">
        <v>6.0</v>
      </c>
      <c r="B8" s="30" t="str">
        <f>'Schedule | 2 Division (OLD)'!B8</f>
        <v>VIOLENCE</v>
      </c>
      <c r="C8" s="538">
        <f t="shared" si="1"/>
        <v>0</v>
      </c>
      <c r="D8" s="30">
        <f t="shared" si="2"/>
        <v>0</v>
      </c>
      <c r="E8" s="33">
        <f t="shared" si="3"/>
        <v>0</v>
      </c>
      <c r="F8" s="30">
        <f t="shared" si="4"/>
        <v>0</v>
      </c>
      <c r="G8" s="33">
        <f t="shared" si="5"/>
        <v>0</v>
      </c>
      <c r="H8" s="433">
        <f t="shared" si="6"/>
        <v>0</v>
      </c>
      <c r="I8" s="433">
        <f t="shared" si="7"/>
        <v>0</v>
      </c>
      <c r="J8" s="874"/>
      <c r="K8" s="66"/>
      <c r="L8" s="55"/>
      <c r="M8" s="876"/>
      <c r="N8" s="890"/>
      <c r="O8" s="890"/>
      <c r="P8" s="891">
        <f t="shared" si="8"/>
        <v>0</v>
      </c>
      <c r="Q8" s="892" t="str">
        <f t="shared" si="9"/>
        <v>-</v>
      </c>
      <c r="S8" s="35"/>
      <c r="T8" s="66"/>
      <c r="V8" s="876"/>
      <c r="W8" s="890"/>
      <c r="X8" s="890"/>
      <c r="Y8" s="891">
        <f t="shared" si="10"/>
        <v>0</v>
      </c>
      <c r="Z8" s="892" t="str">
        <f t="shared" si="11"/>
        <v>-</v>
      </c>
      <c r="AA8" s="92"/>
      <c r="AB8" s="874"/>
      <c r="AC8" s="66"/>
      <c r="AD8" s="55"/>
      <c r="AE8" s="876"/>
      <c r="AF8" s="890"/>
      <c r="AG8" s="890"/>
      <c r="AH8" s="891">
        <f t="shared" si="12"/>
        <v>0</v>
      </c>
      <c r="AI8" s="892" t="str">
        <f t="shared" si="13"/>
        <v>-</v>
      </c>
      <c r="AJ8" s="92"/>
      <c r="AK8" s="874"/>
      <c r="AL8" s="66"/>
      <c r="AM8" s="55"/>
      <c r="AN8" s="876"/>
      <c r="AO8" s="890"/>
      <c r="AP8" s="890"/>
      <c r="AQ8" s="891">
        <f t="shared" si="14"/>
        <v>0</v>
      </c>
      <c r="AR8" s="892" t="str">
        <f t="shared" si="15"/>
        <v>-</v>
      </c>
      <c r="AS8" s="92"/>
      <c r="AT8" s="884"/>
      <c r="AU8" s="66"/>
      <c r="AV8" s="55"/>
      <c r="AW8" s="876"/>
      <c r="AX8" s="890"/>
      <c r="AY8" s="890"/>
      <c r="AZ8" s="891">
        <f t="shared" si="16"/>
        <v>0</v>
      </c>
      <c r="BA8" s="892" t="str">
        <f t="shared" si="17"/>
        <v>-</v>
      </c>
      <c r="BB8" s="92"/>
      <c r="BC8" s="884"/>
      <c r="BD8" s="66"/>
      <c r="BE8" s="55"/>
      <c r="BF8" s="876"/>
      <c r="BG8" s="890"/>
      <c r="BH8" s="890"/>
      <c r="BI8" s="891">
        <f t="shared" si="18"/>
        <v>0</v>
      </c>
      <c r="BJ8" s="892" t="str">
        <f t="shared" si="19"/>
        <v>-</v>
      </c>
      <c r="BK8" s="92"/>
      <c r="BL8" s="884"/>
      <c r="BM8" s="66"/>
      <c r="BN8" s="55"/>
      <c r="BO8" s="876"/>
      <c r="BP8" s="890"/>
      <c r="BQ8" s="890"/>
      <c r="BR8" s="891">
        <f t="shared" si="20"/>
        <v>0</v>
      </c>
      <c r="BS8" s="892" t="str">
        <f t="shared" si="21"/>
        <v>-</v>
      </c>
      <c r="BT8" s="92"/>
      <c r="BU8" s="884"/>
      <c r="BV8" s="66"/>
      <c r="BX8" s="876"/>
      <c r="BY8" s="890"/>
      <c r="BZ8" s="890"/>
      <c r="CA8" s="891">
        <f t="shared" si="22"/>
        <v>0</v>
      </c>
      <c r="CB8" s="892" t="str">
        <f t="shared" si="23"/>
        <v>-</v>
      </c>
      <c r="CC8" s="92"/>
      <c r="CD8" s="884"/>
      <c r="CE8" s="66"/>
      <c r="CG8" s="876"/>
      <c r="CH8" s="890"/>
      <c r="CI8" s="890"/>
      <c r="CJ8" s="891">
        <f t="shared" si="24"/>
        <v>0</v>
      </c>
      <c r="CK8" s="892" t="str">
        <f t="shared" si="25"/>
        <v>-</v>
      </c>
      <c r="CL8" s="92"/>
      <c r="CM8" s="884"/>
      <c r="CN8" s="66"/>
      <c r="CP8" s="876"/>
      <c r="CQ8" s="890"/>
      <c r="CR8" s="890"/>
      <c r="CS8" s="891">
        <f t="shared" si="26"/>
        <v>0</v>
      </c>
      <c r="CT8" s="892" t="str">
        <f t="shared" si="27"/>
        <v>-</v>
      </c>
      <c r="CU8" s="92"/>
      <c r="CV8" s="884"/>
      <c r="CW8" s="66"/>
      <c r="CY8" s="876"/>
      <c r="CZ8" s="890"/>
      <c r="DA8" s="890"/>
      <c r="DB8" s="891">
        <f t="shared" si="28"/>
        <v>0</v>
      </c>
      <c r="DC8" s="892" t="str">
        <f t="shared" si="29"/>
        <v>-</v>
      </c>
      <c r="DD8" s="92"/>
      <c r="DE8" s="884"/>
      <c r="DF8" s="66"/>
      <c r="DH8" s="876"/>
      <c r="DI8" s="890"/>
      <c r="DJ8" s="890"/>
      <c r="DK8" s="891">
        <f t="shared" si="30"/>
        <v>0</v>
      </c>
      <c r="DL8" s="892" t="str">
        <f t="shared" si="31"/>
        <v>-</v>
      </c>
      <c r="DM8" s="92"/>
      <c r="DN8" s="884"/>
      <c r="DO8" s="66"/>
      <c r="DP8" s="55"/>
      <c r="DQ8" s="876"/>
      <c r="DR8" s="890"/>
      <c r="DS8" s="890"/>
      <c r="DT8" s="891">
        <f t="shared" si="32"/>
        <v>0</v>
      </c>
      <c r="DU8" s="892" t="str">
        <f t="shared" si="33"/>
        <v>-</v>
      </c>
      <c r="DV8" s="92"/>
      <c r="DW8" s="884"/>
      <c r="DX8" s="66"/>
      <c r="DY8" s="55"/>
      <c r="DZ8" s="876"/>
      <c r="EA8" s="890"/>
      <c r="EB8" s="890"/>
      <c r="EC8" s="891">
        <f t="shared" si="34"/>
        <v>0</v>
      </c>
      <c r="ED8" s="892" t="str">
        <f t="shared" si="35"/>
        <v>-</v>
      </c>
      <c r="EE8" s="92"/>
    </row>
    <row r="9">
      <c r="A9" s="889">
        <v>7.0</v>
      </c>
      <c r="B9" s="30" t="str">
        <f>'Schedule | 2 Division (OLD)'!B9</f>
        <v>ICM</v>
      </c>
      <c r="C9" s="538">
        <f t="shared" si="1"/>
        <v>0</v>
      </c>
      <c r="D9" s="30">
        <f t="shared" si="2"/>
        <v>0</v>
      </c>
      <c r="E9" s="33">
        <f t="shared" si="3"/>
        <v>0</v>
      </c>
      <c r="F9" s="30">
        <f t="shared" si="4"/>
        <v>0</v>
      </c>
      <c r="G9" s="33">
        <f t="shared" si="5"/>
        <v>0</v>
      </c>
      <c r="H9" s="433">
        <f t="shared" si="6"/>
        <v>0</v>
      </c>
      <c r="I9" s="433">
        <f t="shared" si="7"/>
        <v>0</v>
      </c>
      <c r="J9" s="874"/>
      <c r="K9" s="66"/>
      <c r="L9" s="55"/>
      <c r="M9" s="893"/>
      <c r="N9" s="894"/>
      <c r="O9" s="894"/>
      <c r="P9" s="895">
        <f t="shared" si="8"/>
        <v>0</v>
      </c>
      <c r="Q9" s="896" t="str">
        <f t="shared" si="9"/>
        <v>-</v>
      </c>
      <c r="S9" s="35"/>
      <c r="T9" s="66"/>
      <c r="V9" s="893"/>
      <c r="W9" s="894"/>
      <c r="X9" s="894"/>
      <c r="Y9" s="895">
        <f t="shared" si="10"/>
        <v>0</v>
      </c>
      <c r="Z9" s="896" t="str">
        <f t="shared" si="11"/>
        <v>-</v>
      </c>
      <c r="AA9" s="92"/>
      <c r="AB9" s="874"/>
      <c r="AC9" s="66"/>
      <c r="AD9" s="55"/>
      <c r="AE9" s="893"/>
      <c r="AF9" s="894"/>
      <c r="AG9" s="894"/>
      <c r="AH9" s="895">
        <f t="shared" si="12"/>
        <v>0</v>
      </c>
      <c r="AI9" s="896" t="str">
        <f t="shared" si="13"/>
        <v>-</v>
      </c>
      <c r="AJ9" s="92"/>
      <c r="AK9" s="874"/>
      <c r="AL9" s="66"/>
      <c r="AM9" s="55"/>
      <c r="AN9" s="893"/>
      <c r="AO9" s="894"/>
      <c r="AP9" s="894"/>
      <c r="AQ9" s="895">
        <f t="shared" si="14"/>
        <v>0</v>
      </c>
      <c r="AR9" s="896" t="str">
        <f t="shared" si="15"/>
        <v>-</v>
      </c>
      <c r="AS9" s="92"/>
      <c r="AT9" s="884"/>
      <c r="AU9" s="66"/>
      <c r="AV9" s="55"/>
      <c r="AW9" s="893"/>
      <c r="AX9" s="894"/>
      <c r="AY9" s="894"/>
      <c r="AZ9" s="895">
        <f t="shared" si="16"/>
        <v>0</v>
      </c>
      <c r="BA9" s="896" t="str">
        <f t="shared" si="17"/>
        <v>-</v>
      </c>
      <c r="BB9" s="92"/>
      <c r="BC9" s="884"/>
      <c r="BD9" s="66"/>
      <c r="BE9" s="55"/>
      <c r="BF9" s="893"/>
      <c r="BG9" s="894"/>
      <c r="BH9" s="894"/>
      <c r="BI9" s="895">
        <f t="shared" si="18"/>
        <v>0</v>
      </c>
      <c r="BJ9" s="896" t="str">
        <f t="shared" si="19"/>
        <v>-</v>
      </c>
      <c r="BK9" s="92"/>
      <c r="BL9" s="884"/>
      <c r="BM9" s="66"/>
      <c r="BN9" s="55"/>
      <c r="BO9" s="893"/>
      <c r="BP9" s="894"/>
      <c r="BQ9" s="894"/>
      <c r="BR9" s="895">
        <f t="shared" si="20"/>
        <v>0</v>
      </c>
      <c r="BS9" s="896" t="str">
        <f t="shared" si="21"/>
        <v>-</v>
      </c>
      <c r="BT9" s="92"/>
      <c r="BU9" s="884"/>
      <c r="BV9" s="66"/>
      <c r="BX9" s="893"/>
      <c r="BY9" s="894"/>
      <c r="BZ9" s="894"/>
      <c r="CA9" s="895">
        <f t="shared" si="22"/>
        <v>0</v>
      </c>
      <c r="CB9" s="896" t="str">
        <f t="shared" si="23"/>
        <v>-</v>
      </c>
      <c r="CC9" s="92"/>
      <c r="CD9" s="884"/>
      <c r="CE9" s="66"/>
      <c r="CG9" s="893"/>
      <c r="CH9" s="894"/>
      <c r="CI9" s="894"/>
      <c r="CJ9" s="895">
        <f t="shared" si="24"/>
        <v>0</v>
      </c>
      <c r="CK9" s="896" t="str">
        <f t="shared" si="25"/>
        <v>-</v>
      </c>
      <c r="CL9" s="92"/>
      <c r="CM9" s="884"/>
      <c r="CN9" s="66"/>
      <c r="CP9" s="893"/>
      <c r="CQ9" s="894"/>
      <c r="CR9" s="894"/>
      <c r="CS9" s="895">
        <f t="shared" si="26"/>
        <v>0</v>
      </c>
      <c r="CT9" s="896" t="str">
        <f t="shared" si="27"/>
        <v>-</v>
      </c>
      <c r="CU9" s="92"/>
      <c r="CV9" s="884"/>
      <c r="CW9" s="66"/>
      <c r="CY9" s="893"/>
      <c r="CZ9" s="894"/>
      <c r="DA9" s="894"/>
      <c r="DB9" s="895">
        <f t="shared" si="28"/>
        <v>0</v>
      </c>
      <c r="DC9" s="896" t="str">
        <f t="shared" si="29"/>
        <v>-</v>
      </c>
      <c r="DD9" s="92"/>
      <c r="DE9" s="884"/>
      <c r="DF9" s="66"/>
      <c r="DH9" s="893"/>
      <c r="DI9" s="894"/>
      <c r="DJ9" s="894"/>
      <c r="DK9" s="895">
        <f t="shared" si="30"/>
        <v>0</v>
      </c>
      <c r="DL9" s="896" t="str">
        <f t="shared" si="31"/>
        <v>-</v>
      </c>
      <c r="DM9" s="92"/>
      <c r="DN9" s="884"/>
      <c r="DO9" s="66"/>
      <c r="DP9" s="55"/>
      <c r="DQ9" s="893"/>
      <c r="DR9" s="894"/>
      <c r="DS9" s="894"/>
      <c r="DT9" s="895">
        <f t="shared" si="32"/>
        <v>0</v>
      </c>
      <c r="DU9" s="896" t="str">
        <f t="shared" si="33"/>
        <v>-</v>
      </c>
      <c r="DV9" s="92"/>
      <c r="DW9" s="884"/>
      <c r="DX9" s="66"/>
      <c r="DY9" s="55"/>
      <c r="DZ9" s="893"/>
      <c r="EA9" s="894"/>
      <c r="EB9" s="894"/>
      <c r="EC9" s="895">
        <f t="shared" si="34"/>
        <v>0</v>
      </c>
      <c r="ED9" s="896" t="str">
        <f t="shared" si="35"/>
        <v>-</v>
      </c>
      <c r="EE9" s="92"/>
    </row>
    <row r="10">
      <c r="A10" s="897">
        <v>8.0</v>
      </c>
      <c r="B10" s="431" t="str">
        <f>'Schedule | 2 Division (OLD)'!B10</f>
        <v>PARADOX</v>
      </c>
      <c r="C10" s="548">
        <f t="shared" si="1"/>
        <v>0</v>
      </c>
      <c r="D10" s="431">
        <f t="shared" si="2"/>
        <v>0</v>
      </c>
      <c r="E10" s="40">
        <f t="shared" si="3"/>
        <v>0</v>
      </c>
      <c r="F10" s="431">
        <f t="shared" si="4"/>
        <v>0</v>
      </c>
      <c r="G10" s="40">
        <f t="shared" si="5"/>
        <v>0</v>
      </c>
      <c r="H10" s="434">
        <f t="shared" si="6"/>
        <v>0</v>
      </c>
      <c r="I10" s="434">
        <f t="shared" si="7"/>
        <v>0</v>
      </c>
      <c r="J10" s="874"/>
      <c r="K10" s="94"/>
      <c r="L10" s="61"/>
      <c r="M10" s="898">
        <f>COUNTIF(N3:N9, "W")</f>
        <v>0</v>
      </c>
      <c r="N10" s="144"/>
      <c r="O10" s="894" t="s">
        <v>816</v>
      </c>
      <c r="P10" s="899">
        <f>COUNTIF(P3:P9, "W")</f>
        <v>0</v>
      </c>
      <c r="Q10" s="93"/>
      <c r="R10" s="22"/>
      <c r="S10" s="35"/>
      <c r="T10" s="94"/>
      <c r="V10" s="898">
        <f>COUNTIF(W3:W9, "W")</f>
        <v>0</v>
      </c>
      <c r="W10" s="144"/>
      <c r="X10" s="894" t="s">
        <v>816</v>
      </c>
      <c r="Y10" s="899">
        <f>COUNTIF(Y3:Y9, "W")</f>
        <v>0</v>
      </c>
      <c r="Z10" s="93"/>
      <c r="AA10" s="92"/>
      <c r="AB10" s="874"/>
      <c r="AC10" s="94"/>
      <c r="AD10" s="61"/>
      <c r="AE10" s="898">
        <f>COUNTIF(AF3:AF9, "W")</f>
        <v>0</v>
      </c>
      <c r="AF10" s="144"/>
      <c r="AG10" s="894" t="s">
        <v>816</v>
      </c>
      <c r="AH10" s="899">
        <f>COUNTIF(AH3:AH9, "W")</f>
        <v>0</v>
      </c>
      <c r="AI10" s="93"/>
      <c r="AJ10" s="93"/>
      <c r="AK10" s="874"/>
      <c r="AL10" s="94"/>
      <c r="AM10" s="61"/>
      <c r="AN10" s="898">
        <f>COUNTIF(AO3:AO9, "W")</f>
        <v>0</v>
      </c>
      <c r="AO10" s="144"/>
      <c r="AP10" s="894" t="s">
        <v>816</v>
      </c>
      <c r="AQ10" s="899">
        <f>COUNTIF(AQ3:AQ9, "W")</f>
        <v>0</v>
      </c>
      <c r="AR10" s="93"/>
      <c r="AS10" s="93"/>
      <c r="AT10" s="884"/>
      <c r="AU10" s="94"/>
      <c r="AV10" s="61"/>
      <c r="AW10" s="898">
        <f>COUNTIF(AX3:AX9, "W")</f>
        <v>0</v>
      </c>
      <c r="AX10" s="144"/>
      <c r="AY10" s="894" t="s">
        <v>816</v>
      </c>
      <c r="AZ10" s="899">
        <f>COUNTIF(AZ3:AZ9, "W")</f>
        <v>0</v>
      </c>
      <c r="BA10" s="93"/>
      <c r="BB10" s="93"/>
      <c r="BC10" s="884"/>
      <c r="BD10" s="94"/>
      <c r="BE10" s="61"/>
      <c r="BF10" s="898">
        <f>COUNTIF(BG3:BG9, "W")</f>
        <v>0</v>
      </c>
      <c r="BG10" s="144"/>
      <c r="BH10" s="894" t="s">
        <v>816</v>
      </c>
      <c r="BI10" s="899">
        <f>COUNTIF(BI3:BI9, "W")</f>
        <v>0</v>
      </c>
      <c r="BJ10" s="93"/>
      <c r="BK10" s="93"/>
      <c r="BL10" s="884"/>
      <c r="BM10" s="94"/>
      <c r="BN10" s="61"/>
      <c r="BO10" s="898">
        <f>COUNTIF(BP3:BP9, "W")</f>
        <v>0</v>
      </c>
      <c r="BP10" s="144"/>
      <c r="BQ10" s="894" t="s">
        <v>816</v>
      </c>
      <c r="BR10" s="899">
        <f>COUNTIF(BR3:BR9, "W")</f>
        <v>0</v>
      </c>
      <c r="BS10" s="93"/>
      <c r="BT10" s="93"/>
      <c r="BU10" s="884"/>
      <c r="BV10" s="94"/>
      <c r="BX10" s="898">
        <f>COUNTIF(BY3:BY9, "W")</f>
        <v>0</v>
      </c>
      <c r="BY10" s="144"/>
      <c r="BZ10" s="894" t="s">
        <v>816</v>
      </c>
      <c r="CA10" s="899">
        <f>COUNTIF(CA3:CA9, "W")</f>
        <v>0</v>
      </c>
      <c r="CB10" s="93"/>
      <c r="CC10" s="92"/>
      <c r="CD10" s="884"/>
      <c r="CE10" s="94"/>
      <c r="CG10" s="898">
        <f>COUNTIF(CH3:CH9, "W")</f>
        <v>0</v>
      </c>
      <c r="CH10" s="144"/>
      <c r="CI10" s="894" t="s">
        <v>816</v>
      </c>
      <c r="CJ10" s="899">
        <f>COUNTIF(CJ3:CJ9, "W")</f>
        <v>0</v>
      </c>
      <c r="CK10" s="93"/>
      <c r="CL10" s="92"/>
      <c r="CM10" s="884"/>
      <c r="CN10" s="94"/>
      <c r="CP10" s="898">
        <f>COUNTIF(CQ3:CQ9, "W")</f>
        <v>0</v>
      </c>
      <c r="CQ10" s="144"/>
      <c r="CR10" s="894" t="s">
        <v>816</v>
      </c>
      <c r="CS10" s="899">
        <f>COUNTIF(CS3:CS9, "W")</f>
        <v>0</v>
      </c>
      <c r="CT10" s="93"/>
      <c r="CU10" s="92"/>
      <c r="CV10" s="884"/>
      <c r="CW10" s="94"/>
      <c r="CY10" s="898">
        <f>COUNTIF(CZ3:CZ9, "W")</f>
        <v>0</v>
      </c>
      <c r="CZ10" s="144"/>
      <c r="DA10" s="894" t="s">
        <v>816</v>
      </c>
      <c r="DB10" s="899">
        <f>COUNTIF(DB3:DB9, "W")</f>
        <v>0</v>
      </c>
      <c r="DC10" s="93"/>
      <c r="DD10" s="92"/>
      <c r="DE10" s="884"/>
      <c r="DF10" s="94"/>
      <c r="DH10" s="898">
        <f>COUNTIF(DI3:DI9, "W")</f>
        <v>0</v>
      </c>
      <c r="DI10" s="144"/>
      <c r="DJ10" s="894" t="s">
        <v>816</v>
      </c>
      <c r="DK10" s="899">
        <f>COUNTIF(DK3:DK9, "W")</f>
        <v>0</v>
      </c>
      <c r="DL10" s="93"/>
      <c r="DM10" s="92"/>
      <c r="DN10" s="884"/>
      <c r="DO10" s="94"/>
      <c r="DP10" s="61"/>
      <c r="DQ10" s="898">
        <f>COUNTIF(DR3:DR9, "W")</f>
        <v>0</v>
      </c>
      <c r="DR10" s="144"/>
      <c r="DS10" s="894" t="s">
        <v>816</v>
      </c>
      <c r="DT10" s="899">
        <f>COUNTIF(DT3:DT9, "W")</f>
        <v>0</v>
      </c>
      <c r="DU10" s="93"/>
      <c r="DV10" s="93"/>
      <c r="DW10" s="884"/>
      <c r="DX10" s="94"/>
      <c r="DY10" s="61"/>
      <c r="DZ10" s="898">
        <f>COUNTIF(EA3:EA9, "W")</f>
        <v>0</v>
      </c>
      <c r="EA10" s="144"/>
      <c r="EB10" s="894" t="s">
        <v>816</v>
      </c>
      <c r="EC10" s="899">
        <f>COUNTIF(EC3:EC9, "W")</f>
        <v>0</v>
      </c>
      <c r="ED10" s="93"/>
      <c r="EE10" s="93"/>
    </row>
    <row r="11" ht="18.0" customHeight="1">
      <c r="A11" s="900" t="s">
        <v>827</v>
      </c>
      <c r="B11" s="8"/>
      <c r="C11" s="8"/>
      <c r="D11" s="8"/>
      <c r="E11" s="8"/>
      <c r="F11" s="8"/>
      <c r="G11" s="68"/>
      <c r="H11" s="901"/>
      <c r="I11" s="901"/>
      <c r="J11" s="862"/>
      <c r="K11" s="902"/>
      <c r="L11" s="903"/>
      <c r="M11" s="903"/>
      <c r="N11" s="903"/>
      <c r="O11" s="903"/>
      <c r="P11" s="903"/>
      <c r="Q11" s="903"/>
      <c r="R11" s="903"/>
      <c r="S11" s="862"/>
      <c r="T11" s="902"/>
      <c r="U11" s="903"/>
      <c r="V11" s="903"/>
      <c r="W11" s="903"/>
      <c r="X11" s="903"/>
      <c r="Y11" s="903"/>
      <c r="Z11" s="903"/>
      <c r="AA11" s="903"/>
      <c r="AB11" s="862"/>
      <c r="AC11" s="902"/>
      <c r="AD11" s="903"/>
      <c r="AE11" s="903"/>
      <c r="AF11" s="903"/>
      <c r="AG11" s="903"/>
      <c r="AH11" s="903"/>
      <c r="AI11" s="903"/>
      <c r="AJ11" s="903"/>
      <c r="AK11" s="862"/>
      <c r="AL11" s="902"/>
      <c r="AM11" s="903"/>
      <c r="AN11" s="903"/>
      <c r="AO11" s="903"/>
      <c r="AP11" s="903"/>
      <c r="AQ11" s="903"/>
      <c r="AR11" s="903"/>
      <c r="AS11" s="903"/>
      <c r="AT11" s="870"/>
      <c r="AU11" s="902"/>
      <c r="AV11" s="903"/>
      <c r="AW11" s="903"/>
      <c r="AX11" s="903"/>
      <c r="AY11" s="903"/>
      <c r="AZ11" s="903"/>
      <c r="BA11" s="903"/>
      <c r="BB11" s="903"/>
      <c r="BC11" s="870"/>
      <c r="BD11" s="902"/>
      <c r="BE11" s="903"/>
      <c r="BF11" s="903"/>
      <c r="BG11" s="903"/>
      <c r="BH11" s="903"/>
      <c r="BI11" s="903"/>
      <c r="BJ11" s="903"/>
      <c r="BK11" s="903"/>
      <c r="BL11" s="870"/>
      <c r="BM11" s="902"/>
      <c r="BN11" s="903"/>
      <c r="BO11" s="903"/>
      <c r="BP11" s="903"/>
      <c r="BQ11" s="903"/>
      <c r="BR11" s="903"/>
      <c r="BS11" s="903"/>
      <c r="BT11" s="903"/>
      <c r="BU11" s="870"/>
      <c r="BV11" s="902"/>
      <c r="BW11" s="903"/>
      <c r="BX11" s="903"/>
      <c r="BY11" s="903"/>
      <c r="BZ11" s="903"/>
      <c r="CA11" s="903"/>
      <c r="CB11" s="903"/>
      <c r="CC11" s="903"/>
      <c r="CD11" s="870"/>
      <c r="CE11" s="902"/>
      <c r="CF11" s="903"/>
      <c r="CG11" s="903"/>
      <c r="CH11" s="903"/>
      <c r="CI11" s="903"/>
      <c r="CJ11" s="903"/>
      <c r="CK11" s="903"/>
      <c r="CL11" s="903"/>
      <c r="CM11" s="870"/>
      <c r="CN11" s="902"/>
      <c r="CO11" s="903"/>
      <c r="CP11" s="903"/>
      <c r="CQ11" s="903"/>
      <c r="CR11" s="903"/>
      <c r="CS11" s="903"/>
      <c r="CT11" s="903"/>
      <c r="CU11" s="903"/>
      <c r="CV11" s="870"/>
      <c r="CW11" s="902"/>
      <c r="CX11" s="903"/>
      <c r="CY11" s="903"/>
      <c r="CZ11" s="903"/>
      <c r="DA11" s="903"/>
      <c r="DB11" s="903"/>
      <c r="DC11" s="903"/>
      <c r="DD11" s="903"/>
      <c r="DE11" s="870"/>
      <c r="DF11" s="902"/>
      <c r="DG11" s="903"/>
      <c r="DH11" s="903"/>
      <c r="DI11" s="903"/>
      <c r="DJ11" s="903"/>
      <c r="DK11" s="903"/>
      <c r="DL11" s="903"/>
      <c r="DM11" s="903"/>
      <c r="DN11" s="870"/>
      <c r="DO11" s="902"/>
      <c r="DP11" s="903"/>
      <c r="DQ11" s="903"/>
      <c r="DR11" s="903"/>
      <c r="DS11" s="903"/>
      <c r="DT11" s="903"/>
      <c r="DU11" s="903"/>
      <c r="DV11" s="903"/>
      <c r="DW11" s="870"/>
      <c r="DX11" s="902"/>
      <c r="DY11" s="903"/>
      <c r="DZ11" s="903"/>
      <c r="EA11" s="903"/>
      <c r="EB11" s="903"/>
      <c r="EC11" s="903"/>
      <c r="ED11" s="903"/>
      <c r="EE11" s="903"/>
    </row>
    <row r="12">
      <c r="A12" s="525" t="s">
        <v>263</v>
      </c>
      <c r="B12" s="528" t="s">
        <v>258</v>
      </c>
      <c r="C12" s="528" t="s">
        <v>828</v>
      </c>
      <c r="D12" s="528" t="s">
        <v>829</v>
      </c>
      <c r="E12" s="528" t="s">
        <v>261</v>
      </c>
      <c r="F12" s="904" t="s">
        <v>830</v>
      </c>
      <c r="G12" s="330" t="s">
        <v>831</v>
      </c>
      <c r="H12" s="884"/>
      <c r="I12" s="884"/>
      <c r="J12" s="862"/>
      <c r="K12" s="869" t="s">
        <v>263</v>
      </c>
      <c r="L12" s="869" t="s">
        <v>258</v>
      </c>
      <c r="M12" s="865" t="s">
        <v>825</v>
      </c>
      <c r="N12" s="866" t="s">
        <v>259</v>
      </c>
      <c r="O12" s="866" t="s">
        <v>307</v>
      </c>
      <c r="P12" s="866" t="s">
        <v>259</v>
      </c>
      <c r="Q12" s="867" t="s">
        <v>826</v>
      </c>
      <c r="R12" s="905" t="s">
        <v>261</v>
      </c>
      <c r="S12" s="868"/>
      <c r="T12" s="869" t="s">
        <v>263</v>
      </c>
      <c r="U12" s="869" t="s">
        <v>258</v>
      </c>
      <c r="V12" s="865" t="s">
        <v>825</v>
      </c>
      <c r="W12" s="866" t="s">
        <v>259</v>
      </c>
      <c r="X12" s="866" t="s">
        <v>307</v>
      </c>
      <c r="Y12" s="866" t="s">
        <v>259</v>
      </c>
      <c r="Z12" s="867" t="s">
        <v>826</v>
      </c>
      <c r="AA12" s="869" t="s">
        <v>261</v>
      </c>
      <c r="AB12" s="862"/>
      <c r="AC12" s="869" t="s">
        <v>263</v>
      </c>
      <c r="AD12" s="869" t="s">
        <v>258</v>
      </c>
      <c r="AE12" s="865" t="s">
        <v>825</v>
      </c>
      <c r="AF12" s="866" t="s">
        <v>259</v>
      </c>
      <c r="AG12" s="866" t="s">
        <v>307</v>
      </c>
      <c r="AH12" s="866" t="s">
        <v>259</v>
      </c>
      <c r="AI12" s="867" t="s">
        <v>826</v>
      </c>
      <c r="AJ12" s="869" t="s">
        <v>261</v>
      </c>
      <c r="AK12" s="862"/>
      <c r="AL12" s="869" t="s">
        <v>263</v>
      </c>
      <c r="AM12" s="869" t="s">
        <v>258</v>
      </c>
      <c r="AN12" s="865" t="s">
        <v>825</v>
      </c>
      <c r="AO12" s="866" t="s">
        <v>259</v>
      </c>
      <c r="AP12" s="866" t="s">
        <v>307</v>
      </c>
      <c r="AQ12" s="866" t="s">
        <v>259</v>
      </c>
      <c r="AR12" s="867" t="s">
        <v>826</v>
      </c>
      <c r="AS12" s="869" t="s">
        <v>261</v>
      </c>
      <c r="AT12" s="870"/>
      <c r="AU12" s="869" t="s">
        <v>263</v>
      </c>
      <c r="AV12" s="869" t="s">
        <v>258</v>
      </c>
      <c r="AW12" s="865" t="s">
        <v>825</v>
      </c>
      <c r="AX12" s="866" t="s">
        <v>259</v>
      </c>
      <c r="AY12" s="866" t="s">
        <v>307</v>
      </c>
      <c r="AZ12" s="866" t="s">
        <v>259</v>
      </c>
      <c r="BA12" s="867" t="s">
        <v>826</v>
      </c>
      <c r="BB12" s="869" t="s">
        <v>261</v>
      </c>
      <c r="BC12" s="870"/>
      <c r="BD12" s="869" t="s">
        <v>263</v>
      </c>
      <c r="BE12" s="869" t="s">
        <v>258</v>
      </c>
      <c r="BF12" s="865" t="s">
        <v>825</v>
      </c>
      <c r="BG12" s="866" t="s">
        <v>259</v>
      </c>
      <c r="BH12" s="866" t="s">
        <v>307</v>
      </c>
      <c r="BI12" s="866" t="s">
        <v>259</v>
      </c>
      <c r="BJ12" s="867" t="s">
        <v>826</v>
      </c>
      <c r="BK12" s="869" t="s">
        <v>261</v>
      </c>
      <c r="BL12" s="870"/>
      <c r="BM12" s="869" t="s">
        <v>263</v>
      </c>
      <c r="BN12" s="869" t="s">
        <v>258</v>
      </c>
      <c r="BO12" s="865" t="s">
        <v>825</v>
      </c>
      <c r="BP12" s="866" t="s">
        <v>259</v>
      </c>
      <c r="BQ12" s="866" t="s">
        <v>307</v>
      </c>
      <c r="BR12" s="866" t="s">
        <v>259</v>
      </c>
      <c r="BS12" s="867" t="s">
        <v>826</v>
      </c>
      <c r="BT12" s="869" t="s">
        <v>261</v>
      </c>
      <c r="BU12" s="870"/>
      <c r="BV12" s="869" t="s">
        <v>263</v>
      </c>
      <c r="BW12" s="869" t="s">
        <v>258</v>
      </c>
      <c r="BX12" s="865" t="s">
        <v>825</v>
      </c>
      <c r="BY12" s="866" t="s">
        <v>259</v>
      </c>
      <c r="BZ12" s="866" t="s">
        <v>307</v>
      </c>
      <c r="CA12" s="866" t="s">
        <v>259</v>
      </c>
      <c r="CB12" s="867" t="s">
        <v>826</v>
      </c>
      <c r="CC12" s="869" t="s">
        <v>261</v>
      </c>
      <c r="CD12" s="870"/>
      <c r="CE12" s="869" t="s">
        <v>263</v>
      </c>
      <c r="CF12" s="869" t="s">
        <v>258</v>
      </c>
      <c r="CG12" s="865" t="s">
        <v>825</v>
      </c>
      <c r="CH12" s="866" t="s">
        <v>259</v>
      </c>
      <c r="CI12" s="866" t="s">
        <v>307</v>
      </c>
      <c r="CJ12" s="866" t="s">
        <v>259</v>
      </c>
      <c r="CK12" s="867" t="s">
        <v>826</v>
      </c>
      <c r="CL12" s="869" t="s">
        <v>261</v>
      </c>
      <c r="CM12" s="870"/>
      <c r="CN12" s="869" t="s">
        <v>263</v>
      </c>
      <c r="CO12" s="869" t="s">
        <v>258</v>
      </c>
      <c r="CP12" s="865" t="s">
        <v>825</v>
      </c>
      <c r="CQ12" s="866" t="s">
        <v>259</v>
      </c>
      <c r="CR12" s="866" t="s">
        <v>307</v>
      </c>
      <c r="CS12" s="866" t="s">
        <v>259</v>
      </c>
      <c r="CT12" s="867" t="s">
        <v>826</v>
      </c>
      <c r="CU12" s="869" t="s">
        <v>261</v>
      </c>
      <c r="CV12" s="870"/>
      <c r="CW12" s="869" t="s">
        <v>263</v>
      </c>
      <c r="CX12" s="869" t="s">
        <v>258</v>
      </c>
      <c r="CY12" s="865" t="s">
        <v>825</v>
      </c>
      <c r="CZ12" s="866" t="s">
        <v>259</v>
      </c>
      <c r="DA12" s="866" t="s">
        <v>307</v>
      </c>
      <c r="DB12" s="866" t="s">
        <v>259</v>
      </c>
      <c r="DC12" s="867" t="s">
        <v>826</v>
      </c>
      <c r="DD12" s="869" t="s">
        <v>261</v>
      </c>
      <c r="DE12" s="870"/>
      <c r="DF12" s="869" t="s">
        <v>263</v>
      </c>
      <c r="DG12" s="869" t="s">
        <v>258</v>
      </c>
      <c r="DH12" s="865" t="s">
        <v>825</v>
      </c>
      <c r="DI12" s="866" t="s">
        <v>259</v>
      </c>
      <c r="DJ12" s="866" t="s">
        <v>307</v>
      </c>
      <c r="DK12" s="866" t="s">
        <v>259</v>
      </c>
      <c r="DL12" s="867" t="s">
        <v>826</v>
      </c>
      <c r="DM12" s="869" t="s">
        <v>261</v>
      </c>
      <c r="DN12" s="870"/>
      <c r="DO12" s="869" t="s">
        <v>263</v>
      </c>
      <c r="DP12" s="869" t="s">
        <v>258</v>
      </c>
      <c r="DQ12" s="865" t="s">
        <v>825</v>
      </c>
      <c r="DR12" s="866" t="s">
        <v>259</v>
      </c>
      <c r="DS12" s="866" t="s">
        <v>307</v>
      </c>
      <c r="DT12" s="866" t="s">
        <v>259</v>
      </c>
      <c r="DU12" s="867" t="s">
        <v>826</v>
      </c>
      <c r="DV12" s="869" t="s">
        <v>261</v>
      </c>
      <c r="DW12" s="870"/>
      <c r="DX12" s="869" t="s">
        <v>263</v>
      </c>
      <c r="DY12" s="869" t="s">
        <v>258</v>
      </c>
      <c r="DZ12" s="865" t="s">
        <v>825</v>
      </c>
      <c r="EA12" s="866" t="s">
        <v>259</v>
      </c>
      <c r="EB12" s="866" t="s">
        <v>307</v>
      </c>
      <c r="EC12" s="866" t="s">
        <v>259</v>
      </c>
      <c r="ED12" s="867" t="s">
        <v>826</v>
      </c>
      <c r="EE12" s="869" t="s">
        <v>261</v>
      </c>
    </row>
    <row r="13">
      <c r="A13" s="33">
        <f>'Schedule | 2 Division (OLD)'!J5</f>
        <v>1</v>
      </c>
      <c r="B13" s="30" t="str">
        <f>'Schedule | 2 Division (OLD)'!E5</f>
        <v>Green Hustle</v>
      </c>
      <c r="C13" s="906">
        <f>'Schedule | 2 Division (OLD)'!F5</f>
        <v>0</v>
      </c>
      <c r="D13" s="906">
        <f>'Schedule | 2 Division (OLD)'!H5</f>
        <v>0</v>
      </c>
      <c r="E13" s="30" t="str">
        <f>'Schedule | 2 Division (OLD)'!I5</f>
        <v>PARADOX</v>
      </c>
      <c r="F13" s="30" t="str">
        <f t="shared" ref="F13:F68" si="36">IFERROR(IFS(C13&gt;D13, B13, C13&lt;D13, E13),"")</f>
        <v/>
      </c>
      <c r="G13" s="433" t="str">
        <f t="shared" ref="G13:G68" si="37">IFERROR(IFS(C13&gt;D13, E13, C13&lt;D13, B13),"")</f>
        <v/>
      </c>
      <c r="H13" s="884"/>
      <c r="I13" s="884"/>
      <c r="J13" s="874"/>
      <c r="K13" s="456">
        <f>'Schedule | 2 Division (OLD)'!J6</f>
        <v>2</v>
      </c>
      <c r="L13" s="875" t="str">
        <f>'Schedule | 2 Division (OLD)'!E6</f>
        <v>DISTANCE</v>
      </c>
      <c r="M13" s="876"/>
      <c r="N13" s="877"/>
      <c r="O13" s="877"/>
      <c r="P13" s="878">
        <f t="shared" ref="P13:P19" si="38">ifs(N13="W","L",N13="L", "W",N13=0,0)</f>
        <v>0</v>
      </c>
      <c r="Q13" s="879" t="str">
        <f t="shared" ref="Q13:Q19" si="39">ifs(M13="Attack","Defense",M13="Defense", "Attack",N13=0, "-")</f>
        <v>-</v>
      </c>
      <c r="R13" s="907" t="str">
        <f>'Schedule | 2 Division (OLD)'!I6</f>
        <v>ICM</v>
      </c>
      <c r="S13" s="35"/>
      <c r="T13" s="456">
        <f>'Schedule | 2 Division (OLD)'!J12</f>
        <v>6</v>
      </c>
      <c r="U13" s="447" t="str">
        <f>'Schedule | 2 Division (OLD)'!E12</f>
        <v>ALFA</v>
      </c>
      <c r="V13" s="876"/>
      <c r="W13" s="877"/>
      <c r="X13" s="877"/>
      <c r="Y13" s="878">
        <f t="shared" ref="Y13:Y19" si="40">ifs(W13="W","L",W13="L", "W",W13=0,0)</f>
        <v>0</v>
      </c>
      <c r="Z13" s="879" t="str">
        <f t="shared" ref="Z13:Z19" si="41">ifs(V13="Attack","Defense",V13="Defense", "Attack",W13=0, "-")</f>
        <v>-</v>
      </c>
      <c r="AA13" s="883" t="str">
        <f>'Schedule | 2 Division (OLD)'!I12</f>
        <v>QW0TROBERY</v>
      </c>
      <c r="AB13" s="874"/>
      <c r="AC13" s="456">
        <f>'Schedule | 2 Division (OLD)'!J18</f>
        <v>10</v>
      </c>
      <c r="AD13" s="875" t="str">
        <f>'Schedule | 2 Division (OLD)'!E18</f>
        <v>Hoax</v>
      </c>
      <c r="AE13" s="876"/>
      <c r="AF13" s="877"/>
      <c r="AG13" s="877"/>
      <c r="AH13" s="878">
        <f t="shared" ref="AH13:AH19" si="42">ifs(AF13="W","L",AF13="L", "W",AF13=0,0)</f>
        <v>0</v>
      </c>
      <c r="AI13" s="879" t="str">
        <f t="shared" ref="AI13:AI19" si="43">ifs(AE13="Attack","Defense",AE13="Defense", "Attack",AF13=0, "-")</f>
        <v>-</v>
      </c>
      <c r="AJ13" s="883" t="str">
        <f>'Schedule | 2 Division (OLD)'!I18</f>
        <v>PARADOX</v>
      </c>
      <c r="AK13" s="874"/>
      <c r="AL13" s="456">
        <f>'Schedule | 2 Division (OLD)'!J24</f>
        <v>14</v>
      </c>
      <c r="AM13" s="875" t="str">
        <f>'Schedule | 2 Division (OLD)'!E24</f>
        <v>Hoax</v>
      </c>
      <c r="AN13" s="876"/>
      <c r="AO13" s="877"/>
      <c r="AP13" s="877"/>
      <c r="AQ13" s="878">
        <f t="shared" ref="AQ13:AQ19" si="44">ifs(AO13="W","L",AO13="L", "W",AO13=0,0)</f>
        <v>0</v>
      </c>
      <c r="AR13" s="879" t="str">
        <f t="shared" ref="AR13:AR19" si="45">ifs(AN13="Attack","Defense",AN13="Defense", "Attack",AO13=0, "-")</f>
        <v>-</v>
      </c>
      <c r="AS13" s="883" t="str">
        <f>'Schedule | 2 Division (OLD)'!I24</f>
        <v>ICM</v>
      </c>
      <c r="AT13" s="884"/>
      <c r="AU13" s="456">
        <f>'Schedule | 2 Division (OLD)'!J30</f>
        <v>18</v>
      </c>
      <c r="AV13" s="875" t="str">
        <f>'Schedule | 2 Division (OLD)'!E30</f>
        <v>VIOLENCE</v>
      </c>
      <c r="AW13" s="876"/>
      <c r="AX13" s="877"/>
      <c r="AY13" s="877"/>
      <c r="AZ13" s="878">
        <f t="shared" ref="AZ13:AZ19" si="46">ifs(AX13="W","L",AX13="L", "W",AX13=0,0)</f>
        <v>0</v>
      </c>
      <c r="BA13" s="879" t="str">
        <f t="shared" ref="BA13:BA19" si="47">ifs(AW13="Attack","Defense",AW13="Defense", "Attack",AX13=0, "-")</f>
        <v>-</v>
      </c>
      <c r="BB13" s="883" t="str">
        <f>'Schedule | 2 Division (OLD)'!I30</f>
        <v>PARADOX</v>
      </c>
      <c r="BC13" s="884"/>
      <c r="BD13" s="456">
        <f>'Schedule | 2 Division (OLD)'!J36</f>
        <v>22</v>
      </c>
      <c r="BE13" s="875" t="str">
        <f>'Schedule | 2 Division (OLD)'!E36</f>
        <v>PARADOX</v>
      </c>
      <c r="BF13" s="876"/>
      <c r="BG13" s="877"/>
      <c r="BH13" s="877"/>
      <c r="BI13" s="878">
        <f t="shared" ref="BI13:BI19" si="48">ifs(BG13="W","L",BG13="L", "W",BG13=0,0)</f>
        <v>0</v>
      </c>
      <c r="BJ13" s="879" t="str">
        <f t="shared" ref="BJ13:BJ19" si="49">ifs(BF13="Attack","Defense",BF13="Defense", "Attack",BG13=0, "-")</f>
        <v>-</v>
      </c>
      <c r="BK13" s="883" t="str">
        <f>'Schedule | 2 Division (OLD)'!I36</f>
        <v>QW0TROBERY</v>
      </c>
      <c r="BL13" s="884"/>
      <c r="BM13" s="456">
        <f>'Schedule | 2 Division (OLD)'!J42</f>
        <v>26</v>
      </c>
      <c r="BN13" s="908" t="str">
        <f>'Schedule | 2 Division (OLD)'!E42</f>
        <v>Green Hustle</v>
      </c>
      <c r="BO13" s="876"/>
      <c r="BP13" s="877"/>
      <c r="BQ13" s="877"/>
      <c r="BR13" s="878">
        <f t="shared" ref="BR13:BR19" si="50">ifs(BP13="W","L",BP13="L", "W",BP13=0,0)</f>
        <v>0</v>
      </c>
      <c r="BS13" s="879" t="str">
        <f t="shared" ref="BS13:BS19" si="51">ifs(BO13="Attack","Defense",BO13="Defense", "Attack",BP13=0, "-")</f>
        <v>-</v>
      </c>
      <c r="BT13" s="883" t="str">
        <f>'Schedule | 2 Division (OLD)'!I42</f>
        <v>DISTANCE</v>
      </c>
      <c r="BU13" s="884"/>
      <c r="BV13" s="456">
        <f>'Schedule | 2 Division (OLD)'!P6</f>
        <v>30</v>
      </c>
      <c r="BW13" s="447" t="str">
        <f>'Schedule | 2 Division (OLD)'!K6</f>
        <v>ICM</v>
      </c>
      <c r="BX13" s="876"/>
      <c r="BY13" s="877"/>
      <c r="BZ13" s="877"/>
      <c r="CA13" s="878">
        <f t="shared" ref="CA13:CA19" si="52">ifs(BY13="W","L",BY13="L", "W",BY13=0,0)</f>
        <v>0</v>
      </c>
      <c r="CB13" s="879" t="str">
        <f t="shared" ref="CB13:CB19" si="53">ifs(BX13="Attack","Defense",BX13="Defense", "Attack",BY13=0, "-")</f>
        <v>-</v>
      </c>
      <c r="CC13" s="882" t="str">
        <f>'Schedule | 2 Division (OLD)'!O6</f>
        <v>DISTANCE</v>
      </c>
      <c r="CD13" s="884"/>
      <c r="CE13" s="456">
        <f>'Schedule | 2 Division (OLD)'!P12</f>
        <v>34</v>
      </c>
      <c r="CF13" s="881" t="str">
        <f>'Schedule | 2 Division (OLD)'!K12</f>
        <v>Green Hustle</v>
      </c>
      <c r="CG13" s="876"/>
      <c r="CH13" s="877"/>
      <c r="CI13" s="877"/>
      <c r="CJ13" s="878">
        <f t="shared" ref="CJ13:CJ19" si="54">ifs(CH13="W","L",CH13="L", "W",CH13=0,0)</f>
        <v>0</v>
      </c>
      <c r="CK13" s="879" t="str">
        <f t="shared" ref="CK13:CK19" si="55">ifs(CG13="Attack","Defense",CG13="Defense", "Attack",CH13=0, "-")</f>
        <v>-</v>
      </c>
      <c r="CL13" s="882" t="str">
        <f>'Schedule | 2 Division (OLD)'!O12</f>
        <v>ICM</v>
      </c>
      <c r="CM13" s="884"/>
      <c r="CN13" s="456">
        <f>'Schedule | 2 Division (OLD)'!P18</f>
        <v>38</v>
      </c>
      <c r="CO13" s="881" t="str">
        <f>'Schedule | 2 Division (OLD)'!K18</f>
        <v>DISTANCE</v>
      </c>
      <c r="CP13" s="876"/>
      <c r="CQ13" s="877"/>
      <c r="CR13" s="877"/>
      <c r="CS13" s="878">
        <f t="shared" ref="CS13:CS19" si="56">ifs(CQ13="W","L",CQ13="L", "W",CQ13=0,0)</f>
        <v>0</v>
      </c>
      <c r="CT13" s="879" t="str">
        <f t="shared" ref="CT13:CT19" si="57">ifs(CP13="Attack","Defense",CP13="Defense", "Attack",CQ13=0, "-")</f>
        <v>-</v>
      </c>
      <c r="CU13" s="882" t="str">
        <f>'Schedule | 2 Division (OLD)'!O18</f>
        <v>QW0TROBERY</v>
      </c>
      <c r="CV13" s="884"/>
      <c r="CW13" s="456">
        <f>'Schedule | 2 Division (OLD)'!P24</f>
        <v>42</v>
      </c>
      <c r="CX13" s="447" t="str">
        <f>'Schedule | 2 Division (OLD)'!K24</f>
        <v>Green Hustle</v>
      </c>
      <c r="CY13" s="876"/>
      <c r="CZ13" s="877"/>
      <c r="DA13" s="877"/>
      <c r="DB13" s="878">
        <f t="shared" ref="DB13:DB19" si="58">ifs(CZ13="W","L",CZ13="L", "W",CZ13=0,0)</f>
        <v>0</v>
      </c>
      <c r="DC13" s="879" t="str">
        <f t="shared" ref="DC13:DC19" si="59">ifs(CY13="Attack","Defense",CY13="Defense", "Attack",CZ13=0, "-")</f>
        <v>-</v>
      </c>
      <c r="DD13" s="882" t="str">
        <f>'Schedule | 2 Division (OLD)'!O24</f>
        <v>QW0TROBERY</v>
      </c>
      <c r="DE13" s="884"/>
      <c r="DF13" s="456">
        <f>'Schedule | 2 Division (OLD)'!P30</f>
        <v>46</v>
      </c>
      <c r="DG13" s="447" t="str">
        <f>'Schedule | 2 Division (OLD)'!K30</f>
        <v>ICM</v>
      </c>
      <c r="DH13" s="876"/>
      <c r="DI13" s="877"/>
      <c r="DJ13" s="877"/>
      <c r="DK13" s="878">
        <f t="shared" ref="DK13:DK19" si="60">ifs(DI13="W","L",DI13="L", "W",DI13=0,0)</f>
        <v>0</v>
      </c>
      <c r="DL13" s="879" t="str">
        <f t="shared" ref="DL13:DL19" si="61">ifs(DH13="Attack","Defense",DH13="Defense", "Attack",DI13=0, "-")</f>
        <v>-</v>
      </c>
      <c r="DM13" s="882" t="str">
        <f>'Schedule | 2 Division (OLD)'!O30</f>
        <v>QW0TROBERY</v>
      </c>
      <c r="DN13" s="884"/>
      <c r="DO13" s="456">
        <f>'Schedule | 2 Division (OLD)'!P36</f>
        <v>50</v>
      </c>
      <c r="DP13" s="875" t="str">
        <f>'Schedule | 2 Division (OLD)'!K36</f>
        <v>ALFA</v>
      </c>
      <c r="DQ13" s="876"/>
      <c r="DR13" s="877"/>
      <c r="DS13" s="877"/>
      <c r="DT13" s="878">
        <f t="shared" ref="DT13:DT19" si="62">ifs(DR13="W","L",DR13="L", "W",DR13=0,0)</f>
        <v>0</v>
      </c>
      <c r="DU13" s="879" t="str">
        <f t="shared" ref="DU13:DU19" si="63">ifs(DQ13="Attack","Defense",DQ13="Defense", "Attack",DR13=0, "-")</f>
        <v>-</v>
      </c>
      <c r="DV13" s="883" t="str">
        <f>'Schedule | 2 Division (OLD)'!O36</f>
        <v>DISTANCE</v>
      </c>
      <c r="DW13" s="884"/>
      <c r="DX13" s="456">
        <f>'Schedule | 2 Division (OLD)'!P42</f>
        <v>54</v>
      </c>
      <c r="DY13" s="875" t="str">
        <f>'Schedule | 2 Division (OLD)'!K42</f>
        <v>PARADOX</v>
      </c>
      <c r="DZ13" s="876"/>
      <c r="EA13" s="877"/>
      <c r="EB13" s="877"/>
      <c r="EC13" s="878">
        <f t="shared" ref="EC13:EC19" si="64">ifs(EA13="W","L",EA13="L", "W",EA13=0,0)</f>
        <v>0</v>
      </c>
      <c r="ED13" s="879" t="str">
        <f t="shared" ref="ED13:ED19" si="65">ifs(DZ13="Attack","Defense",DZ13="Defense", "Attack",EA13=0, "-")</f>
        <v>-</v>
      </c>
      <c r="EE13" s="883" t="str">
        <f>'Schedule | 2 Division (OLD)'!O42</f>
        <v>ICM</v>
      </c>
    </row>
    <row r="14">
      <c r="A14" s="33">
        <f>'Schedule | 2 Division (OLD)'!J6</f>
        <v>2</v>
      </c>
      <c r="B14" s="30" t="str">
        <f>'Schedule | 2 Division (OLD)'!E6</f>
        <v>DISTANCE</v>
      </c>
      <c r="C14" s="906">
        <f>'Schedule | 2 Division (OLD)'!F6</f>
        <v>0</v>
      </c>
      <c r="D14" s="906">
        <f>'Schedule | 2 Division (OLD)'!H6</f>
        <v>0</v>
      </c>
      <c r="E14" s="909" t="str">
        <f>'Schedule | 2 Division (OLD)'!I6</f>
        <v>ICM</v>
      </c>
      <c r="F14" s="30" t="str">
        <f t="shared" si="36"/>
        <v/>
      </c>
      <c r="G14" s="433" t="str">
        <f t="shared" si="37"/>
        <v/>
      </c>
      <c r="H14" s="884"/>
      <c r="I14" s="884"/>
      <c r="J14" s="874"/>
      <c r="K14" s="66"/>
      <c r="L14" s="55"/>
      <c r="M14" s="876"/>
      <c r="N14" s="890"/>
      <c r="O14" s="890"/>
      <c r="P14" s="891">
        <f t="shared" si="38"/>
        <v>0</v>
      </c>
      <c r="Q14" s="892" t="str">
        <f t="shared" si="39"/>
        <v>-</v>
      </c>
      <c r="S14" s="35"/>
      <c r="T14" s="66"/>
      <c r="V14" s="876"/>
      <c r="W14" s="890"/>
      <c r="X14" s="890"/>
      <c r="Y14" s="891">
        <f t="shared" si="40"/>
        <v>0</v>
      </c>
      <c r="Z14" s="892" t="str">
        <f t="shared" si="41"/>
        <v>-</v>
      </c>
      <c r="AA14" s="92"/>
      <c r="AB14" s="874"/>
      <c r="AC14" s="66"/>
      <c r="AD14" s="55"/>
      <c r="AE14" s="876"/>
      <c r="AF14" s="890"/>
      <c r="AG14" s="890"/>
      <c r="AH14" s="891">
        <f t="shared" si="42"/>
        <v>0</v>
      </c>
      <c r="AI14" s="892" t="str">
        <f t="shared" si="43"/>
        <v>-</v>
      </c>
      <c r="AJ14" s="92"/>
      <c r="AK14" s="874"/>
      <c r="AL14" s="66"/>
      <c r="AM14" s="55"/>
      <c r="AN14" s="876"/>
      <c r="AO14" s="890"/>
      <c r="AP14" s="890"/>
      <c r="AQ14" s="891">
        <f t="shared" si="44"/>
        <v>0</v>
      </c>
      <c r="AR14" s="892" t="str">
        <f t="shared" si="45"/>
        <v>-</v>
      </c>
      <c r="AS14" s="92"/>
      <c r="AT14" s="884"/>
      <c r="AU14" s="66"/>
      <c r="AV14" s="55"/>
      <c r="AW14" s="876"/>
      <c r="AX14" s="890"/>
      <c r="AY14" s="890"/>
      <c r="AZ14" s="891">
        <f t="shared" si="46"/>
        <v>0</v>
      </c>
      <c r="BA14" s="892" t="str">
        <f t="shared" si="47"/>
        <v>-</v>
      </c>
      <c r="BB14" s="92"/>
      <c r="BC14" s="884"/>
      <c r="BD14" s="66"/>
      <c r="BE14" s="55"/>
      <c r="BF14" s="876"/>
      <c r="BG14" s="890"/>
      <c r="BH14" s="890"/>
      <c r="BI14" s="891">
        <f t="shared" si="48"/>
        <v>0</v>
      </c>
      <c r="BJ14" s="892" t="str">
        <f t="shared" si="49"/>
        <v>-</v>
      </c>
      <c r="BK14" s="92"/>
      <c r="BL14" s="884"/>
      <c r="BM14" s="66"/>
      <c r="BN14" s="55"/>
      <c r="BO14" s="876"/>
      <c r="BP14" s="890"/>
      <c r="BQ14" s="890"/>
      <c r="BR14" s="891">
        <f t="shared" si="50"/>
        <v>0</v>
      </c>
      <c r="BS14" s="892" t="str">
        <f t="shared" si="51"/>
        <v>-</v>
      </c>
      <c r="BT14" s="92"/>
      <c r="BU14" s="884"/>
      <c r="BV14" s="66"/>
      <c r="BX14" s="876"/>
      <c r="BY14" s="890"/>
      <c r="BZ14" s="890"/>
      <c r="CA14" s="891">
        <f t="shared" si="52"/>
        <v>0</v>
      </c>
      <c r="CB14" s="892" t="str">
        <f t="shared" si="53"/>
        <v>-</v>
      </c>
      <c r="CC14" s="92"/>
      <c r="CD14" s="884"/>
      <c r="CE14" s="66"/>
      <c r="CG14" s="876"/>
      <c r="CH14" s="890"/>
      <c r="CI14" s="890"/>
      <c r="CJ14" s="891">
        <f t="shared" si="54"/>
        <v>0</v>
      </c>
      <c r="CK14" s="892" t="str">
        <f t="shared" si="55"/>
        <v>-</v>
      </c>
      <c r="CL14" s="92"/>
      <c r="CM14" s="884"/>
      <c r="CN14" s="66"/>
      <c r="CP14" s="876"/>
      <c r="CQ14" s="890"/>
      <c r="CR14" s="890"/>
      <c r="CS14" s="891">
        <f t="shared" si="56"/>
        <v>0</v>
      </c>
      <c r="CT14" s="892" t="str">
        <f t="shared" si="57"/>
        <v>-</v>
      </c>
      <c r="CU14" s="92"/>
      <c r="CV14" s="884"/>
      <c r="CW14" s="66"/>
      <c r="CY14" s="876"/>
      <c r="CZ14" s="890"/>
      <c r="DA14" s="890"/>
      <c r="DB14" s="891">
        <f t="shared" si="58"/>
        <v>0</v>
      </c>
      <c r="DC14" s="892" t="str">
        <f t="shared" si="59"/>
        <v>-</v>
      </c>
      <c r="DD14" s="92"/>
      <c r="DE14" s="884"/>
      <c r="DF14" s="66"/>
      <c r="DH14" s="876"/>
      <c r="DI14" s="890"/>
      <c r="DJ14" s="890"/>
      <c r="DK14" s="891">
        <f t="shared" si="60"/>
        <v>0</v>
      </c>
      <c r="DL14" s="892" t="str">
        <f t="shared" si="61"/>
        <v>-</v>
      </c>
      <c r="DM14" s="92"/>
      <c r="DN14" s="884"/>
      <c r="DO14" s="66"/>
      <c r="DP14" s="55"/>
      <c r="DQ14" s="876"/>
      <c r="DR14" s="890"/>
      <c r="DS14" s="890"/>
      <c r="DT14" s="891">
        <f t="shared" si="62"/>
        <v>0</v>
      </c>
      <c r="DU14" s="892" t="str">
        <f t="shared" si="63"/>
        <v>-</v>
      </c>
      <c r="DV14" s="92"/>
      <c r="DW14" s="884"/>
      <c r="DX14" s="66"/>
      <c r="DY14" s="55"/>
      <c r="DZ14" s="876"/>
      <c r="EA14" s="890"/>
      <c r="EB14" s="890"/>
      <c r="EC14" s="891">
        <f t="shared" si="64"/>
        <v>0</v>
      </c>
      <c r="ED14" s="892" t="str">
        <f t="shared" si="65"/>
        <v>-</v>
      </c>
      <c r="EE14" s="92"/>
    </row>
    <row r="15">
      <c r="A15" s="33">
        <f>'Schedule | 2 Division (OLD)'!J7</f>
        <v>3</v>
      </c>
      <c r="B15" s="30" t="str">
        <f>'Schedule | 2 Division (OLD)'!E7</f>
        <v>ALFA</v>
      </c>
      <c r="C15" s="906">
        <f>'Schedule | 2 Division (OLD)'!F7</f>
        <v>0</v>
      </c>
      <c r="D15" s="906">
        <f>'Schedule | 2 Division (OLD)'!H7</f>
        <v>0</v>
      </c>
      <c r="E15" s="909" t="str">
        <f>'Schedule | 2 Division (OLD)'!I7</f>
        <v>VIOLENCE</v>
      </c>
      <c r="F15" s="30" t="str">
        <f t="shared" si="36"/>
        <v/>
      </c>
      <c r="G15" s="433" t="str">
        <f t="shared" si="37"/>
        <v/>
      </c>
      <c r="H15" s="884"/>
      <c r="I15" s="884"/>
      <c r="J15" s="874"/>
      <c r="K15" s="66"/>
      <c r="L15" s="55"/>
      <c r="M15" s="876"/>
      <c r="N15" s="890"/>
      <c r="O15" s="890"/>
      <c r="P15" s="891">
        <f t="shared" si="38"/>
        <v>0</v>
      </c>
      <c r="Q15" s="892" t="str">
        <f t="shared" si="39"/>
        <v>-</v>
      </c>
      <c r="S15" s="35"/>
      <c r="T15" s="66"/>
      <c r="V15" s="876"/>
      <c r="W15" s="890"/>
      <c r="X15" s="890"/>
      <c r="Y15" s="891">
        <f t="shared" si="40"/>
        <v>0</v>
      </c>
      <c r="Z15" s="892" t="str">
        <f t="shared" si="41"/>
        <v>-</v>
      </c>
      <c r="AA15" s="92"/>
      <c r="AB15" s="874"/>
      <c r="AC15" s="66"/>
      <c r="AD15" s="55"/>
      <c r="AE15" s="876"/>
      <c r="AF15" s="890"/>
      <c r="AG15" s="890"/>
      <c r="AH15" s="891">
        <f t="shared" si="42"/>
        <v>0</v>
      </c>
      <c r="AI15" s="892" t="str">
        <f t="shared" si="43"/>
        <v>-</v>
      </c>
      <c r="AJ15" s="92"/>
      <c r="AK15" s="874"/>
      <c r="AL15" s="66"/>
      <c r="AM15" s="55"/>
      <c r="AN15" s="876"/>
      <c r="AO15" s="890"/>
      <c r="AP15" s="890"/>
      <c r="AQ15" s="891">
        <f t="shared" si="44"/>
        <v>0</v>
      </c>
      <c r="AR15" s="892" t="str">
        <f t="shared" si="45"/>
        <v>-</v>
      </c>
      <c r="AS15" s="92"/>
      <c r="AT15" s="884"/>
      <c r="AU15" s="66"/>
      <c r="AV15" s="55"/>
      <c r="AW15" s="876"/>
      <c r="AX15" s="890"/>
      <c r="AY15" s="890"/>
      <c r="AZ15" s="891">
        <f t="shared" si="46"/>
        <v>0</v>
      </c>
      <c r="BA15" s="892" t="str">
        <f t="shared" si="47"/>
        <v>-</v>
      </c>
      <c r="BB15" s="92"/>
      <c r="BC15" s="884"/>
      <c r="BD15" s="66"/>
      <c r="BE15" s="55"/>
      <c r="BF15" s="876"/>
      <c r="BG15" s="890"/>
      <c r="BH15" s="890"/>
      <c r="BI15" s="891">
        <f t="shared" si="48"/>
        <v>0</v>
      </c>
      <c r="BJ15" s="892" t="str">
        <f t="shared" si="49"/>
        <v>-</v>
      </c>
      <c r="BK15" s="92"/>
      <c r="BL15" s="884"/>
      <c r="BM15" s="66"/>
      <c r="BN15" s="55"/>
      <c r="BO15" s="876"/>
      <c r="BP15" s="890"/>
      <c r="BQ15" s="890"/>
      <c r="BR15" s="891">
        <f t="shared" si="50"/>
        <v>0</v>
      </c>
      <c r="BS15" s="892" t="str">
        <f t="shared" si="51"/>
        <v>-</v>
      </c>
      <c r="BT15" s="92"/>
      <c r="BU15" s="884"/>
      <c r="BV15" s="66"/>
      <c r="BX15" s="876"/>
      <c r="BY15" s="890"/>
      <c r="BZ15" s="890"/>
      <c r="CA15" s="891">
        <f t="shared" si="52"/>
        <v>0</v>
      </c>
      <c r="CB15" s="892" t="str">
        <f t="shared" si="53"/>
        <v>-</v>
      </c>
      <c r="CC15" s="92"/>
      <c r="CD15" s="884"/>
      <c r="CE15" s="66"/>
      <c r="CG15" s="876"/>
      <c r="CH15" s="890"/>
      <c r="CI15" s="890"/>
      <c r="CJ15" s="891">
        <f t="shared" si="54"/>
        <v>0</v>
      </c>
      <c r="CK15" s="892" t="str">
        <f t="shared" si="55"/>
        <v>-</v>
      </c>
      <c r="CL15" s="92"/>
      <c r="CM15" s="884"/>
      <c r="CN15" s="66"/>
      <c r="CP15" s="876"/>
      <c r="CQ15" s="890"/>
      <c r="CR15" s="890"/>
      <c r="CS15" s="891">
        <f t="shared" si="56"/>
        <v>0</v>
      </c>
      <c r="CT15" s="892" t="str">
        <f t="shared" si="57"/>
        <v>-</v>
      </c>
      <c r="CU15" s="92"/>
      <c r="CV15" s="884"/>
      <c r="CW15" s="66"/>
      <c r="CY15" s="876"/>
      <c r="CZ15" s="890"/>
      <c r="DA15" s="890"/>
      <c r="DB15" s="891">
        <f t="shared" si="58"/>
        <v>0</v>
      </c>
      <c r="DC15" s="892" t="str">
        <f t="shared" si="59"/>
        <v>-</v>
      </c>
      <c r="DD15" s="92"/>
      <c r="DE15" s="884"/>
      <c r="DF15" s="66"/>
      <c r="DH15" s="876"/>
      <c r="DI15" s="890"/>
      <c r="DJ15" s="890"/>
      <c r="DK15" s="891">
        <f t="shared" si="60"/>
        <v>0</v>
      </c>
      <c r="DL15" s="892" t="str">
        <f t="shared" si="61"/>
        <v>-</v>
      </c>
      <c r="DM15" s="92"/>
      <c r="DN15" s="884"/>
      <c r="DO15" s="66"/>
      <c r="DP15" s="55"/>
      <c r="DQ15" s="876"/>
      <c r="DR15" s="890"/>
      <c r="DS15" s="890"/>
      <c r="DT15" s="891">
        <f t="shared" si="62"/>
        <v>0</v>
      </c>
      <c r="DU15" s="892" t="str">
        <f t="shared" si="63"/>
        <v>-</v>
      </c>
      <c r="DV15" s="92"/>
      <c r="DW15" s="884"/>
      <c r="DX15" s="66"/>
      <c r="DY15" s="55"/>
      <c r="DZ15" s="876"/>
      <c r="EA15" s="890"/>
      <c r="EB15" s="890"/>
      <c r="EC15" s="891">
        <f t="shared" si="64"/>
        <v>0</v>
      </c>
      <c r="ED15" s="892" t="str">
        <f t="shared" si="65"/>
        <v>-</v>
      </c>
      <c r="EE15" s="92"/>
    </row>
    <row r="16">
      <c r="A16" s="33">
        <f>'Schedule | 2 Division (OLD)'!J8</f>
        <v>4</v>
      </c>
      <c r="B16" s="30" t="str">
        <f>'Schedule | 2 Division (OLD)'!E8</f>
        <v>Hoax</v>
      </c>
      <c r="C16" s="906">
        <f>'Schedule | 2 Division (OLD)'!F8</f>
        <v>0</v>
      </c>
      <c r="D16" s="906">
        <f>'Schedule | 2 Division (OLD)'!H8</f>
        <v>0</v>
      </c>
      <c r="E16" s="909" t="str">
        <f>'Schedule | 2 Division (OLD)'!I8</f>
        <v>QW0TROBERY</v>
      </c>
      <c r="F16" s="30" t="str">
        <f t="shared" si="36"/>
        <v/>
      </c>
      <c r="G16" s="433" t="str">
        <f t="shared" si="37"/>
        <v/>
      </c>
      <c r="H16" s="884"/>
      <c r="I16" s="884"/>
      <c r="J16" s="874"/>
      <c r="K16" s="66"/>
      <c r="L16" s="55"/>
      <c r="M16" s="876"/>
      <c r="N16" s="890"/>
      <c r="O16" s="890"/>
      <c r="P16" s="891">
        <f t="shared" si="38"/>
        <v>0</v>
      </c>
      <c r="Q16" s="892" t="str">
        <f t="shared" si="39"/>
        <v>-</v>
      </c>
      <c r="S16" s="35"/>
      <c r="T16" s="66"/>
      <c r="V16" s="876"/>
      <c r="W16" s="890"/>
      <c r="X16" s="890"/>
      <c r="Y16" s="891">
        <f t="shared" si="40"/>
        <v>0</v>
      </c>
      <c r="Z16" s="892" t="str">
        <f t="shared" si="41"/>
        <v>-</v>
      </c>
      <c r="AA16" s="92"/>
      <c r="AB16" s="874"/>
      <c r="AC16" s="66"/>
      <c r="AD16" s="55"/>
      <c r="AE16" s="876"/>
      <c r="AF16" s="890"/>
      <c r="AG16" s="890"/>
      <c r="AH16" s="891">
        <f t="shared" si="42"/>
        <v>0</v>
      </c>
      <c r="AI16" s="892" t="str">
        <f t="shared" si="43"/>
        <v>-</v>
      </c>
      <c r="AJ16" s="92"/>
      <c r="AK16" s="874"/>
      <c r="AL16" s="66"/>
      <c r="AM16" s="55"/>
      <c r="AN16" s="876"/>
      <c r="AO16" s="890"/>
      <c r="AP16" s="890"/>
      <c r="AQ16" s="891">
        <f t="shared" si="44"/>
        <v>0</v>
      </c>
      <c r="AR16" s="892" t="str">
        <f t="shared" si="45"/>
        <v>-</v>
      </c>
      <c r="AS16" s="92"/>
      <c r="AT16" s="884"/>
      <c r="AU16" s="66"/>
      <c r="AV16" s="55"/>
      <c r="AW16" s="876"/>
      <c r="AX16" s="890"/>
      <c r="AY16" s="890"/>
      <c r="AZ16" s="891">
        <f t="shared" si="46"/>
        <v>0</v>
      </c>
      <c r="BA16" s="892" t="str">
        <f t="shared" si="47"/>
        <v>-</v>
      </c>
      <c r="BB16" s="92"/>
      <c r="BC16" s="884"/>
      <c r="BD16" s="66"/>
      <c r="BE16" s="55"/>
      <c r="BF16" s="876"/>
      <c r="BG16" s="890"/>
      <c r="BH16" s="890"/>
      <c r="BI16" s="891">
        <f t="shared" si="48"/>
        <v>0</v>
      </c>
      <c r="BJ16" s="892" t="str">
        <f t="shared" si="49"/>
        <v>-</v>
      </c>
      <c r="BK16" s="92"/>
      <c r="BL16" s="884"/>
      <c r="BM16" s="66"/>
      <c r="BN16" s="55"/>
      <c r="BO16" s="876"/>
      <c r="BP16" s="890"/>
      <c r="BQ16" s="890"/>
      <c r="BR16" s="891">
        <f t="shared" si="50"/>
        <v>0</v>
      </c>
      <c r="BS16" s="892" t="str">
        <f t="shared" si="51"/>
        <v>-</v>
      </c>
      <c r="BT16" s="92"/>
      <c r="BU16" s="884"/>
      <c r="BV16" s="66"/>
      <c r="BX16" s="876"/>
      <c r="BY16" s="890"/>
      <c r="BZ16" s="890"/>
      <c r="CA16" s="891">
        <f t="shared" si="52"/>
        <v>0</v>
      </c>
      <c r="CB16" s="892" t="str">
        <f t="shared" si="53"/>
        <v>-</v>
      </c>
      <c r="CC16" s="92"/>
      <c r="CD16" s="884"/>
      <c r="CE16" s="66"/>
      <c r="CG16" s="876"/>
      <c r="CH16" s="890"/>
      <c r="CI16" s="890"/>
      <c r="CJ16" s="891">
        <f t="shared" si="54"/>
        <v>0</v>
      </c>
      <c r="CK16" s="892" t="str">
        <f t="shared" si="55"/>
        <v>-</v>
      </c>
      <c r="CL16" s="92"/>
      <c r="CM16" s="884"/>
      <c r="CN16" s="66"/>
      <c r="CP16" s="876"/>
      <c r="CQ16" s="890"/>
      <c r="CR16" s="890"/>
      <c r="CS16" s="891">
        <f t="shared" si="56"/>
        <v>0</v>
      </c>
      <c r="CT16" s="892" t="str">
        <f t="shared" si="57"/>
        <v>-</v>
      </c>
      <c r="CU16" s="92"/>
      <c r="CV16" s="884"/>
      <c r="CW16" s="66"/>
      <c r="CY16" s="876"/>
      <c r="CZ16" s="890"/>
      <c r="DA16" s="890"/>
      <c r="DB16" s="891">
        <f t="shared" si="58"/>
        <v>0</v>
      </c>
      <c r="DC16" s="892" t="str">
        <f t="shared" si="59"/>
        <v>-</v>
      </c>
      <c r="DD16" s="92"/>
      <c r="DE16" s="884"/>
      <c r="DF16" s="66"/>
      <c r="DH16" s="876"/>
      <c r="DI16" s="890"/>
      <c r="DJ16" s="890"/>
      <c r="DK16" s="891">
        <f t="shared" si="60"/>
        <v>0</v>
      </c>
      <c r="DL16" s="892" t="str">
        <f t="shared" si="61"/>
        <v>-</v>
      </c>
      <c r="DM16" s="92"/>
      <c r="DN16" s="884"/>
      <c r="DO16" s="66"/>
      <c r="DP16" s="55"/>
      <c r="DQ16" s="876"/>
      <c r="DR16" s="890"/>
      <c r="DS16" s="890"/>
      <c r="DT16" s="891">
        <f t="shared" si="62"/>
        <v>0</v>
      </c>
      <c r="DU16" s="892" t="str">
        <f t="shared" si="63"/>
        <v>-</v>
      </c>
      <c r="DV16" s="92"/>
      <c r="DW16" s="884"/>
      <c r="DX16" s="66"/>
      <c r="DY16" s="55"/>
      <c r="DZ16" s="876"/>
      <c r="EA16" s="890"/>
      <c r="EB16" s="890"/>
      <c r="EC16" s="891">
        <f t="shared" si="64"/>
        <v>0</v>
      </c>
      <c r="ED16" s="892" t="str">
        <f t="shared" si="65"/>
        <v>-</v>
      </c>
      <c r="EE16" s="92"/>
    </row>
    <row r="17">
      <c r="A17" s="33">
        <f>'Schedule | 2 Division (OLD)'!J11</f>
        <v>5</v>
      </c>
      <c r="B17" s="30" t="str">
        <f>'Schedule | 2 Division (OLD)'!E11</f>
        <v>Hoax</v>
      </c>
      <c r="C17" s="906">
        <f>'Schedule | 2 Division (OLD)'!F11</f>
        <v>0</v>
      </c>
      <c r="D17" s="906">
        <f>'Schedule | 2 Division (OLD)'!H11</f>
        <v>0</v>
      </c>
      <c r="E17" s="30" t="str">
        <f>'Schedule | 2 Division (OLD)'!I11</f>
        <v>VIOLENCE</v>
      </c>
      <c r="F17" s="30" t="str">
        <f t="shared" si="36"/>
        <v/>
      </c>
      <c r="G17" s="433" t="str">
        <f t="shared" si="37"/>
        <v/>
      </c>
      <c r="H17" s="884"/>
      <c r="I17" s="884"/>
      <c r="J17" s="874"/>
      <c r="K17" s="66"/>
      <c r="L17" s="55"/>
      <c r="M17" s="876"/>
      <c r="N17" s="890"/>
      <c r="O17" s="890"/>
      <c r="P17" s="891">
        <f t="shared" si="38"/>
        <v>0</v>
      </c>
      <c r="Q17" s="892" t="str">
        <f t="shared" si="39"/>
        <v>-</v>
      </c>
      <c r="S17" s="35"/>
      <c r="T17" s="66"/>
      <c r="V17" s="876"/>
      <c r="W17" s="890"/>
      <c r="X17" s="890"/>
      <c r="Y17" s="891">
        <f t="shared" si="40"/>
        <v>0</v>
      </c>
      <c r="Z17" s="892" t="str">
        <f t="shared" si="41"/>
        <v>-</v>
      </c>
      <c r="AA17" s="92"/>
      <c r="AB17" s="874"/>
      <c r="AC17" s="66"/>
      <c r="AD17" s="55"/>
      <c r="AE17" s="876"/>
      <c r="AF17" s="890"/>
      <c r="AG17" s="890"/>
      <c r="AH17" s="891">
        <f t="shared" si="42"/>
        <v>0</v>
      </c>
      <c r="AI17" s="892" t="str">
        <f t="shared" si="43"/>
        <v>-</v>
      </c>
      <c r="AJ17" s="92"/>
      <c r="AK17" s="874"/>
      <c r="AL17" s="66"/>
      <c r="AM17" s="55"/>
      <c r="AN17" s="876"/>
      <c r="AO17" s="890"/>
      <c r="AP17" s="890"/>
      <c r="AQ17" s="891">
        <f t="shared" si="44"/>
        <v>0</v>
      </c>
      <c r="AR17" s="892" t="str">
        <f t="shared" si="45"/>
        <v>-</v>
      </c>
      <c r="AS17" s="92"/>
      <c r="AT17" s="884"/>
      <c r="AU17" s="66"/>
      <c r="AV17" s="55"/>
      <c r="AW17" s="876"/>
      <c r="AX17" s="890"/>
      <c r="AY17" s="890"/>
      <c r="AZ17" s="891">
        <f t="shared" si="46"/>
        <v>0</v>
      </c>
      <c r="BA17" s="892" t="str">
        <f t="shared" si="47"/>
        <v>-</v>
      </c>
      <c r="BB17" s="92"/>
      <c r="BC17" s="884"/>
      <c r="BD17" s="66"/>
      <c r="BE17" s="55"/>
      <c r="BF17" s="876"/>
      <c r="BG17" s="890"/>
      <c r="BH17" s="890"/>
      <c r="BI17" s="891">
        <f t="shared" si="48"/>
        <v>0</v>
      </c>
      <c r="BJ17" s="892" t="str">
        <f t="shared" si="49"/>
        <v>-</v>
      </c>
      <c r="BK17" s="92"/>
      <c r="BL17" s="884"/>
      <c r="BM17" s="66"/>
      <c r="BN17" s="55"/>
      <c r="BO17" s="876"/>
      <c r="BP17" s="890"/>
      <c r="BQ17" s="890"/>
      <c r="BR17" s="891">
        <f t="shared" si="50"/>
        <v>0</v>
      </c>
      <c r="BS17" s="892" t="str">
        <f t="shared" si="51"/>
        <v>-</v>
      </c>
      <c r="BT17" s="92"/>
      <c r="BU17" s="884"/>
      <c r="BV17" s="66"/>
      <c r="BX17" s="876"/>
      <c r="BY17" s="890"/>
      <c r="BZ17" s="890"/>
      <c r="CA17" s="891">
        <f t="shared" si="52"/>
        <v>0</v>
      </c>
      <c r="CB17" s="892" t="str">
        <f t="shared" si="53"/>
        <v>-</v>
      </c>
      <c r="CC17" s="92"/>
      <c r="CD17" s="884"/>
      <c r="CE17" s="66"/>
      <c r="CG17" s="876"/>
      <c r="CH17" s="890"/>
      <c r="CI17" s="890"/>
      <c r="CJ17" s="891">
        <f t="shared" si="54"/>
        <v>0</v>
      </c>
      <c r="CK17" s="892" t="str">
        <f t="shared" si="55"/>
        <v>-</v>
      </c>
      <c r="CL17" s="92"/>
      <c r="CM17" s="884"/>
      <c r="CN17" s="66"/>
      <c r="CP17" s="876"/>
      <c r="CQ17" s="890"/>
      <c r="CR17" s="890"/>
      <c r="CS17" s="891">
        <f t="shared" si="56"/>
        <v>0</v>
      </c>
      <c r="CT17" s="892" t="str">
        <f t="shared" si="57"/>
        <v>-</v>
      </c>
      <c r="CU17" s="92"/>
      <c r="CV17" s="884"/>
      <c r="CW17" s="66"/>
      <c r="CY17" s="876"/>
      <c r="CZ17" s="890"/>
      <c r="DA17" s="890"/>
      <c r="DB17" s="891">
        <f t="shared" si="58"/>
        <v>0</v>
      </c>
      <c r="DC17" s="892" t="str">
        <f t="shared" si="59"/>
        <v>-</v>
      </c>
      <c r="DD17" s="92"/>
      <c r="DE17" s="884"/>
      <c r="DF17" s="66"/>
      <c r="DH17" s="876"/>
      <c r="DI17" s="890"/>
      <c r="DJ17" s="890"/>
      <c r="DK17" s="891">
        <f t="shared" si="60"/>
        <v>0</v>
      </c>
      <c r="DL17" s="892" t="str">
        <f t="shared" si="61"/>
        <v>-</v>
      </c>
      <c r="DM17" s="92"/>
      <c r="DN17" s="884"/>
      <c r="DO17" s="66"/>
      <c r="DP17" s="55"/>
      <c r="DQ17" s="876"/>
      <c r="DR17" s="890"/>
      <c r="DS17" s="890"/>
      <c r="DT17" s="891">
        <f t="shared" si="62"/>
        <v>0</v>
      </c>
      <c r="DU17" s="892" t="str">
        <f t="shared" si="63"/>
        <v>-</v>
      </c>
      <c r="DV17" s="92"/>
      <c r="DW17" s="884"/>
      <c r="DX17" s="66"/>
      <c r="DY17" s="55"/>
      <c r="DZ17" s="876"/>
      <c r="EA17" s="890"/>
      <c r="EB17" s="890"/>
      <c r="EC17" s="891">
        <f t="shared" si="64"/>
        <v>0</v>
      </c>
      <c r="ED17" s="892" t="str">
        <f t="shared" si="65"/>
        <v>-</v>
      </c>
      <c r="EE17" s="92"/>
    </row>
    <row r="18">
      <c r="A18" s="33">
        <f>'Schedule | 2 Division (OLD)'!J12</f>
        <v>6</v>
      </c>
      <c r="B18" s="30" t="str">
        <f>'Schedule | 2 Division (OLD)'!E12</f>
        <v>ALFA</v>
      </c>
      <c r="C18" s="906">
        <f>'Schedule | 2 Division (OLD)'!F12</f>
        <v>0</v>
      </c>
      <c r="D18" s="906">
        <f>'Schedule | 2 Division (OLD)'!H12</f>
        <v>0</v>
      </c>
      <c r="E18" s="30" t="str">
        <f>'Schedule | 2 Division (OLD)'!I12</f>
        <v>QW0TROBERY</v>
      </c>
      <c r="F18" s="30" t="str">
        <f t="shared" si="36"/>
        <v/>
      </c>
      <c r="G18" s="433" t="str">
        <f t="shared" si="37"/>
        <v/>
      </c>
      <c r="H18" s="884"/>
      <c r="I18" s="884"/>
      <c r="J18" s="874"/>
      <c r="K18" s="66"/>
      <c r="L18" s="55"/>
      <c r="M18" s="876"/>
      <c r="N18" s="890"/>
      <c r="O18" s="890"/>
      <c r="P18" s="891">
        <f t="shared" si="38"/>
        <v>0</v>
      </c>
      <c r="Q18" s="892" t="str">
        <f t="shared" si="39"/>
        <v>-</v>
      </c>
      <c r="S18" s="35"/>
      <c r="T18" s="66"/>
      <c r="V18" s="876"/>
      <c r="W18" s="890"/>
      <c r="X18" s="890"/>
      <c r="Y18" s="891">
        <f t="shared" si="40"/>
        <v>0</v>
      </c>
      <c r="Z18" s="892" t="str">
        <f t="shared" si="41"/>
        <v>-</v>
      </c>
      <c r="AA18" s="92"/>
      <c r="AB18" s="874"/>
      <c r="AC18" s="66"/>
      <c r="AD18" s="55"/>
      <c r="AE18" s="876"/>
      <c r="AF18" s="890"/>
      <c r="AG18" s="890"/>
      <c r="AH18" s="891">
        <f t="shared" si="42"/>
        <v>0</v>
      </c>
      <c r="AI18" s="892" t="str">
        <f t="shared" si="43"/>
        <v>-</v>
      </c>
      <c r="AJ18" s="92"/>
      <c r="AK18" s="874"/>
      <c r="AL18" s="66"/>
      <c r="AM18" s="55"/>
      <c r="AN18" s="876"/>
      <c r="AO18" s="890"/>
      <c r="AP18" s="890"/>
      <c r="AQ18" s="891">
        <f t="shared" si="44"/>
        <v>0</v>
      </c>
      <c r="AR18" s="892" t="str">
        <f t="shared" si="45"/>
        <v>-</v>
      </c>
      <c r="AS18" s="92"/>
      <c r="AT18" s="884"/>
      <c r="AU18" s="66"/>
      <c r="AV18" s="55"/>
      <c r="AW18" s="876"/>
      <c r="AX18" s="890"/>
      <c r="AY18" s="890"/>
      <c r="AZ18" s="891">
        <f t="shared" si="46"/>
        <v>0</v>
      </c>
      <c r="BA18" s="892" t="str">
        <f t="shared" si="47"/>
        <v>-</v>
      </c>
      <c r="BB18" s="92"/>
      <c r="BC18" s="884"/>
      <c r="BD18" s="66"/>
      <c r="BE18" s="55"/>
      <c r="BF18" s="876"/>
      <c r="BG18" s="890"/>
      <c r="BH18" s="890"/>
      <c r="BI18" s="891">
        <f t="shared" si="48"/>
        <v>0</v>
      </c>
      <c r="BJ18" s="892" t="str">
        <f t="shared" si="49"/>
        <v>-</v>
      </c>
      <c r="BK18" s="92"/>
      <c r="BL18" s="884"/>
      <c r="BM18" s="66"/>
      <c r="BN18" s="55"/>
      <c r="BO18" s="876"/>
      <c r="BP18" s="890"/>
      <c r="BQ18" s="890"/>
      <c r="BR18" s="891">
        <f t="shared" si="50"/>
        <v>0</v>
      </c>
      <c r="BS18" s="892" t="str">
        <f t="shared" si="51"/>
        <v>-</v>
      </c>
      <c r="BT18" s="92"/>
      <c r="BU18" s="884"/>
      <c r="BV18" s="66"/>
      <c r="BX18" s="876"/>
      <c r="BY18" s="890"/>
      <c r="BZ18" s="890"/>
      <c r="CA18" s="891">
        <f t="shared" si="52"/>
        <v>0</v>
      </c>
      <c r="CB18" s="892" t="str">
        <f t="shared" si="53"/>
        <v>-</v>
      </c>
      <c r="CC18" s="92"/>
      <c r="CD18" s="884"/>
      <c r="CE18" s="66"/>
      <c r="CG18" s="876"/>
      <c r="CH18" s="890"/>
      <c r="CI18" s="890"/>
      <c r="CJ18" s="891">
        <f t="shared" si="54"/>
        <v>0</v>
      </c>
      <c r="CK18" s="892" t="str">
        <f t="shared" si="55"/>
        <v>-</v>
      </c>
      <c r="CL18" s="92"/>
      <c r="CM18" s="884"/>
      <c r="CN18" s="66"/>
      <c r="CP18" s="876"/>
      <c r="CQ18" s="890"/>
      <c r="CR18" s="890"/>
      <c r="CS18" s="891">
        <f t="shared" si="56"/>
        <v>0</v>
      </c>
      <c r="CT18" s="892" t="str">
        <f t="shared" si="57"/>
        <v>-</v>
      </c>
      <c r="CU18" s="92"/>
      <c r="CV18" s="884"/>
      <c r="CW18" s="66"/>
      <c r="CY18" s="876"/>
      <c r="CZ18" s="890"/>
      <c r="DA18" s="890"/>
      <c r="DB18" s="891">
        <f t="shared" si="58"/>
        <v>0</v>
      </c>
      <c r="DC18" s="892" t="str">
        <f t="shared" si="59"/>
        <v>-</v>
      </c>
      <c r="DD18" s="92"/>
      <c r="DE18" s="884"/>
      <c r="DF18" s="66"/>
      <c r="DH18" s="876"/>
      <c r="DI18" s="890"/>
      <c r="DJ18" s="890"/>
      <c r="DK18" s="891">
        <f t="shared" si="60"/>
        <v>0</v>
      </c>
      <c r="DL18" s="892" t="str">
        <f t="shared" si="61"/>
        <v>-</v>
      </c>
      <c r="DM18" s="92"/>
      <c r="DN18" s="884"/>
      <c r="DO18" s="66"/>
      <c r="DP18" s="55"/>
      <c r="DQ18" s="876"/>
      <c r="DR18" s="890"/>
      <c r="DS18" s="890"/>
      <c r="DT18" s="891">
        <f t="shared" si="62"/>
        <v>0</v>
      </c>
      <c r="DU18" s="892" t="str">
        <f t="shared" si="63"/>
        <v>-</v>
      </c>
      <c r="DV18" s="92"/>
      <c r="DW18" s="884"/>
      <c r="DX18" s="66"/>
      <c r="DY18" s="55"/>
      <c r="DZ18" s="876"/>
      <c r="EA18" s="890"/>
      <c r="EB18" s="890"/>
      <c r="EC18" s="891">
        <f t="shared" si="64"/>
        <v>0</v>
      </c>
      <c r="ED18" s="892" t="str">
        <f t="shared" si="65"/>
        <v>-</v>
      </c>
      <c r="EE18" s="92"/>
    </row>
    <row r="19">
      <c r="A19" s="33">
        <f>'Schedule | 2 Division (OLD)'!J13</f>
        <v>7</v>
      </c>
      <c r="B19" s="30" t="str">
        <f>'Schedule | 2 Division (OLD)'!E13</f>
        <v>DISTANCE</v>
      </c>
      <c r="C19" s="906">
        <f>'Schedule | 2 Division (OLD)'!F13</f>
        <v>0</v>
      </c>
      <c r="D19" s="906">
        <f>'Schedule | 2 Division (OLD)'!H13</f>
        <v>0</v>
      </c>
      <c r="E19" s="30" t="str">
        <f>'Schedule | 2 Division (OLD)'!I13</f>
        <v>PARADOX</v>
      </c>
      <c r="F19" s="30" t="str">
        <f t="shared" si="36"/>
        <v/>
      </c>
      <c r="G19" s="433" t="str">
        <f t="shared" si="37"/>
        <v/>
      </c>
      <c r="H19" s="884"/>
      <c r="I19" s="884"/>
      <c r="J19" s="874"/>
      <c r="K19" s="66"/>
      <c r="L19" s="55"/>
      <c r="M19" s="893"/>
      <c r="N19" s="894"/>
      <c r="O19" s="894"/>
      <c r="P19" s="895">
        <f t="shared" si="38"/>
        <v>0</v>
      </c>
      <c r="Q19" s="896" t="str">
        <f t="shared" si="39"/>
        <v>-</v>
      </c>
      <c r="S19" s="35"/>
      <c r="T19" s="66"/>
      <c r="V19" s="893"/>
      <c r="W19" s="894"/>
      <c r="X19" s="894"/>
      <c r="Y19" s="895">
        <f t="shared" si="40"/>
        <v>0</v>
      </c>
      <c r="Z19" s="896" t="str">
        <f t="shared" si="41"/>
        <v>-</v>
      </c>
      <c r="AA19" s="92"/>
      <c r="AB19" s="874"/>
      <c r="AC19" s="66"/>
      <c r="AD19" s="55"/>
      <c r="AE19" s="893"/>
      <c r="AF19" s="894"/>
      <c r="AG19" s="894"/>
      <c r="AH19" s="895">
        <f t="shared" si="42"/>
        <v>0</v>
      </c>
      <c r="AI19" s="896" t="str">
        <f t="shared" si="43"/>
        <v>-</v>
      </c>
      <c r="AJ19" s="92"/>
      <c r="AK19" s="874"/>
      <c r="AL19" s="66"/>
      <c r="AM19" s="55"/>
      <c r="AN19" s="893"/>
      <c r="AO19" s="894"/>
      <c r="AP19" s="894"/>
      <c r="AQ19" s="895">
        <f t="shared" si="44"/>
        <v>0</v>
      </c>
      <c r="AR19" s="896" t="str">
        <f t="shared" si="45"/>
        <v>-</v>
      </c>
      <c r="AS19" s="92"/>
      <c r="AT19" s="884"/>
      <c r="AU19" s="66"/>
      <c r="AV19" s="55"/>
      <c r="AW19" s="893"/>
      <c r="AX19" s="894"/>
      <c r="AY19" s="894"/>
      <c r="AZ19" s="895">
        <f t="shared" si="46"/>
        <v>0</v>
      </c>
      <c r="BA19" s="896" t="str">
        <f t="shared" si="47"/>
        <v>-</v>
      </c>
      <c r="BB19" s="92"/>
      <c r="BC19" s="884"/>
      <c r="BD19" s="66"/>
      <c r="BE19" s="55"/>
      <c r="BF19" s="893"/>
      <c r="BG19" s="894"/>
      <c r="BH19" s="894"/>
      <c r="BI19" s="895">
        <f t="shared" si="48"/>
        <v>0</v>
      </c>
      <c r="BJ19" s="896" t="str">
        <f t="shared" si="49"/>
        <v>-</v>
      </c>
      <c r="BK19" s="92"/>
      <c r="BL19" s="884"/>
      <c r="BM19" s="66"/>
      <c r="BN19" s="55"/>
      <c r="BO19" s="893"/>
      <c r="BP19" s="894"/>
      <c r="BQ19" s="894"/>
      <c r="BR19" s="895">
        <f t="shared" si="50"/>
        <v>0</v>
      </c>
      <c r="BS19" s="896" t="str">
        <f t="shared" si="51"/>
        <v>-</v>
      </c>
      <c r="BT19" s="92"/>
      <c r="BU19" s="884"/>
      <c r="BV19" s="66"/>
      <c r="BX19" s="893"/>
      <c r="BY19" s="894"/>
      <c r="BZ19" s="894"/>
      <c r="CA19" s="895">
        <f t="shared" si="52"/>
        <v>0</v>
      </c>
      <c r="CB19" s="896" t="str">
        <f t="shared" si="53"/>
        <v>-</v>
      </c>
      <c r="CC19" s="92"/>
      <c r="CD19" s="884"/>
      <c r="CE19" s="66"/>
      <c r="CG19" s="893"/>
      <c r="CH19" s="894"/>
      <c r="CI19" s="894"/>
      <c r="CJ19" s="895">
        <f t="shared" si="54"/>
        <v>0</v>
      </c>
      <c r="CK19" s="896" t="str">
        <f t="shared" si="55"/>
        <v>-</v>
      </c>
      <c r="CL19" s="92"/>
      <c r="CM19" s="884"/>
      <c r="CN19" s="66"/>
      <c r="CP19" s="893"/>
      <c r="CQ19" s="894"/>
      <c r="CR19" s="894"/>
      <c r="CS19" s="895">
        <f t="shared" si="56"/>
        <v>0</v>
      </c>
      <c r="CT19" s="896" t="str">
        <f t="shared" si="57"/>
        <v>-</v>
      </c>
      <c r="CU19" s="92"/>
      <c r="CV19" s="884"/>
      <c r="CW19" s="66"/>
      <c r="CY19" s="893"/>
      <c r="CZ19" s="894"/>
      <c r="DA19" s="894"/>
      <c r="DB19" s="895">
        <f t="shared" si="58"/>
        <v>0</v>
      </c>
      <c r="DC19" s="896" t="str">
        <f t="shared" si="59"/>
        <v>-</v>
      </c>
      <c r="DD19" s="92"/>
      <c r="DE19" s="884"/>
      <c r="DF19" s="66"/>
      <c r="DH19" s="893"/>
      <c r="DI19" s="894"/>
      <c r="DJ19" s="894"/>
      <c r="DK19" s="895">
        <f t="shared" si="60"/>
        <v>0</v>
      </c>
      <c r="DL19" s="896" t="str">
        <f t="shared" si="61"/>
        <v>-</v>
      </c>
      <c r="DM19" s="92"/>
      <c r="DN19" s="884"/>
      <c r="DO19" s="66"/>
      <c r="DP19" s="55"/>
      <c r="DQ19" s="893"/>
      <c r="DR19" s="894"/>
      <c r="DS19" s="894"/>
      <c r="DT19" s="895">
        <f t="shared" si="62"/>
        <v>0</v>
      </c>
      <c r="DU19" s="896" t="str">
        <f t="shared" si="63"/>
        <v>-</v>
      </c>
      <c r="DV19" s="92"/>
      <c r="DW19" s="884"/>
      <c r="DX19" s="66"/>
      <c r="DY19" s="55"/>
      <c r="DZ19" s="893"/>
      <c r="EA19" s="894"/>
      <c r="EB19" s="894"/>
      <c r="EC19" s="895">
        <f t="shared" si="64"/>
        <v>0</v>
      </c>
      <c r="ED19" s="896" t="str">
        <f t="shared" si="65"/>
        <v>-</v>
      </c>
      <c r="EE19" s="92"/>
    </row>
    <row r="20">
      <c r="A20" s="33">
        <f>'Schedule | 2 Division (OLD)'!J14</f>
        <v>8</v>
      </c>
      <c r="B20" s="30" t="str">
        <f>'Schedule | 2 Division (OLD)'!E14</f>
        <v>ICM</v>
      </c>
      <c r="C20" s="906">
        <f>'Schedule | 2 Division (OLD)'!F14</f>
        <v>0</v>
      </c>
      <c r="D20" s="906">
        <f>'Schedule | 2 Division (OLD)'!H14</f>
        <v>0</v>
      </c>
      <c r="E20" s="30" t="str">
        <f>'Schedule | 2 Division (OLD)'!I14</f>
        <v>Green Hustle</v>
      </c>
      <c r="F20" s="30" t="str">
        <f t="shared" si="36"/>
        <v/>
      </c>
      <c r="G20" s="433" t="str">
        <f t="shared" si="37"/>
        <v/>
      </c>
      <c r="H20" s="884"/>
      <c r="I20" s="884"/>
      <c r="J20" s="874"/>
      <c r="K20" s="94"/>
      <c r="L20" s="61"/>
      <c r="M20" s="898">
        <f>COUNTIF(N13:N19, "W")</f>
        <v>0</v>
      </c>
      <c r="N20" s="144"/>
      <c r="O20" s="894" t="s">
        <v>816</v>
      </c>
      <c r="P20" s="899">
        <f>COUNTIF(P13:P19, "W")</f>
        <v>0</v>
      </c>
      <c r="Q20" s="93"/>
      <c r="R20" s="22"/>
      <c r="S20" s="35"/>
      <c r="T20" s="94"/>
      <c r="V20" s="898">
        <f>COUNTIF(W13:W19, "W")</f>
        <v>0</v>
      </c>
      <c r="W20" s="144"/>
      <c r="X20" s="894" t="s">
        <v>816</v>
      </c>
      <c r="Y20" s="899">
        <f>COUNTIF(Y13:Y19, "W")</f>
        <v>0</v>
      </c>
      <c r="Z20" s="93"/>
      <c r="AA20" s="93"/>
      <c r="AB20" s="874"/>
      <c r="AC20" s="94"/>
      <c r="AD20" s="61"/>
      <c r="AE20" s="898">
        <f>COUNTIF(AF13:AF19, "W")</f>
        <v>0</v>
      </c>
      <c r="AF20" s="144"/>
      <c r="AG20" s="894" t="s">
        <v>816</v>
      </c>
      <c r="AH20" s="899">
        <f>COUNTIF(AH13:AH19, "W")</f>
        <v>0</v>
      </c>
      <c r="AI20" s="93"/>
      <c r="AJ20" s="93"/>
      <c r="AK20" s="874"/>
      <c r="AL20" s="94"/>
      <c r="AM20" s="61"/>
      <c r="AN20" s="898">
        <f>COUNTIF(AO13:AO19, "W")</f>
        <v>0</v>
      </c>
      <c r="AO20" s="144"/>
      <c r="AP20" s="894" t="s">
        <v>816</v>
      </c>
      <c r="AQ20" s="899">
        <f>COUNTIF(AQ13:AQ19, "W")</f>
        <v>0</v>
      </c>
      <c r="AR20" s="93"/>
      <c r="AS20" s="93"/>
      <c r="AT20" s="884"/>
      <c r="AU20" s="94"/>
      <c r="AV20" s="61"/>
      <c r="AW20" s="898">
        <f>COUNTIF(AX13:AX19, "W")</f>
        <v>0</v>
      </c>
      <c r="AX20" s="144"/>
      <c r="AY20" s="894" t="s">
        <v>816</v>
      </c>
      <c r="AZ20" s="899">
        <f>COUNTIF(AZ13:AZ19, "W")</f>
        <v>0</v>
      </c>
      <c r="BA20" s="93"/>
      <c r="BB20" s="93"/>
      <c r="BC20" s="884"/>
      <c r="BD20" s="94"/>
      <c r="BE20" s="61"/>
      <c r="BF20" s="898">
        <f>COUNTIF(BG13:BG19, "W")</f>
        <v>0</v>
      </c>
      <c r="BG20" s="144"/>
      <c r="BH20" s="894" t="s">
        <v>816</v>
      </c>
      <c r="BI20" s="899">
        <f>COUNTIF(BI13:BI19, "W")</f>
        <v>0</v>
      </c>
      <c r="BJ20" s="93"/>
      <c r="BK20" s="93"/>
      <c r="BL20" s="884"/>
      <c r="BM20" s="94"/>
      <c r="BN20" s="61"/>
      <c r="BO20" s="898">
        <f>COUNTIF(BP13:BP19, "W")</f>
        <v>0</v>
      </c>
      <c r="BP20" s="144"/>
      <c r="BQ20" s="894" t="s">
        <v>816</v>
      </c>
      <c r="BR20" s="899">
        <f>COUNTIF(BR13:BR19, "W")</f>
        <v>0</v>
      </c>
      <c r="BS20" s="93"/>
      <c r="BT20" s="93"/>
      <c r="BU20" s="884"/>
      <c r="BV20" s="94"/>
      <c r="BX20" s="898">
        <f>COUNTIF(BY13:BY19, "W")</f>
        <v>0</v>
      </c>
      <c r="BY20" s="144"/>
      <c r="BZ20" s="894" t="s">
        <v>816</v>
      </c>
      <c r="CA20" s="899">
        <f>COUNTIF(CA13:CA19, "W")</f>
        <v>0</v>
      </c>
      <c r="CB20" s="93"/>
      <c r="CC20" s="92"/>
      <c r="CD20" s="884"/>
      <c r="CE20" s="94"/>
      <c r="CG20" s="898">
        <f>COUNTIF(CH13:CH19, "W")</f>
        <v>0</v>
      </c>
      <c r="CH20" s="144"/>
      <c r="CI20" s="894" t="s">
        <v>816</v>
      </c>
      <c r="CJ20" s="899">
        <f>COUNTIF(CJ13:CJ19, "W")</f>
        <v>0</v>
      </c>
      <c r="CK20" s="93"/>
      <c r="CL20" s="92"/>
      <c r="CM20" s="884"/>
      <c r="CN20" s="94"/>
      <c r="CP20" s="898">
        <f>COUNTIF(CQ13:CQ19, "W")</f>
        <v>0</v>
      </c>
      <c r="CQ20" s="144"/>
      <c r="CR20" s="894" t="s">
        <v>816</v>
      </c>
      <c r="CS20" s="899">
        <f>COUNTIF(CS13:CS19, "W")</f>
        <v>0</v>
      </c>
      <c r="CT20" s="93"/>
      <c r="CU20" s="92"/>
      <c r="CV20" s="884"/>
      <c r="CW20" s="94"/>
      <c r="CY20" s="898">
        <f>COUNTIF(CZ13:CZ19, "W")</f>
        <v>0</v>
      </c>
      <c r="CZ20" s="144"/>
      <c r="DA20" s="894" t="s">
        <v>816</v>
      </c>
      <c r="DB20" s="899">
        <f>COUNTIF(DB13:DB19, "W")</f>
        <v>0</v>
      </c>
      <c r="DC20" s="93"/>
      <c r="DD20" s="92"/>
      <c r="DE20" s="884"/>
      <c r="DF20" s="94"/>
      <c r="DH20" s="898">
        <f>COUNTIF(DI13:DI19, "W")</f>
        <v>0</v>
      </c>
      <c r="DI20" s="144"/>
      <c r="DJ20" s="894" t="s">
        <v>816</v>
      </c>
      <c r="DK20" s="899">
        <f>COUNTIF(DK13:DK19, "W")</f>
        <v>0</v>
      </c>
      <c r="DL20" s="93"/>
      <c r="DM20" s="92"/>
      <c r="DN20" s="884"/>
      <c r="DO20" s="94"/>
      <c r="DP20" s="61"/>
      <c r="DQ20" s="898">
        <f>COUNTIF(DR13:DR19, "W")</f>
        <v>0</v>
      </c>
      <c r="DR20" s="144"/>
      <c r="DS20" s="894" t="s">
        <v>816</v>
      </c>
      <c r="DT20" s="899">
        <f>COUNTIF(DT13:DT19, "W")</f>
        <v>0</v>
      </c>
      <c r="DU20" s="93"/>
      <c r="DV20" s="93"/>
      <c r="DW20" s="884"/>
      <c r="DX20" s="94"/>
      <c r="DY20" s="61"/>
      <c r="DZ20" s="898">
        <f>COUNTIF(EA13:EA19, "W")</f>
        <v>0</v>
      </c>
      <c r="EA20" s="144"/>
      <c r="EB20" s="894" t="s">
        <v>816</v>
      </c>
      <c r="EC20" s="899">
        <f>COUNTIF(EC13:EC19, "W")</f>
        <v>0</v>
      </c>
      <c r="ED20" s="93"/>
      <c r="EE20" s="93"/>
    </row>
    <row r="21" ht="18.0" customHeight="1">
      <c r="A21" s="33">
        <f>'Schedule | 2 Division (OLD)'!J17</f>
        <v>9</v>
      </c>
      <c r="B21" s="30" t="str">
        <f>'Schedule | 2 Division (OLD)'!E17</f>
        <v>ALFA</v>
      </c>
      <c r="C21" s="906">
        <f>'Schedule | 2 Division (OLD)'!F17</f>
        <v>0</v>
      </c>
      <c r="D21" s="906">
        <f>'Schedule | 2 Division (OLD)'!H17</f>
        <v>0</v>
      </c>
      <c r="E21" s="30" t="str">
        <f>'Schedule | 2 Division (OLD)'!I17</f>
        <v>ICM</v>
      </c>
      <c r="F21" s="30" t="str">
        <f t="shared" si="36"/>
        <v/>
      </c>
      <c r="G21" s="433" t="str">
        <f t="shared" si="37"/>
        <v/>
      </c>
      <c r="H21" s="884"/>
      <c r="I21" s="884"/>
      <c r="J21" s="862"/>
      <c r="K21" s="902"/>
      <c r="L21" s="903"/>
      <c r="M21" s="903"/>
      <c r="N21" s="903"/>
      <c r="O21" s="903"/>
      <c r="P21" s="903"/>
      <c r="Q21" s="903"/>
      <c r="R21" s="903"/>
      <c r="S21" s="862"/>
      <c r="T21" s="902"/>
      <c r="U21" s="903"/>
      <c r="V21" s="903"/>
      <c r="W21" s="903"/>
      <c r="X21" s="903"/>
      <c r="Y21" s="903"/>
      <c r="Z21" s="903"/>
      <c r="AA21" s="903"/>
      <c r="AB21" s="862"/>
      <c r="AC21" s="902"/>
      <c r="AD21" s="903"/>
      <c r="AE21" s="903"/>
      <c r="AF21" s="903"/>
      <c r="AG21" s="903"/>
      <c r="AH21" s="903"/>
      <c r="AI21" s="903"/>
      <c r="AJ21" s="903"/>
      <c r="AK21" s="862"/>
      <c r="AL21" s="902"/>
      <c r="AM21" s="903"/>
      <c r="AN21" s="903"/>
      <c r="AO21" s="903"/>
      <c r="AP21" s="903"/>
      <c r="AQ21" s="903"/>
      <c r="AR21" s="903"/>
      <c r="AS21" s="903"/>
      <c r="AT21" s="870"/>
      <c r="AU21" s="902"/>
      <c r="AV21" s="903"/>
      <c r="AW21" s="903"/>
      <c r="AX21" s="903"/>
      <c r="AY21" s="903"/>
      <c r="AZ21" s="903"/>
      <c r="BA21" s="903"/>
      <c r="BB21" s="903"/>
      <c r="BC21" s="870"/>
      <c r="BD21" s="902"/>
      <c r="BE21" s="903"/>
      <c r="BF21" s="903"/>
      <c r="BG21" s="903"/>
      <c r="BH21" s="903"/>
      <c r="BI21" s="903"/>
      <c r="BJ21" s="903"/>
      <c r="BK21" s="903"/>
      <c r="BL21" s="870"/>
      <c r="BM21" s="902"/>
      <c r="BN21" s="903"/>
      <c r="BO21" s="903"/>
      <c r="BP21" s="903"/>
      <c r="BQ21" s="903"/>
      <c r="BR21" s="903"/>
      <c r="BS21" s="903"/>
      <c r="BT21" s="903"/>
      <c r="BU21" s="870"/>
      <c r="BV21" s="902"/>
      <c r="BW21" s="903"/>
      <c r="BX21" s="903"/>
      <c r="BY21" s="903"/>
      <c r="BZ21" s="903"/>
      <c r="CA21" s="903"/>
      <c r="CB21" s="903"/>
      <c r="CC21" s="903"/>
      <c r="CD21" s="870"/>
      <c r="CE21" s="902"/>
      <c r="CF21" s="903"/>
      <c r="CG21" s="903"/>
      <c r="CH21" s="903"/>
      <c r="CI21" s="903"/>
      <c r="CJ21" s="903"/>
      <c r="CK21" s="903"/>
      <c r="CL21" s="903"/>
      <c r="CM21" s="870"/>
      <c r="CN21" s="902"/>
      <c r="CO21" s="903"/>
      <c r="CP21" s="903"/>
      <c r="CQ21" s="903"/>
      <c r="CR21" s="903"/>
      <c r="CS21" s="903"/>
      <c r="CT21" s="903"/>
      <c r="CU21" s="903"/>
      <c r="CV21" s="870"/>
      <c r="CW21" s="902"/>
      <c r="CX21" s="903"/>
      <c r="CY21" s="903"/>
      <c r="CZ21" s="903"/>
      <c r="DA21" s="903"/>
      <c r="DB21" s="903"/>
      <c r="DC21" s="903"/>
      <c r="DD21" s="903"/>
      <c r="DE21" s="870"/>
      <c r="DF21" s="902"/>
      <c r="DG21" s="903"/>
      <c r="DH21" s="903"/>
      <c r="DI21" s="903"/>
      <c r="DJ21" s="903"/>
      <c r="DK21" s="903"/>
      <c r="DL21" s="903"/>
      <c r="DM21" s="903"/>
      <c r="DN21" s="870"/>
      <c r="DO21" s="902"/>
      <c r="DP21" s="903"/>
      <c r="DQ21" s="903"/>
      <c r="DR21" s="903"/>
      <c r="DS21" s="903"/>
      <c r="DT21" s="903"/>
      <c r="DU21" s="903"/>
      <c r="DV21" s="903"/>
      <c r="DW21" s="870"/>
      <c r="DX21" s="902"/>
      <c r="DY21" s="903"/>
      <c r="DZ21" s="903"/>
      <c r="EA21" s="903"/>
      <c r="EB21" s="903"/>
      <c r="EC21" s="903"/>
      <c r="ED21" s="903"/>
      <c r="EE21" s="903"/>
    </row>
    <row r="22">
      <c r="A22" s="33">
        <f>'Schedule | 2 Division (OLD)'!J18</f>
        <v>10</v>
      </c>
      <c r="B22" s="30" t="str">
        <f>'Schedule | 2 Division (OLD)'!E18</f>
        <v>Hoax</v>
      </c>
      <c r="C22" s="906">
        <f>'Schedule | 2 Division (OLD)'!F18</f>
        <v>0</v>
      </c>
      <c r="D22" s="906">
        <f>'Schedule | 2 Division (OLD)'!H18</f>
        <v>0</v>
      </c>
      <c r="E22" s="30" t="str">
        <f>'Schedule | 2 Division (OLD)'!I18</f>
        <v>PARADOX</v>
      </c>
      <c r="F22" s="30" t="str">
        <f t="shared" si="36"/>
        <v/>
      </c>
      <c r="G22" s="433" t="str">
        <f t="shared" si="37"/>
        <v/>
      </c>
      <c r="H22" s="884"/>
      <c r="I22" s="884"/>
      <c r="J22" s="862"/>
      <c r="K22" s="869" t="s">
        <v>263</v>
      </c>
      <c r="L22" s="869" t="s">
        <v>258</v>
      </c>
      <c r="M22" s="865" t="s">
        <v>825</v>
      </c>
      <c r="N22" s="866" t="s">
        <v>259</v>
      </c>
      <c r="O22" s="866" t="s">
        <v>307</v>
      </c>
      <c r="P22" s="866" t="s">
        <v>259</v>
      </c>
      <c r="Q22" s="867" t="s">
        <v>826</v>
      </c>
      <c r="R22" s="905" t="s">
        <v>261</v>
      </c>
      <c r="S22" s="868"/>
      <c r="T22" s="863" t="s">
        <v>263</v>
      </c>
      <c r="U22" s="863" t="s">
        <v>258</v>
      </c>
      <c r="V22" s="865" t="s">
        <v>825</v>
      </c>
      <c r="W22" s="866" t="s">
        <v>259</v>
      </c>
      <c r="X22" s="866" t="s">
        <v>307</v>
      </c>
      <c r="Y22" s="866" t="s">
        <v>259</v>
      </c>
      <c r="Z22" s="867" t="s">
        <v>826</v>
      </c>
      <c r="AA22" s="863" t="s">
        <v>261</v>
      </c>
      <c r="AB22" s="862"/>
      <c r="AC22" s="863" t="s">
        <v>263</v>
      </c>
      <c r="AD22" s="863" t="s">
        <v>258</v>
      </c>
      <c r="AE22" s="865" t="s">
        <v>825</v>
      </c>
      <c r="AF22" s="866" t="s">
        <v>259</v>
      </c>
      <c r="AG22" s="866" t="s">
        <v>307</v>
      </c>
      <c r="AH22" s="866" t="s">
        <v>259</v>
      </c>
      <c r="AI22" s="867" t="s">
        <v>826</v>
      </c>
      <c r="AJ22" s="863" t="s">
        <v>261</v>
      </c>
      <c r="AK22" s="862"/>
      <c r="AL22" s="863" t="s">
        <v>263</v>
      </c>
      <c r="AM22" s="863" t="s">
        <v>258</v>
      </c>
      <c r="AN22" s="865" t="s">
        <v>825</v>
      </c>
      <c r="AO22" s="866" t="s">
        <v>259</v>
      </c>
      <c r="AP22" s="866" t="s">
        <v>307</v>
      </c>
      <c r="AQ22" s="866" t="s">
        <v>259</v>
      </c>
      <c r="AR22" s="867" t="s">
        <v>826</v>
      </c>
      <c r="AS22" s="863" t="s">
        <v>261</v>
      </c>
      <c r="AT22" s="870"/>
      <c r="AU22" s="863" t="s">
        <v>263</v>
      </c>
      <c r="AV22" s="863" t="s">
        <v>258</v>
      </c>
      <c r="AW22" s="865" t="s">
        <v>825</v>
      </c>
      <c r="AX22" s="866" t="s">
        <v>259</v>
      </c>
      <c r="AY22" s="866" t="s">
        <v>307</v>
      </c>
      <c r="AZ22" s="866" t="s">
        <v>259</v>
      </c>
      <c r="BA22" s="867" t="s">
        <v>826</v>
      </c>
      <c r="BB22" s="863" t="s">
        <v>261</v>
      </c>
      <c r="BC22" s="870"/>
      <c r="BD22" s="863" t="s">
        <v>263</v>
      </c>
      <c r="BE22" s="863" t="s">
        <v>258</v>
      </c>
      <c r="BF22" s="865" t="s">
        <v>825</v>
      </c>
      <c r="BG22" s="866" t="s">
        <v>259</v>
      </c>
      <c r="BH22" s="866" t="s">
        <v>307</v>
      </c>
      <c r="BI22" s="866" t="s">
        <v>259</v>
      </c>
      <c r="BJ22" s="867" t="s">
        <v>826</v>
      </c>
      <c r="BK22" s="863" t="s">
        <v>261</v>
      </c>
      <c r="BL22" s="870"/>
      <c r="BM22" s="863" t="s">
        <v>263</v>
      </c>
      <c r="BN22" s="863" t="s">
        <v>258</v>
      </c>
      <c r="BO22" s="865" t="s">
        <v>825</v>
      </c>
      <c r="BP22" s="866" t="s">
        <v>259</v>
      </c>
      <c r="BQ22" s="866" t="s">
        <v>307</v>
      </c>
      <c r="BR22" s="866" t="s">
        <v>259</v>
      </c>
      <c r="BS22" s="867" t="s">
        <v>826</v>
      </c>
      <c r="BT22" s="863" t="s">
        <v>261</v>
      </c>
      <c r="BU22" s="870"/>
      <c r="BV22" s="863" t="s">
        <v>263</v>
      </c>
      <c r="BW22" s="863" t="s">
        <v>258</v>
      </c>
      <c r="BX22" s="865" t="s">
        <v>825</v>
      </c>
      <c r="BY22" s="866" t="s">
        <v>259</v>
      </c>
      <c r="BZ22" s="866" t="s">
        <v>307</v>
      </c>
      <c r="CA22" s="866" t="s">
        <v>259</v>
      </c>
      <c r="CB22" s="867" t="s">
        <v>826</v>
      </c>
      <c r="CC22" s="863" t="s">
        <v>261</v>
      </c>
      <c r="CD22" s="870"/>
      <c r="CE22" s="863" t="s">
        <v>263</v>
      </c>
      <c r="CF22" s="863" t="s">
        <v>258</v>
      </c>
      <c r="CG22" s="865" t="s">
        <v>825</v>
      </c>
      <c r="CH22" s="866" t="s">
        <v>259</v>
      </c>
      <c r="CI22" s="866" t="s">
        <v>307</v>
      </c>
      <c r="CJ22" s="866" t="s">
        <v>259</v>
      </c>
      <c r="CK22" s="867" t="s">
        <v>826</v>
      </c>
      <c r="CL22" s="863" t="s">
        <v>261</v>
      </c>
      <c r="CM22" s="870"/>
      <c r="CN22" s="863" t="s">
        <v>263</v>
      </c>
      <c r="CO22" s="863" t="s">
        <v>258</v>
      </c>
      <c r="CP22" s="865" t="s">
        <v>825</v>
      </c>
      <c r="CQ22" s="866" t="s">
        <v>259</v>
      </c>
      <c r="CR22" s="866" t="s">
        <v>307</v>
      </c>
      <c r="CS22" s="866" t="s">
        <v>259</v>
      </c>
      <c r="CT22" s="867" t="s">
        <v>826</v>
      </c>
      <c r="CU22" s="863" t="s">
        <v>261</v>
      </c>
      <c r="CV22" s="870"/>
      <c r="CW22" s="863" t="s">
        <v>263</v>
      </c>
      <c r="CX22" s="863" t="s">
        <v>258</v>
      </c>
      <c r="CY22" s="865" t="s">
        <v>825</v>
      </c>
      <c r="CZ22" s="866" t="s">
        <v>259</v>
      </c>
      <c r="DA22" s="866" t="s">
        <v>307</v>
      </c>
      <c r="DB22" s="866" t="s">
        <v>259</v>
      </c>
      <c r="DC22" s="867" t="s">
        <v>826</v>
      </c>
      <c r="DD22" s="863" t="s">
        <v>261</v>
      </c>
      <c r="DE22" s="870"/>
      <c r="DF22" s="863" t="s">
        <v>263</v>
      </c>
      <c r="DG22" s="863" t="s">
        <v>258</v>
      </c>
      <c r="DH22" s="865" t="s">
        <v>825</v>
      </c>
      <c r="DI22" s="866" t="s">
        <v>259</v>
      </c>
      <c r="DJ22" s="866" t="s">
        <v>307</v>
      </c>
      <c r="DK22" s="866" t="s">
        <v>259</v>
      </c>
      <c r="DL22" s="867" t="s">
        <v>826</v>
      </c>
      <c r="DM22" s="863" t="s">
        <v>261</v>
      </c>
      <c r="DN22" s="870"/>
      <c r="DO22" s="863" t="s">
        <v>263</v>
      </c>
      <c r="DP22" s="863" t="s">
        <v>258</v>
      </c>
      <c r="DQ22" s="865" t="s">
        <v>825</v>
      </c>
      <c r="DR22" s="866" t="s">
        <v>259</v>
      </c>
      <c r="DS22" s="866" t="s">
        <v>307</v>
      </c>
      <c r="DT22" s="866" t="s">
        <v>259</v>
      </c>
      <c r="DU22" s="867" t="s">
        <v>826</v>
      </c>
      <c r="DV22" s="863" t="s">
        <v>261</v>
      </c>
      <c r="DW22" s="870"/>
      <c r="DX22" s="863" t="s">
        <v>263</v>
      </c>
      <c r="DY22" s="863" t="s">
        <v>258</v>
      </c>
      <c r="DZ22" s="865" t="s">
        <v>825</v>
      </c>
      <c r="EA22" s="866" t="s">
        <v>259</v>
      </c>
      <c r="EB22" s="866" t="s">
        <v>307</v>
      </c>
      <c r="EC22" s="866" t="s">
        <v>259</v>
      </c>
      <c r="ED22" s="867" t="s">
        <v>826</v>
      </c>
      <c r="EE22" s="863" t="s">
        <v>261</v>
      </c>
    </row>
    <row r="23">
      <c r="A23" s="33">
        <f>'Schedule | 2 Division (OLD)'!J19</f>
        <v>11</v>
      </c>
      <c r="B23" s="30" t="str">
        <f>'Schedule | 2 Division (OLD)'!E19</f>
        <v>VIOLENCE</v>
      </c>
      <c r="C23" s="906">
        <f>'Schedule | 2 Division (OLD)'!F19</f>
        <v>0</v>
      </c>
      <c r="D23" s="906">
        <f>'Schedule | 2 Division (OLD)'!H19</f>
        <v>0</v>
      </c>
      <c r="E23" s="30" t="str">
        <f>'Schedule | 2 Division (OLD)'!I19</f>
        <v>Green Hustle</v>
      </c>
      <c r="F23" s="30" t="str">
        <f t="shared" si="36"/>
        <v/>
      </c>
      <c r="G23" s="433" t="str">
        <f t="shared" si="37"/>
        <v/>
      </c>
      <c r="H23" s="884"/>
      <c r="I23" s="884"/>
      <c r="J23" s="874"/>
      <c r="K23" s="456">
        <f>'Schedule | 2 Division (OLD)'!J7</f>
        <v>3</v>
      </c>
      <c r="L23" s="875" t="str">
        <f>'Schedule | 2 Division (OLD)'!E7</f>
        <v>ALFA</v>
      </c>
      <c r="M23" s="876"/>
      <c r="N23" s="877"/>
      <c r="O23" s="877"/>
      <c r="P23" s="878">
        <f t="shared" ref="P23:P29" si="66">ifs(N23="W","L",N23="L", "W",N23=0,0)</f>
        <v>0</v>
      </c>
      <c r="Q23" s="879" t="str">
        <f t="shared" ref="Q23:Q29" si="67">ifs(M23="Attack","Defense",M23="Defense", "Attack",N23=0, "-")</f>
        <v>-</v>
      </c>
      <c r="R23" s="907" t="str">
        <f>'Schedule | 2 Division (OLD)'!I7</f>
        <v>VIOLENCE</v>
      </c>
      <c r="S23" s="35"/>
      <c r="T23" s="456">
        <f>'Schedule | 2 Division (OLD)'!J13</f>
        <v>7</v>
      </c>
      <c r="U23" s="447" t="str">
        <f>'Schedule | 2 Division (OLD)'!E13</f>
        <v>DISTANCE</v>
      </c>
      <c r="V23" s="876"/>
      <c r="W23" s="877"/>
      <c r="X23" s="877"/>
      <c r="Y23" s="878">
        <f t="shared" ref="Y23:Y29" si="68">ifs(W23="W","L",W23="L", "W",W23=0,0)</f>
        <v>0</v>
      </c>
      <c r="Z23" s="879" t="str">
        <f t="shared" ref="Z23:Z29" si="69">ifs(V23="Attack","Defense",V23="Defense", "Attack",W23=0, "-")</f>
        <v>-</v>
      </c>
      <c r="AA23" s="883" t="str">
        <f>'Schedule | 2 Division (OLD)'!I13</f>
        <v>PARADOX</v>
      </c>
      <c r="AB23" s="874"/>
      <c r="AC23" s="456">
        <f>'Schedule | 2 Division (OLD)'!J19</f>
        <v>11</v>
      </c>
      <c r="AD23" s="887" t="str">
        <f>'Schedule | 2 Division (OLD)'!E19</f>
        <v>VIOLENCE</v>
      </c>
      <c r="AE23" s="876"/>
      <c r="AF23" s="877"/>
      <c r="AG23" s="877"/>
      <c r="AH23" s="878">
        <f t="shared" ref="AH23:AH29" si="70">ifs(AF23="W","L",AF23="L", "W",AF23=0,0)</f>
        <v>0</v>
      </c>
      <c r="AI23" s="879" t="str">
        <f t="shared" ref="AI23:AI29" si="71">ifs(AE23="Attack","Defense",AE23="Defense", "Attack",AF23=0, "-")</f>
        <v>-</v>
      </c>
      <c r="AJ23" s="883" t="str">
        <f>'Schedule | 2 Division (OLD)'!I19</f>
        <v>Green Hustle</v>
      </c>
      <c r="AK23" s="874"/>
      <c r="AL23" s="456">
        <f>'Schedule | 2 Division (OLD)'!J25</f>
        <v>15</v>
      </c>
      <c r="AM23" s="875" t="str">
        <f>'Schedule | 2 Division (OLD)'!E25</f>
        <v>VIOLENCE</v>
      </c>
      <c r="AN23" s="876"/>
      <c r="AO23" s="877"/>
      <c r="AP23" s="877"/>
      <c r="AQ23" s="878">
        <f t="shared" ref="AQ23:AQ29" si="72">ifs(AO23="W","L",AO23="L", "W",AO23=0,0)</f>
        <v>0</v>
      </c>
      <c r="AR23" s="879" t="str">
        <f t="shared" ref="AR23:AR29" si="73">ifs(AN23="Attack","Defense",AN23="Defense", "Attack",AO23=0, "-")</f>
        <v>-</v>
      </c>
      <c r="AS23" s="883" t="str">
        <f>'Schedule | 2 Division (OLD)'!I25</f>
        <v>DISTANCE</v>
      </c>
      <c r="AT23" s="884"/>
      <c r="AU23" s="456">
        <f>'Schedule | 2 Division (OLD)'!J31</f>
        <v>19</v>
      </c>
      <c r="AV23" s="875" t="str">
        <f>'Schedule | 2 Division (OLD)'!E31</f>
        <v>Green Hustle</v>
      </c>
      <c r="AW23" s="876"/>
      <c r="AX23" s="877"/>
      <c r="AY23" s="877"/>
      <c r="AZ23" s="878">
        <f t="shared" ref="AZ23:AZ29" si="74">ifs(AX23="W","L",AX23="L", "W",AX23=0,0)</f>
        <v>0</v>
      </c>
      <c r="BA23" s="879" t="str">
        <f t="shared" ref="BA23:BA29" si="75">ifs(AW23="Attack","Defense",AW23="Defense", "Attack",AX23=0, "-")</f>
        <v>-</v>
      </c>
      <c r="BB23" s="883" t="str">
        <f>'Schedule | 2 Division (OLD)'!I31</f>
        <v>ALFA</v>
      </c>
      <c r="BC23" s="884"/>
      <c r="BD23" s="456">
        <f>'Schedule | 2 Division (OLD)'!J37</f>
        <v>23</v>
      </c>
      <c r="BE23" s="887" t="str">
        <f>'Schedule | 2 Division (OLD)'!E37</f>
        <v>VIOLENCE</v>
      </c>
      <c r="BF23" s="876"/>
      <c r="BG23" s="877"/>
      <c r="BH23" s="877"/>
      <c r="BI23" s="878">
        <f t="shared" ref="BI23:BI29" si="76">ifs(BG23="W","L",BG23="L", "W",BG23=0,0)</f>
        <v>0</v>
      </c>
      <c r="BJ23" s="879" t="str">
        <f t="shared" ref="BJ23:BJ29" si="77">ifs(BF23="Attack","Defense",BF23="Defense", "Attack",BG23=0, "-")</f>
        <v>-</v>
      </c>
      <c r="BK23" s="883" t="str">
        <f>'Schedule | 2 Division (OLD)'!I37</f>
        <v>ICM</v>
      </c>
      <c r="BL23" s="884"/>
      <c r="BM23" s="456">
        <f>'Schedule | 2 Division (OLD)'!J43</f>
        <v>27</v>
      </c>
      <c r="BN23" s="875" t="str">
        <f>'Schedule | 2 Division (OLD)'!E43</f>
        <v>ALFA</v>
      </c>
      <c r="BO23" s="876"/>
      <c r="BP23" s="877"/>
      <c r="BQ23" s="877"/>
      <c r="BR23" s="878">
        <f t="shared" ref="BR23:BR29" si="78">ifs(BP23="W","L",BP23="L", "W",BP23=0,0)</f>
        <v>0</v>
      </c>
      <c r="BS23" s="879" t="str">
        <f t="shared" ref="BS23:BS29" si="79">ifs(BO23="Attack","Defense",BO23="Defense", "Attack",BP23=0, "-")</f>
        <v>-</v>
      </c>
      <c r="BT23" s="883" t="str">
        <f>'Schedule | 2 Division (OLD)'!I43</f>
        <v>Hoax</v>
      </c>
      <c r="BU23" s="884"/>
      <c r="BV23" s="456">
        <f>'Schedule | 2 Division (OLD)'!P7</f>
        <v>31</v>
      </c>
      <c r="BW23" s="881" t="str">
        <f>'Schedule | 2 Division (OLD)'!K7</f>
        <v>VIOLENCE</v>
      </c>
      <c r="BX23" s="876"/>
      <c r="BY23" s="877"/>
      <c r="BZ23" s="877"/>
      <c r="CA23" s="878">
        <f t="shared" ref="CA23:CA29" si="80">ifs(BY23="W","L",BY23="L", "W",BY23=0,0)</f>
        <v>0</v>
      </c>
      <c r="CB23" s="879" t="str">
        <f t="shared" ref="CB23:CB29" si="81">ifs(BX23="Attack","Defense",BX23="Defense", "Attack",BY23=0, "-")</f>
        <v>-</v>
      </c>
      <c r="CC23" s="882" t="str">
        <f>'Schedule | 2 Division (OLD)'!O7</f>
        <v>ALFA</v>
      </c>
      <c r="CD23" s="884"/>
      <c r="CE23" s="456">
        <f>'Schedule | 2 Division (OLD)'!P13</f>
        <v>35</v>
      </c>
      <c r="CF23" s="447" t="str">
        <f>'Schedule | 2 Division (OLD)'!K13</f>
        <v>QW0TROBERY</v>
      </c>
      <c r="CG23" s="876"/>
      <c r="CH23" s="877"/>
      <c r="CI23" s="877"/>
      <c r="CJ23" s="878">
        <f t="shared" ref="CJ23:CJ29" si="82">ifs(CH23="W","L",CH23="L", "W",CH23=0,0)</f>
        <v>0</v>
      </c>
      <c r="CK23" s="879" t="str">
        <f t="shared" ref="CK23:CK29" si="83">ifs(CG23="Attack","Defense",CG23="Defense", "Attack",CH23=0, "-")</f>
        <v>-</v>
      </c>
      <c r="CL23" s="882" t="str">
        <f>'Schedule | 2 Division (OLD)'!O13</f>
        <v>ALFA</v>
      </c>
      <c r="CM23" s="884"/>
      <c r="CN23" s="456">
        <f>'Schedule | 2 Division (OLD)'!P19</f>
        <v>39</v>
      </c>
      <c r="CO23" s="447" t="str">
        <f>'Schedule | 2 Division (OLD)'!K19</f>
        <v>PARADOX</v>
      </c>
      <c r="CP23" s="876"/>
      <c r="CQ23" s="877"/>
      <c r="CR23" s="877"/>
      <c r="CS23" s="878">
        <f t="shared" ref="CS23:CS29" si="84">ifs(CQ23="W","L",CQ23="L", "W",CQ23=0,0)</f>
        <v>0</v>
      </c>
      <c r="CT23" s="879" t="str">
        <f t="shared" ref="CT23:CT29" si="85">ifs(CP23="Attack","Defense",CP23="Defense", "Attack",CQ23=0, "-")</f>
        <v>-</v>
      </c>
      <c r="CU23" s="882" t="str">
        <f>'Schedule | 2 Division (OLD)'!O19</f>
        <v>Hoax</v>
      </c>
      <c r="CV23" s="884"/>
      <c r="CW23" s="456">
        <f>'Schedule | 2 Division (OLD)'!P25</f>
        <v>43</v>
      </c>
      <c r="CX23" s="447" t="str">
        <f>'Schedule | 2 Division (OLD)'!K25</f>
        <v>DISTANCE</v>
      </c>
      <c r="CY23" s="876"/>
      <c r="CZ23" s="877"/>
      <c r="DA23" s="877"/>
      <c r="DB23" s="878">
        <f t="shared" ref="DB23:DB29" si="86">ifs(CZ23="W","L",CZ23="L", "W",CZ23=0,0)</f>
        <v>0</v>
      </c>
      <c r="DC23" s="879" t="str">
        <f t="shared" ref="DC23:DC29" si="87">ifs(CY23="Attack","Defense",CY23="Defense", "Attack",CZ23=0, "-")</f>
        <v>-</v>
      </c>
      <c r="DD23" s="882" t="str">
        <f>'Schedule | 2 Division (OLD)'!O25</f>
        <v>VIOLENCE</v>
      </c>
      <c r="DE23" s="884"/>
      <c r="DF23" s="456">
        <f>'Schedule | 2 Division (OLD)'!P31</f>
        <v>47</v>
      </c>
      <c r="DG23" s="447" t="str">
        <f>'Schedule | 2 Division (OLD)'!K31</f>
        <v>PARADOX</v>
      </c>
      <c r="DH23" s="876"/>
      <c r="DI23" s="877"/>
      <c r="DJ23" s="877"/>
      <c r="DK23" s="878">
        <f t="shared" ref="DK23:DK29" si="88">ifs(DI23="W","L",DI23="L", "W",DI23=0,0)</f>
        <v>0</v>
      </c>
      <c r="DL23" s="879" t="str">
        <f t="shared" ref="DL23:DL29" si="89">ifs(DH23="Attack","Defense",DH23="Defense", "Attack",DI23=0, "-")</f>
        <v>-</v>
      </c>
      <c r="DM23" s="882" t="str">
        <f>'Schedule | 2 Division (OLD)'!O31</f>
        <v>VIOLENCE</v>
      </c>
      <c r="DN23" s="884"/>
      <c r="DO23" s="456">
        <f>'Schedule | 2 Division (OLD)'!P37</f>
        <v>51</v>
      </c>
      <c r="DP23" s="887" t="str">
        <f>'Schedule | 2 Division (OLD)'!K37</f>
        <v>Hoax</v>
      </c>
      <c r="DQ23" s="876"/>
      <c r="DR23" s="877"/>
      <c r="DS23" s="877"/>
      <c r="DT23" s="878">
        <f t="shared" ref="DT23:DT29" si="90">ifs(DR23="W","L",DR23="L", "W",DR23=0,0)</f>
        <v>0</v>
      </c>
      <c r="DU23" s="879" t="str">
        <f t="shared" ref="DU23:DU29" si="91">ifs(DQ23="Attack","Defense",DQ23="Defense", "Attack",DR23=0, "-")</f>
        <v>-</v>
      </c>
      <c r="DV23" s="883" t="str">
        <f>'Schedule | 2 Division (OLD)'!O37</f>
        <v>Green Hustle</v>
      </c>
      <c r="DW23" s="884"/>
      <c r="DX23" s="456">
        <f>'Schedule | 2 Division (OLD)'!P43</f>
        <v>55</v>
      </c>
      <c r="DY23" s="875" t="str">
        <f>'Schedule | 2 Division (OLD)'!K43</f>
        <v>DISTANCE</v>
      </c>
      <c r="DZ23" s="876"/>
      <c r="EA23" s="877"/>
      <c r="EB23" s="877"/>
      <c r="EC23" s="878">
        <f t="shared" ref="EC23:EC29" si="92">ifs(EA23="W","L",EA23="L", "W",EA23=0,0)</f>
        <v>0</v>
      </c>
      <c r="ED23" s="879" t="str">
        <f t="shared" ref="ED23:ED29" si="93">ifs(DZ23="Attack","Defense",DZ23="Defense", "Attack",EA23=0, "-")</f>
        <v>-</v>
      </c>
      <c r="EE23" s="910" t="str">
        <f>'Schedule | 2 Division (OLD)'!O43</f>
        <v>Green Hustle</v>
      </c>
    </row>
    <row r="24">
      <c r="A24" s="33">
        <f>'Schedule | 2 Division (OLD)'!J20</f>
        <v>12</v>
      </c>
      <c r="B24" s="30" t="str">
        <f>'Schedule | 2 Division (OLD)'!E20</f>
        <v>QW0TROBERY</v>
      </c>
      <c r="C24" s="906">
        <f>'Schedule | 2 Division (OLD)'!F20</f>
        <v>0</v>
      </c>
      <c r="D24" s="906">
        <f>'Schedule | 2 Division (OLD)'!H20</f>
        <v>0</v>
      </c>
      <c r="E24" s="30" t="str">
        <f>'Schedule | 2 Division (OLD)'!I20</f>
        <v>DISTANCE</v>
      </c>
      <c r="F24" s="30" t="str">
        <f t="shared" si="36"/>
        <v/>
      </c>
      <c r="G24" s="433" t="str">
        <f t="shared" si="37"/>
        <v/>
      </c>
      <c r="H24" s="884"/>
      <c r="I24" s="884"/>
      <c r="J24" s="874"/>
      <c r="K24" s="66"/>
      <c r="L24" s="55"/>
      <c r="M24" s="876"/>
      <c r="N24" s="890"/>
      <c r="O24" s="890"/>
      <c r="P24" s="891">
        <f t="shared" si="66"/>
        <v>0</v>
      </c>
      <c r="Q24" s="892" t="str">
        <f t="shared" si="67"/>
        <v>-</v>
      </c>
      <c r="S24" s="35"/>
      <c r="T24" s="66"/>
      <c r="V24" s="876"/>
      <c r="W24" s="890"/>
      <c r="X24" s="890"/>
      <c r="Y24" s="891">
        <f t="shared" si="68"/>
        <v>0</v>
      </c>
      <c r="Z24" s="892" t="str">
        <f t="shared" si="69"/>
        <v>-</v>
      </c>
      <c r="AA24" s="92"/>
      <c r="AB24" s="874"/>
      <c r="AC24" s="66"/>
      <c r="AD24" s="55"/>
      <c r="AE24" s="876"/>
      <c r="AF24" s="890"/>
      <c r="AG24" s="890"/>
      <c r="AH24" s="891">
        <f t="shared" si="70"/>
        <v>0</v>
      </c>
      <c r="AI24" s="892" t="str">
        <f t="shared" si="71"/>
        <v>-</v>
      </c>
      <c r="AJ24" s="92"/>
      <c r="AK24" s="874"/>
      <c r="AL24" s="66"/>
      <c r="AM24" s="55"/>
      <c r="AN24" s="876"/>
      <c r="AO24" s="890"/>
      <c r="AP24" s="890"/>
      <c r="AQ24" s="891">
        <f t="shared" si="72"/>
        <v>0</v>
      </c>
      <c r="AR24" s="892" t="str">
        <f t="shared" si="73"/>
        <v>-</v>
      </c>
      <c r="AS24" s="92"/>
      <c r="AT24" s="884"/>
      <c r="AU24" s="66"/>
      <c r="AV24" s="55"/>
      <c r="AW24" s="876"/>
      <c r="AX24" s="890"/>
      <c r="AY24" s="890"/>
      <c r="AZ24" s="891">
        <f t="shared" si="74"/>
        <v>0</v>
      </c>
      <c r="BA24" s="892" t="str">
        <f t="shared" si="75"/>
        <v>-</v>
      </c>
      <c r="BB24" s="92"/>
      <c r="BC24" s="884"/>
      <c r="BD24" s="66"/>
      <c r="BE24" s="55"/>
      <c r="BF24" s="876"/>
      <c r="BG24" s="890"/>
      <c r="BH24" s="890"/>
      <c r="BI24" s="891">
        <f t="shared" si="76"/>
        <v>0</v>
      </c>
      <c r="BJ24" s="892" t="str">
        <f t="shared" si="77"/>
        <v>-</v>
      </c>
      <c r="BK24" s="92"/>
      <c r="BL24" s="884"/>
      <c r="BM24" s="66"/>
      <c r="BN24" s="55"/>
      <c r="BO24" s="876"/>
      <c r="BP24" s="890"/>
      <c r="BQ24" s="890"/>
      <c r="BR24" s="891">
        <f t="shared" si="78"/>
        <v>0</v>
      </c>
      <c r="BS24" s="892" t="str">
        <f t="shared" si="79"/>
        <v>-</v>
      </c>
      <c r="BT24" s="92"/>
      <c r="BU24" s="884"/>
      <c r="BV24" s="66"/>
      <c r="BX24" s="876"/>
      <c r="BY24" s="890"/>
      <c r="BZ24" s="890"/>
      <c r="CA24" s="891">
        <f t="shared" si="80"/>
        <v>0</v>
      </c>
      <c r="CB24" s="892" t="str">
        <f t="shared" si="81"/>
        <v>-</v>
      </c>
      <c r="CC24" s="92"/>
      <c r="CD24" s="884"/>
      <c r="CE24" s="66"/>
      <c r="CG24" s="876"/>
      <c r="CH24" s="890"/>
      <c r="CI24" s="890"/>
      <c r="CJ24" s="891">
        <f t="shared" si="82"/>
        <v>0</v>
      </c>
      <c r="CK24" s="892" t="str">
        <f t="shared" si="83"/>
        <v>-</v>
      </c>
      <c r="CL24" s="92"/>
      <c r="CM24" s="884"/>
      <c r="CN24" s="66"/>
      <c r="CP24" s="876"/>
      <c r="CQ24" s="890"/>
      <c r="CR24" s="890"/>
      <c r="CS24" s="891">
        <f t="shared" si="84"/>
        <v>0</v>
      </c>
      <c r="CT24" s="892" t="str">
        <f t="shared" si="85"/>
        <v>-</v>
      </c>
      <c r="CU24" s="92"/>
      <c r="CV24" s="884"/>
      <c r="CW24" s="66"/>
      <c r="CY24" s="876"/>
      <c r="CZ24" s="890"/>
      <c r="DA24" s="890"/>
      <c r="DB24" s="891">
        <f t="shared" si="86"/>
        <v>0</v>
      </c>
      <c r="DC24" s="892" t="str">
        <f t="shared" si="87"/>
        <v>-</v>
      </c>
      <c r="DD24" s="92"/>
      <c r="DE24" s="884"/>
      <c r="DF24" s="66"/>
      <c r="DH24" s="876"/>
      <c r="DI24" s="890"/>
      <c r="DJ24" s="890"/>
      <c r="DK24" s="891">
        <f t="shared" si="88"/>
        <v>0</v>
      </c>
      <c r="DL24" s="892" t="str">
        <f t="shared" si="89"/>
        <v>-</v>
      </c>
      <c r="DM24" s="92"/>
      <c r="DN24" s="884"/>
      <c r="DO24" s="66"/>
      <c r="DP24" s="55"/>
      <c r="DQ24" s="876"/>
      <c r="DR24" s="890"/>
      <c r="DS24" s="890"/>
      <c r="DT24" s="891">
        <f t="shared" si="90"/>
        <v>0</v>
      </c>
      <c r="DU24" s="892" t="str">
        <f t="shared" si="91"/>
        <v>-</v>
      </c>
      <c r="DV24" s="92"/>
      <c r="DW24" s="884"/>
      <c r="DX24" s="66"/>
      <c r="DY24" s="55"/>
      <c r="DZ24" s="876"/>
      <c r="EA24" s="890"/>
      <c r="EB24" s="890"/>
      <c r="EC24" s="891">
        <f t="shared" si="92"/>
        <v>0</v>
      </c>
      <c r="ED24" s="892" t="str">
        <f t="shared" si="93"/>
        <v>-</v>
      </c>
      <c r="EE24" s="92"/>
    </row>
    <row r="25">
      <c r="A25" s="33">
        <f>'Schedule | 2 Division (OLD)'!J23</f>
        <v>13</v>
      </c>
      <c r="B25" s="30" t="str">
        <f>'Schedule | 2 Division (OLD)'!E23</f>
        <v>QW0TROBERY</v>
      </c>
      <c r="C25" s="906">
        <f>'Schedule | 2 Division (OLD)'!F23</f>
        <v>0</v>
      </c>
      <c r="D25" s="906">
        <f>'Schedule | 2 Division (OLD)'!H23</f>
        <v>0</v>
      </c>
      <c r="E25" s="30" t="str">
        <f>'Schedule | 2 Division (OLD)'!I23</f>
        <v>Green Hustle</v>
      </c>
      <c r="F25" s="30" t="str">
        <f t="shared" si="36"/>
        <v/>
      </c>
      <c r="G25" s="433" t="str">
        <f t="shared" si="37"/>
        <v/>
      </c>
      <c r="H25" s="884"/>
      <c r="I25" s="884"/>
      <c r="J25" s="874"/>
      <c r="K25" s="66"/>
      <c r="L25" s="55"/>
      <c r="M25" s="876"/>
      <c r="N25" s="890"/>
      <c r="O25" s="890"/>
      <c r="P25" s="891">
        <f t="shared" si="66"/>
        <v>0</v>
      </c>
      <c r="Q25" s="892" t="str">
        <f t="shared" si="67"/>
        <v>-</v>
      </c>
      <c r="S25" s="35"/>
      <c r="T25" s="66"/>
      <c r="V25" s="876"/>
      <c r="W25" s="890"/>
      <c r="X25" s="890"/>
      <c r="Y25" s="891">
        <f t="shared" si="68"/>
        <v>0</v>
      </c>
      <c r="Z25" s="892" t="str">
        <f t="shared" si="69"/>
        <v>-</v>
      </c>
      <c r="AA25" s="92"/>
      <c r="AB25" s="874"/>
      <c r="AC25" s="66"/>
      <c r="AD25" s="55"/>
      <c r="AE25" s="876"/>
      <c r="AF25" s="890"/>
      <c r="AG25" s="890"/>
      <c r="AH25" s="891">
        <f t="shared" si="70"/>
        <v>0</v>
      </c>
      <c r="AI25" s="892" t="str">
        <f t="shared" si="71"/>
        <v>-</v>
      </c>
      <c r="AJ25" s="92"/>
      <c r="AK25" s="874"/>
      <c r="AL25" s="66"/>
      <c r="AM25" s="55"/>
      <c r="AN25" s="876"/>
      <c r="AO25" s="890"/>
      <c r="AP25" s="890"/>
      <c r="AQ25" s="891">
        <f t="shared" si="72"/>
        <v>0</v>
      </c>
      <c r="AR25" s="892" t="str">
        <f t="shared" si="73"/>
        <v>-</v>
      </c>
      <c r="AS25" s="92"/>
      <c r="AT25" s="884"/>
      <c r="AU25" s="66"/>
      <c r="AV25" s="55"/>
      <c r="AW25" s="876"/>
      <c r="AX25" s="890"/>
      <c r="AY25" s="890"/>
      <c r="AZ25" s="891">
        <f t="shared" si="74"/>
        <v>0</v>
      </c>
      <c r="BA25" s="892" t="str">
        <f t="shared" si="75"/>
        <v>-</v>
      </c>
      <c r="BB25" s="92"/>
      <c r="BC25" s="884"/>
      <c r="BD25" s="66"/>
      <c r="BE25" s="55"/>
      <c r="BF25" s="876"/>
      <c r="BG25" s="890"/>
      <c r="BH25" s="890"/>
      <c r="BI25" s="891">
        <f t="shared" si="76"/>
        <v>0</v>
      </c>
      <c r="BJ25" s="892" t="str">
        <f t="shared" si="77"/>
        <v>-</v>
      </c>
      <c r="BK25" s="92"/>
      <c r="BL25" s="884"/>
      <c r="BM25" s="66"/>
      <c r="BN25" s="55"/>
      <c r="BO25" s="876"/>
      <c r="BP25" s="890"/>
      <c r="BQ25" s="890"/>
      <c r="BR25" s="891">
        <f t="shared" si="78"/>
        <v>0</v>
      </c>
      <c r="BS25" s="892" t="str">
        <f t="shared" si="79"/>
        <v>-</v>
      </c>
      <c r="BT25" s="92"/>
      <c r="BU25" s="884"/>
      <c r="BV25" s="66"/>
      <c r="BX25" s="876"/>
      <c r="BY25" s="890"/>
      <c r="BZ25" s="890"/>
      <c r="CA25" s="891">
        <f t="shared" si="80"/>
        <v>0</v>
      </c>
      <c r="CB25" s="892" t="str">
        <f t="shared" si="81"/>
        <v>-</v>
      </c>
      <c r="CC25" s="92"/>
      <c r="CD25" s="884"/>
      <c r="CE25" s="66"/>
      <c r="CG25" s="876"/>
      <c r="CH25" s="890"/>
      <c r="CI25" s="890"/>
      <c r="CJ25" s="891">
        <f t="shared" si="82"/>
        <v>0</v>
      </c>
      <c r="CK25" s="892" t="str">
        <f t="shared" si="83"/>
        <v>-</v>
      </c>
      <c r="CL25" s="92"/>
      <c r="CM25" s="884"/>
      <c r="CN25" s="66"/>
      <c r="CP25" s="876"/>
      <c r="CQ25" s="890"/>
      <c r="CR25" s="890"/>
      <c r="CS25" s="891">
        <f t="shared" si="84"/>
        <v>0</v>
      </c>
      <c r="CT25" s="892" t="str">
        <f t="shared" si="85"/>
        <v>-</v>
      </c>
      <c r="CU25" s="92"/>
      <c r="CV25" s="884"/>
      <c r="CW25" s="66"/>
      <c r="CY25" s="876"/>
      <c r="CZ25" s="890"/>
      <c r="DA25" s="890"/>
      <c r="DB25" s="891">
        <f t="shared" si="86"/>
        <v>0</v>
      </c>
      <c r="DC25" s="892" t="str">
        <f t="shared" si="87"/>
        <v>-</v>
      </c>
      <c r="DD25" s="92"/>
      <c r="DE25" s="884"/>
      <c r="DF25" s="66"/>
      <c r="DH25" s="876"/>
      <c r="DI25" s="890"/>
      <c r="DJ25" s="890"/>
      <c r="DK25" s="891">
        <f t="shared" si="88"/>
        <v>0</v>
      </c>
      <c r="DL25" s="892" t="str">
        <f t="shared" si="89"/>
        <v>-</v>
      </c>
      <c r="DM25" s="92"/>
      <c r="DN25" s="884"/>
      <c r="DO25" s="66"/>
      <c r="DP25" s="55"/>
      <c r="DQ25" s="876"/>
      <c r="DR25" s="890"/>
      <c r="DS25" s="890"/>
      <c r="DT25" s="891">
        <f t="shared" si="90"/>
        <v>0</v>
      </c>
      <c r="DU25" s="892" t="str">
        <f t="shared" si="91"/>
        <v>-</v>
      </c>
      <c r="DV25" s="92"/>
      <c r="DW25" s="884"/>
      <c r="DX25" s="66"/>
      <c r="DY25" s="55"/>
      <c r="DZ25" s="876"/>
      <c r="EA25" s="890"/>
      <c r="EB25" s="890"/>
      <c r="EC25" s="891">
        <f t="shared" si="92"/>
        <v>0</v>
      </c>
      <c r="ED25" s="892" t="str">
        <f t="shared" si="93"/>
        <v>-</v>
      </c>
      <c r="EE25" s="92"/>
    </row>
    <row r="26">
      <c r="A26" s="33">
        <f>'Schedule | 2 Division (OLD)'!J24</f>
        <v>14</v>
      </c>
      <c r="B26" s="30" t="str">
        <f>'Schedule | 2 Division (OLD)'!E24</f>
        <v>Hoax</v>
      </c>
      <c r="C26" s="906">
        <f>'Schedule | 2 Division (OLD)'!F24</f>
        <v>0</v>
      </c>
      <c r="D26" s="906">
        <f>'Schedule | 2 Division (OLD)'!H24</f>
        <v>0</v>
      </c>
      <c r="E26" s="30" t="str">
        <f>'Schedule | 2 Division (OLD)'!I24</f>
        <v>ICM</v>
      </c>
      <c r="F26" s="30" t="str">
        <f t="shared" si="36"/>
        <v/>
      </c>
      <c r="G26" s="433" t="str">
        <f t="shared" si="37"/>
        <v/>
      </c>
      <c r="H26" s="884"/>
      <c r="I26" s="884"/>
      <c r="J26" s="874"/>
      <c r="K26" s="66"/>
      <c r="L26" s="55"/>
      <c r="M26" s="876"/>
      <c r="N26" s="890"/>
      <c r="O26" s="890"/>
      <c r="P26" s="891">
        <f t="shared" si="66"/>
        <v>0</v>
      </c>
      <c r="Q26" s="892" t="str">
        <f t="shared" si="67"/>
        <v>-</v>
      </c>
      <c r="S26" s="35"/>
      <c r="T26" s="66"/>
      <c r="V26" s="876"/>
      <c r="W26" s="890"/>
      <c r="X26" s="890"/>
      <c r="Y26" s="891">
        <f t="shared" si="68"/>
        <v>0</v>
      </c>
      <c r="Z26" s="892" t="str">
        <f t="shared" si="69"/>
        <v>-</v>
      </c>
      <c r="AA26" s="92"/>
      <c r="AB26" s="874"/>
      <c r="AC26" s="66"/>
      <c r="AD26" s="55"/>
      <c r="AE26" s="876"/>
      <c r="AF26" s="890"/>
      <c r="AG26" s="890"/>
      <c r="AH26" s="891">
        <f t="shared" si="70"/>
        <v>0</v>
      </c>
      <c r="AI26" s="892" t="str">
        <f t="shared" si="71"/>
        <v>-</v>
      </c>
      <c r="AJ26" s="92"/>
      <c r="AK26" s="874"/>
      <c r="AL26" s="66"/>
      <c r="AM26" s="55"/>
      <c r="AN26" s="876"/>
      <c r="AO26" s="890"/>
      <c r="AP26" s="890"/>
      <c r="AQ26" s="891">
        <f t="shared" si="72"/>
        <v>0</v>
      </c>
      <c r="AR26" s="892" t="str">
        <f t="shared" si="73"/>
        <v>-</v>
      </c>
      <c r="AS26" s="92"/>
      <c r="AT26" s="884"/>
      <c r="AU26" s="66"/>
      <c r="AV26" s="55"/>
      <c r="AW26" s="876"/>
      <c r="AX26" s="890"/>
      <c r="AY26" s="890"/>
      <c r="AZ26" s="891">
        <f t="shared" si="74"/>
        <v>0</v>
      </c>
      <c r="BA26" s="892" t="str">
        <f t="shared" si="75"/>
        <v>-</v>
      </c>
      <c r="BB26" s="92"/>
      <c r="BC26" s="884"/>
      <c r="BD26" s="66"/>
      <c r="BE26" s="55"/>
      <c r="BF26" s="876"/>
      <c r="BG26" s="890"/>
      <c r="BH26" s="890"/>
      <c r="BI26" s="891">
        <f t="shared" si="76"/>
        <v>0</v>
      </c>
      <c r="BJ26" s="892" t="str">
        <f t="shared" si="77"/>
        <v>-</v>
      </c>
      <c r="BK26" s="92"/>
      <c r="BL26" s="884"/>
      <c r="BM26" s="66"/>
      <c r="BN26" s="55"/>
      <c r="BO26" s="876"/>
      <c r="BP26" s="890"/>
      <c r="BQ26" s="890"/>
      <c r="BR26" s="891">
        <f t="shared" si="78"/>
        <v>0</v>
      </c>
      <c r="BS26" s="892" t="str">
        <f t="shared" si="79"/>
        <v>-</v>
      </c>
      <c r="BT26" s="92"/>
      <c r="BU26" s="884"/>
      <c r="BV26" s="66"/>
      <c r="BX26" s="876"/>
      <c r="BY26" s="890"/>
      <c r="BZ26" s="890"/>
      <c r="CA26" s="891">
        <f t="shared" si="80"/>
        <v>0</v>
      </c>
      <c r="CB26" s="892" t="str">
        <f t="shared" si="81"/>
        <v>-</v>
      </c>
      <c r="CC26" s="92"/>
      <c r="CD26" s="884"/>
      <c r="CE26" s="66"/>
      <c r="CG26" s="876"/>
      <c r="CH26" s="890"/>
      <c r="CI26" s="890"/>
      <c r="CJ26" s="891">
        <f t="shared" si="82"/>
        <v>0</v>
      </c>
      <c r="CK26" s="892" t="str">
        <f t="shared" si="83"/>
        <v>-</v>
      </c>
      <c r="CL26" s="92"/>
      <c r="CM26" s="884"/>
      <c r="CN26" s="66"/>
      <c r="CP26" s="876"/>
      <c r="CQ26" s="890"/>
      <c r="CR26" s="890"/>
      <c r="CS26" s="891">
        <f t="shared" si="84"/>
        <v>0</v>
      </c>
      <c r="CT26" s="892" t="str">
        <f t="shared" si="85"/>
        <v>-</v>
      </c>
      <c r="CU26" s="92"/>
      <c r="CV26" s="884"/>
      <c r="CW26" s="66"/>
      <c r="CY26" s="876"/>
      <c r="CZ26" s="890"/>
      <c r="DA26" s="890"/>
      <c r="DB26" s="891">
        <f t="shared" si="86"/>
        <v>0</v>
      </c>
      <c r="DC26" s="892" t="str">
        <f t="shared" si="87"/>
        <v>-</v>
      </c>
      <c r="DD26" s="92"/>
      <c r="DE26" s="884"/>
      <c r="DF26" s="66"/>
      <c r="DH26" s="876"/>
      <c r="DI26" s="890"/>
      <c r="DJ26" s="890"/>
      <c r="DK26" s="891">
        <f t="shared" si="88"/>
        <v>0</v>
      </c>
      <c r="DL26" s="892" t="str">
        <f t="shared" si="89"/>
        <v>-</v>
      </c>
      <c r="DM26" s="92"/>
      <c r="DN26" s="884"/>
      <c r="DO26" s="66"/>
      <c r="DP26" s="55"/>
      <c r="DQ26" s="876"/>
      <c r="DR26" s="890"/>
      <c r="DS26" s="890"/>
      <c r="DT26" s="891">
        <f t="shared" si="90"/>
        <v>0</v>
      </c>
      <c r="DU26" s="892" t="str">
        <f t="shared" si="91"/>
        <v>-</v>
      </c>
      <c r="DV26" s="92"/>
      <c r="DW26" s="884"/>
      <c r="DX26" s="66"/>
      <c r="DY26" s="55"/>
      <c r="DZ26" s="876"/>
      <c r="EA26" s="890"/>
      <c r="EB26" s="890"/>
      <c r="EC26" s="891">
        <f t="shared" si="92"/>
        <v>0</v>
      </c>
      <c r="ED26" s="892" t="str">
        <f t="shared" si="93"/>
        <v>-</v>
      </c>
      <c r="EE26" s="92"/>
    </row>
    <row r="27">
      <c r="A27" s="33">
        <f>'Schedule | 2 Division (OLD)'!J25</f>
        <v>15</v>
      </c>
      <c r="B27" s="30" t="str">
        <f>'Schedule | 2 Division (OLD)'!E25</f>
        <v>VIOLENCE</v>
      </c>
      <c r="C27" s="906">
        <f>'Schedule | 2 Division (OLD)'!F25</f>
        <v>0</v>
      </c>
      <c r="D27" s="906">
        <f>'Schedule | 2 Division (OLD)'!H25</f>
        <v>0</v>
      </c>
      <c r="E27" s="30" t="str">
        <f>'Schedule | 2 Division (OLD)'!I25</f>
        <v>DISTANCE</v>
      </c>
      <c r="F27" s="30" t="str">
        <f t="shared" si="36"/>
        <v/>
      </c>
      <c r="G27" s="433" t="str">
        <f t="shared" si="37"/>
        <v/>
      </c>
      <c r="H27" s="884"/>
      <c r="I27" s="884"/>
      <c r="J27" s="874"/>
      <c r="K27" s="66"/>
      <c r="L27" s="55"/>
      <c r="M27" s="876"/>
      <c r="N27" s="890"/>
      <c r="O27" s="890"/>
      <c r="P27" s="891">
        <f t="shared" si="66"/>
        <v>0</v>
      </c>
      <c r="Q27" s="892" t="str">
        <f t="shared" si="67"/>
        <v>-</v>
      </c>
      <c r="S27" s="35"/>
      <c r="T27" s="66"/>
      <c r="V27" s="876"/>
      <c r="W27" s="890"/>
      <c r="X27" s="890"/>
      <c r="Y27" s="891">
        <f t="shared" si="68"/>
        <v>0</v>
      </c>
      <c r="Z27" s="892" t="str">
        <f t="shared" si="69"/>
        <v>-</v>
      </c>
      <c r="AA27" s="92"/>
      <c r="AB27" s="874"/>
      <c r="AC27" s="66"/>
      <c r="AD27" s="55"/>
      <c r="AE27" s="876"/>
      <c r="AF27" s="890"/>
      <c r="AG27" s="890"/>
      <c r="AH27" s="891">
        <f t="shared" si="70"/>
        <v>0</v>
      </c>
      <c r="AI27" s="892" t="str">
        <f t="shared" si="71"/>
        <v>-</v>
      </c>
      <c r="AJ27" s="92"/>
      <c r="AK27" s="874"/>
      <c r="AL27" s="66"/>
      <c r="AM27" s="55"/>
      <c r="AN27" s="876"/>
      <c r="AO27" s="890"/>
      <c r="AP27" s="890"/>
      <c r="AQ27" s="891">
        <f t="shared" si="72"/>
        <v>0</v>
      </c>
      <c r="AR27" s="892" t="str">
        <f t="shared" si="73"/>
        <v>-</v>
      </c>
      <c r="AS27" s="92"/>
      <c r="AT27" s="884"/>
      <c r="AU27" s="66"/>
      <c r="AV27" s="55"/>
      <c r="AW27" s="876"/>
      <c r="AX27" s="890"/>
      <c r="AY27" s="890"/>
      <c r="AZ27" s="891">
        <f t="shared" si="74"/>
        <v>0</v>
      </c>
      <c r="BA27" s="892" t="str">
        <f t="shared" si="75"/>
        <v>-</v>
      </c>
      <c r="BB27" s="92"/>
      <c r="BC27" s="884"/>
      <c r="BD27" s="66"/>
      <c r="BE27" s="55"/>
      <c r="BF27" s="876"/>
      <c r="BG27" s="890"/>
      <c r="BH27" s="890"/>
      <c r="BI27" s="891">
        <f t="shared" si="76"/>
        <v>0</v>
      </c>
      <c r="BJ27" s="892" t="str">
        <f t="shared" si="77"/>
        <v>-</v>
      </c>
      <c r="BK27" s="92"/>
      <c r="BL27" s="884"/>
      <c r="BM27" s="66"/>
      <c r="BN27" s="55"/>
      <c r="BO27" s="876"/>
      <c r="BP27" s="890"/>
      <c r="BQ27" s="890"/>
      <c r="BR27" s="891">
        <f t="shared" si="78"/>
        <v>0</v>
      </c>
      <c r="BS27" s="892" t="str">
        <f t="shared" si="79"/>
        <v>-</v>
      </c>
      <c r="BT27" s="92"/>
      <c r="BU27" s="884"/>
      <c r="BV27" s="66"/>
      <c r="BX27" s="876"/>
      <c r="BY27" s="890"/>
      <c r="BZ27" s="890"/>
      <c r="CA27" s="891">
        <f t="shared" si="80"/>
        <v>0</v>
      </c>
      <c r="CB27" s="892" t="str">
        <f t="shared" si="81"/>
        <v>-</v>
      </c>
      <c r="CC27" s="92"/>
      <c r="CD27" s="884"/>
      <c r="CE27" s="66"/>
      <c r="CG27" s="876"/>
      <c r="CH27" s="890"/>
      <c r="CI27" s="890"/>
      <c r="CJ27" s="891">
        <f t="shared" si="82"/>
        <v>0</v>
      </c>
      <c r="CK27" s="892" t="str">
        <f t="shared" si="83"/>
        <v>-</v>
      </c>
      <c r="CL27" s="92"/>
      <c r="CM27" s="884"/>
      <c r="CN27" s="66"/>
      <c r="CP27" s="876"/>
      <c r="CQ27" s="890"/>
      <c r="CR27" s="890"/>
      <c r="CS27" s="891">
        <f t="shared" si="84"/>
        <v>0</v>
      </c>
      <c r="CT27" s="892" t="str">
        <f t="shared" si="85"/>
        <v>-</v>
      </c>
      <c r="CU27" s="92"/>
      <c r="CV27" s="884"/>
      <c r="CW27" s="66"/>
      <c r="CY27" s="876"/>
      <c r="CZ27" s="890"/>
      <c r="DA27" s="890"/>
      <c r="DB27" s="891">
        <f t="shared" si="86"/>
        <v>0</v>
      </c>
      <c r="DC27" s="892" t="str">
        <f t="shared" si="87"/>
        <v>-</v>
      </c>
      <c r="DD27" s="92"/>
      <c r="DE27" s="884"/>
      <c r="DF27" s="66"/>
      <c r="DH27" s="876"/>
      <c r="DI27" s="890"/>
      <c r="DJ27" s="890"/>
      <c r="DK27" s="891">
        <f t="shared" si="88"/>
        <v>0</v>
      </c>
      <c r="DL27" s="892" t="str">
        <f t="shared" si="89"/>
        <v>-</v>
      </c>
      <c r="DM27" s="92"/>
      <c r="DN27" s="884"/>
      <c r="DO27" s="66"/>
      <c r="DP27" s="55"/>
      <c r="DQ27" s="876"/>
      <c r="DR27" s="890"/>
      <c r="DS27" s="890"/>
      <c r="DT27" s="891">
        <f t="shared" si="90"/>
        <v>0</v>
      </c>
      <c r="DU27" s="892" t="str">
        <f t="shared" si="91"/>
        <v>-</v>
      </c>
      <c r="DV27" s="92"/>
      <c r="DW27" s="884"/>
      <c r="DX27" s="66"/>
      <c r="DY27" s="55"/>
      <c r="DZ27" s="876"/>
      <c r="EA27" s="890"/>
      <c r="EB27" s="890"/>
      <c r="EC27" s="891">
        <f t="shared" si="92"/>
        <v>0</v>
      </c>
      <c r="ED27" s="892" t="str">
        <f t="shared" si="93"/>
        <v>-</v>
      </c>
      <c r="EE27" s="92"/>
    </row>
    <row r="28">
      <c r="A28" s="33">
        <f>'Schedule | 2 Division (OLD)'!J26</f>
        <v>16</v>
      </c>
      <c r="B28" s="30" t="str">
        <f>'Schedule | 2 Division (OLD)'!E26</f>
        <v>PARADOX</v>
      </c>
      <c r="C28" s="906">
        <f>'Schedule | 2 Division (OLD)'!F26</f>
        <v>0</v>
      </c>
      <c r="D28" s="906">
        <f>'Schedule | 2 Division (OLD)'!H26</f>
        <v>0</v>
      </c>
      <c r="E28" s="30" t="str">
        <f>'Schedule | 2 Division (OLD)'!I26</f>
        <v>ALFA</v>
      </c>
      <c r="F28" s="30" t="str">
        <f t="shared" si="36"/>
        <v/>
      </c>
      <c r="G28" s="433" t="str">
        <f t="shared" si="37"/>
        <v/>
      </c>
      <c r="H28" s="884"/>
      <c r="I28" s="884"/>
      <c r="J28" s="874"/>
      <c r="K28" s="66"/>
      <c r="L28" s="55"/>
      <c r="M28" s="876"/>
      <c r="N28" s="890"/>
      <c r="O28" s="890"/>
      <c r="P28" s="891">
        <f t="shared" si="66"/>
        <v>0</v>
      </c>
      <c r="Q28" s="892" t="str">
        <f t="shared" si="67"/>
        <v>-</v>
      </c>
      <c r="S28" s="35"/>
      <c r="T28" s="66"/>
      <c r="V28" s="876"/>
      <c r="W28" s="890"/>
      <c r="X28" s="890"/>
      <c r="Y28" s="891">
        <f t="shared" si="68"/>
        <v>0</v>
      </c>
      <c r="Z28" s="892" t="str">
        <f t="shared" si="69"/>
        <v>-</v>
      </c>
      <c r="AA28" s="92"/>
      <c r="AB28" s="874"/>
      <c r="AC28" s="66"/>
      <c r="AD28" s="55"/>
      <c r="AE28" s="876"/>
      <c r="AF28" s="890"/>
      <c r="AG28" s="890"/>
      <c r="AH28" s="891">
        <f t="shared" si="70"/>
        <v>0</v>
      </c>
      <c r="AI28" s="892" t="str">
        <f t="shared" si="71"/>
        <v>-</v>
      </c>
      <c r="AJ28" s="92"/>
      <c r="AK28" s="874"/>
      <c r="AL28" s="66"/>
      <c r="AM28" s="55"/>
      <c r="AN28" s="876"/>
      <c r="AO28" s="890"/>
      <c r="AP28" s="890"/>
      <c r="AQ28" s="891">
        <f t="shared" si="72"/>
        <v>0</v>
      </c>
      <c r="AR28" s="892" t="str">
        <f t="shared" si="73"/>
        <v>-</v>
      </c>
      <c r="AS28" s="92"/>
      <c r="AT28" s="884"/>
      <c r="AU28" s="66"/>
      <c r="AV28" s="55"/>
      <c r="AW28" s="876"/>
      <c r="AX28" s="890"/>
      <c r="AY28" s="890"/>
      <c r="AZ28" s="891">
        <f t="shared" si="74"/>
        <v>0</v>
      </c>
      <c r="BA28" s="892" t="str">
        <f t="shared" si="75"/>
        <v>-</v>
      </c>
      <c r="BB28" s="92"/>
      <c r="BC28" s="884"/>
      <c r="BD28" s="66"/>
      <c r="BE28" s="55"/>
      <c r="BF28" s="876"/>
      <c r="BG28" s="890"/>
      <c r="BH28" s="890"/>
      <c r="BI28" s="891">
        <f t="shared" si="76"/>
        <v>0</v>
      </c>
      <c r="BJ28" s="892" t="str">
        <f t="shared" si="77"/>
        <v>-</v>
      </c>
      <c r="BK28" s="92"/>
      <c r="BL28" s="884"/>
      <c r="BM28" s="66"/>
      <c r="BN28" s="55"/>
      <c r="BO28" s="876"/>
      <c r="BP28" s="890"/>
      <c r="BQ28" s="890"/>
      <c r="BR28" s="891">
        <f t="shared" si="78"/>
        <v>0</v>
      </c>
      <c r="BS28" s="892" t="str">
        <f t="shared" si="79"/>
        <v>-</v>
      </c>
      <c r="BT28" s="92"/>
      <c r="BU28" s="884"/>
      <c r="BV28" s="66"/>
      <c r="BX28" s="876"/>
      <c r="BY28" s="890"/>
      <c r="BZ28" s="890"/>
      <c r="CA28" s="891">
        <f t="shared" si="80"/>
        <v>0</v>
      </c>
      <c r="CB28" s="892" t="str">
        <f t="shared" si="81"/>
        <v>-</v>
      </c>
      <c r="CC28" s="92"/>
      <c r="CD28" s="884"/>
      <c r="CE28" s="66"/>
      <c r="CG28" s="876"/>
      <c r="CH28" s="890"/>
      <c r="CI28" s="890"/>
      <c r="CJ28" s="891">
        <f t="shared" si="82"/>
        <v>0</v>
      </c>
      <c r="CK28" s="892" t="str">
        <f t="shared" si="83"/>
        <v>-</v>
      </c>
      <c r="CL28" s="92"/>
      <c r="CM28" s="884"/>
      <c r="CN28" s="66"/>
      <c r="CP28" s="876"/>
      <c r="CQ28" s="890"/>
      <c r="CR28" s="890"/>
      <c r="CS28" s="891">
        <f t="shared" si="84"/>
        <v>0</v>
      </c>
      <c r="CT28" s="892" t="str">
        <f t="shared" si="85"/>
        <v>-</v>
      </c>
      <c r="CU28" s="92"/>
      <c r="CV28" s="884"/>
      <c r="CW28" s="66"/>
      <c r="CY28" s="876"/>
      <c r="CZ28" s="890"/>
      <c r="DA28" s="890"/>
      <c r="DB28" s="891">
        <f t="shared" si="86"/>
        <v>0</v>
      </c>
      <c r="DC28" s="892" t="str">
        <f t="shared" si="87"/>
        <v>-</v>
      </c>
      <c r="DD28" s="92"/>
      <c r="DE28" s="884"/>
      <c r="DF28" s="66"/>
      <c r="DH28" s="876"/>
      <c r="DI28" s="890"/>
      <c r="DJ28" s="890"/>
      <c r="DK28" s="891">
        <f t="shared" si="88"/>
        <v>0</v>
      </c>
      <c r="DL28" s="892" t="str">
        <f t="shared" si="89"/>
        <v>-</v>
      </c>
      <c r="DM28" s="92"/>
      <c r="DN28" s="884"/>
      <c r="DO28" s="66"/>
      <c r="DP28" s="55"/>
      <c r="DQ28" s="876"/>
      <c r="DR28" s="890"/>
      <c r="DS28" s="890"/>
      <c r="DT28" s="891">
        <f t="shared" si="90"/>
        <v>0</v>
      </c>
      <c r="DU28" s="892" t="str">
        <f t="shared" si="91"/>
        <v>-</v>
      </c>
      <c r="DV28" s="92"/>
      <c r="DW28" s="884"/>
      <c r="DX28" s="66"/>
      <c r="DY28" s="55"/>
      <c r="DZ28" s="876"/>
      <c r="EA28" s="890"/>
      <c r="EB28" s="890"/>
      <c r="EC28" s="891">
        <f t="shared" si="92"/>
        <v>0</v>
      </c>
      <c r="ED28" s="892" t="str">
        <f t="shared" si="93"/>
        <v>-</v>
      </c>
      <c r="EE28" s="92"/>
    </row>
    <row r="29">
      <c r="A29" s="33">
        <f>'Schedule | 2 Division (OLD)'!J29</f>
        <v>17</v>
      </c>
      <c r="B29" s="30" t="str">
        <f>'Schedule | 2 Division (OLD)'!E29</f>
        <v>QW0TROBERY</v>
      </c>
      <c r="C29" s="906">
        <f>'Schedule | 2 Division (OLD)'!F29</f>
        <v>0</v>
      </c>
      <c r="D29" s="906">
        <f>'Schedule | 2 Division (OLD)'!H29</f>
        <v>0</v>
      </c>
      <c r="E29" s="30" t="str">
        <f>'Schedule | 2 Division (OLD)'!I29</f>
        <v>ICM</v>
      </c>
      <c r="F29" s="30" t="str">
        <f t="shared" si="36"/>
        <v/>
      </c>
      <c r="G29" s="433" t="str">
        <f t="shared" si="37"/>
        <v/>
      </c>
      <c r="H29" s="884"/>
      <c r="I29" s="884"/>
      <c r="J29" s="874"/>
      <c r="K29" s="66"/>
      <c r="L29" s="55"/>
      <c r="M29" s="893"/>
      <c r="N29" s="894"/>
      <c r="O29" s="894"/>
      <c r="P29" s="895">
        <f t="shared" si="66"/>
        <v>0</v>
      </c>
      <c r="Q29" s="896" t="str">
        <f t="shared" si="67"/>
        <v>-</v>
      </c>
      <c r="S29" s="35"/>
      <c r="T29" s="66"/>
      <c r="V29" s="893"/>
      <c r="W29" s="894"/>
      <c r="X29" s="894"/>
      <c r="Y29" s="895">
        <f t="shared" si="68"/>
        <v>0</v>
      </c>
      <c r="Z29" s="896" t="str">
        <f t="shared" si="69"/>
        <v>-</v>
      </c>
      <c r="AA29" s="92"/>
      <c r="AB29" s="874"/>
      <c r="AC29" s="66"/>
      <c r="AD29" s="55"/>
      <c r="AE29" s="893"/>
      <c r="AF29" s="894"/>
      <c r="AG29" s="894"/>
      <c r="AH29" s="895">
        <f t="shared" si="70"/>
        <v>0</v>
      </c>
      <c r="AI29" s="896" t="str">
        <f t="shared" si="71"/>
        <v>-</v>
      </c>
      <c r="AJ29" s="92"/>
      <c r="AK29" s="874"/>
      <c r="AL29" s="66"/>
      <c r="AM29" s="55"/>
      <c r="AN29" s="893"/>
      <c r="AO29" s="894"/>
      <c r="AP29" s="894"/>
      <c r="AQ29" s="895">
        <f t="shared" si="72"/>
        <v>0</v>
      </c>
      <c r="AR29" s="896" t="str">
        <f t="shared" si="73"/>
        <v>-</v>
      </c>
      <c r="AS29" s="92"/>
      <c r="AT29" s="884"/>
      <c r="AU29" s="66"/>
      <c r="AV29" s="55"/>
      <c r="AW29" s="893"/>
      <c r="AX29" s="894"/>
      <c r="AY29" s="894"/>
      <c r="AZ29" s="895">
        <f t="shared" si="74"/>
        <v>0</v>
      </c>
      <c r="BA29" s="896" t="str">
        <f t="shared" si="75"/>
        <v>-</v>
      </c>
      <c r="BB29" s="92"/>
      <c r="BC29" s="884"/>
      <c r="BD29" s="66"/>
      <c r="BE29" s="55"/>
      <c r="BF29" s="893"/>
      <c r="BG29" s="894"/>
      <c r="BH29" s="894"/>
      <c r="BI29" s="895">
        <f t="shared" si="76"/>
        <v>0</v>
      </c>
      <c r="BJ29" s="896" t="str">
        <f t="shared" si="77"/>
        <v>-</v>
      </c>
      <c r="BK29" s="92"/>
      <c r="BL29" s="884"/>
      <c r="BM29" s="66"/>
      <c r="BN29" s="55"/>
      <c r="BO29" s="893"/>
      <c r="BP29" s="894"/>
      <c r="BQ29" s="894"/>
      <c r="BR29" s="895">
        <f t="shared" si="78"/>
        <v>0</v>
      </c>
      <c r="BS29" s="896" t="str">
        <f t="shared" si="79"/>
        <v>-</v>
      </c>
      <c r="BT29" s="92"/>
      <c r="BU29" s="884"/>
      <c r="BV29" s="66"/>
      <c r="BX29" s="893"/>
      <c r="BY29" s="894"/>
      <c r="BZ29" s="894"/>
      <c r="CA29" s="895">
        <f t="shared" si="80"/>
        <v>0</v>
      </c>
      <c r="CB29" s="896" t="str">
        <f t="shared" si="81"/>
        <v>-</v>
      </c>
      <c r="CC29" s="92"/>
      <c r="CD29" s="884"/>
      <c r="CE29" s="66"/>
      <c r="CG29" s="893"/>
      <c r="CH29" s="894"/>
      <c r="CI29" s="894"/>
      <c r="CJ29" s="895">
        <f t="shared" si="82"/>
        <v>0</v>
      </c>
      <c r="CK29" s="896" t="str">
        <f t="shared" si="83"/>
        <v>-</v>
      </c>
      <c r="CL29" s="92"/>
      <c r="CM29" s="884"/>
      <c r="CN29" s="66"/>
      <c r="CP29" s="893"/>
      <c r="CQ29" s="894"/>
      <c r="CR29" s="894"/>
      <c r="CS29" s="895">
        <f t="shared" si="84"/>
        <v>0</v>
      </c>
      <c r="CT29" s="896" t="str">
        <f t="shared" si="85"/>
        <v>-</v>
      </c>
      <c r="CU29" s="92"/>
      <c r="CV29" s="884"/>
      <c r="CW29" s="66"/>
      <c r="CY29" s="893"/>
      <c r="CZ29" s="894"/>
      <c r="DA29" s="894"/>
      <c r="DB29" s="895">
        <f t="shared" si="86"/>
        <v>0</v>
      </c>
      <c r="DC29" s="896" t="str">
        <f t="shared" si="87"/>
        <v>-</v>
      </c>
      <c r="DD29" s="92"/>
      <c r="DE29" s="884"/>
      <c r="DF29" s="66"/>
      <c r="DH29" s="893"/>
      <c r="DI29" s="894"/>
      <c r="DJ29" s="894"/>
      <c r="DK29" s="895">
        <f t="shared" si="88"/>
        <v>0</v>
      </c>
      <c r="DL29" s="896" t="str">
        <f t="shared" si="89"/>
        <v>-</v>
      </c>
      <c r="DM29" s="92"/>
      <c r="DN29" s="884"/>
      <c r="DO29" s="66"/>
      <c r="DP29" s="55"/>
      <c r="DQ29" s="893"/>
      <c r="DR29" s="894"/>
      <c r="DS29" s="894"/>
      <c r="DT29" s="895">
        <f t="shared" si="90"/>
        <v>0</v>
      </c>
      <c r="DU29" s="896" t="str">
        <f t="shared" si="91"/>
        <v>-</v>
      </c>
      <c r="DV29" s="92"/>
      <c r="DW29" s="884"/>
      <c r="DX29" s="66"/>
      <c r="DY29" s="55"/>
      <c r="DZ29" s="893"/>
      <c r="EA29" s="894"/>
      <c r="EB29" s="894"/>
      <c r="EC29" s="895">
        <f t="shared" si="92"/>
        <v>0</v>
      </c>
      <c r="ED29" s="896" t="str">
        <f t="shared" si="93"/>
        <v>-</v>
      </c>
      <c r="EE29" s="92"/>
    </row>
    <row r="30">
      <c r="A30" s="33">
        <f>'Schedule | 2 Division (OLD)'!J30</f>
        <v>18</v>
      </c>
      <c r="B30" s="30" t="str">
        <f>'Schedule | 2 Division (OLD)'!E30</f>
        <v>VIOLENCE</v>
      </c>
      <c r="C30" s="906">
        <f>'Schedule | 2 Division (OLD)'!F30</f>
        <v>0</v>
      </c>
      <c r="D30" s="906">
        <f>'Schedule | 2 Division (OLD)'!H30</f>
        <v>0</v>
      </c>
      <c r="E30" s="30" t="str">
        <f>'Schedule | 2 Division (OLD)'!I30</f>
        <v>PARADOX</v>
      </c>
      <c r="F30" s="30" t="str">
        <f t="shared" si="36"/>
        <v/>
      </c>
      <c r="G30" s="433" t="str">
        <f t="shared" si="37"/>
        <v/>
      </c>
      <c r="H30" s="884"/>
      <c r="I30" s="884"/>
      <c r="J30" s="874"/>
      <c r="K30" s="94"/>
      <c r="L30" s="61"/>
      <c r="M30" s="898">
        <f>COUNTIF(N23:N29, "W")</f>
        <v>0</v>
      </c>
      <c r="N30" s="144"/>
      <c r="O30" s="894" t="s">
        <v>816</v>
      </c>
      <c r="P30" s="899">
        <f>COUNTIF(P23:P29, "W")</f>
        <v>0</v>
      </c>
      <c r="Q30" s="93"/>
      <c r="R30" s="22"/>
      <c r="S30" s="35"/>
      <c r="T30" s="94"/>
      <c r="V30" s="898">
        <f>COUNTIF(W23:W29, "W")</f>
        <v>0</v>
      </c>
      <c r="W30" s="144"/>
      <c r="X30" s="894" t="s">
        <v>816</v>
      </c>
      <c r="Y30" s="899">
        <f>COUNTIF(Y23:Y29, "W")</f>
        <v>0</v>
      </c>
      <c r="Z30" s="93"/>
      <c r="AA30" s="93"/>
      <c r="AB30" s="874"/>
      <c r="AC30" s="94"/>
      <c r="AD30" s="61"/>
      <c r="AE30" s="898">
        <f>COUNTIF(AF23:AF29, "W")</f>
        <v>0</v>
      </c>
      <c r="AF30" s="144"/>
      <c r="AG30" s="894" t="s">
        <v>816</v>
      </c>
      <c r="AH30" s="899">
        <f>COUNTIF(AH23:AH29, "W")</f>
        <v>0</v>
      </c>
      <c r="AI30" s="93"/>
      <c r="AJ30" s="93"/>
      <c r="AK30" s="874"/>
      <c r="AL30" s="94"/>
      <c r="AM30" s="61"/>
      <c r="AN30" s="898">
        <f>COUNTIF(AO23:AO29, "W")</f>
        <v>0</v>
      </c>
      <c r="AO30" s="144"/>
      <c r="AP30" s="894" t="s">
        <v>816</v>
      </c>
      <c r="AQ30" s="899">
        <f>COUNTIF(AQ23:AQ29, "W")</f>
        <v>0</v>
      </c>
      <c r="AR30" s="93"/>
      <c r="AS30" s="93"/>
      <c r="AT30" s="884"/>
      <c r="AU30" s="94"/>
      <c r="AV30" s="61"/>
      <c r="AW30" s="898">
        <f>COUNTIF(AX23:AX29, "W")</f>
        <v>0</v>
      </c>
      <c r="AX30" s="144"/>
      <c r="AY30" s="894" t="s">
        <v>816</v>
      </c>
      <c r="AZ30" s="899">
        <f>COUNTIF(AZ23:AZ29, "W")</f>
        <v>0</v>
      </c>
      <c r="BA30" s="93"/>
      <c r="BB30" s="93"/>
      <c r="BC30" s="884"/>
      <c r="BD30" s="94"/>
      <c r="BE30" s="61"/>
      <c r="BF30" s="898">
        <f>COUNTIF(BG23:BG29, "W")</f>
        <v>0</v>
      </c>
      <c r="BG30" s="144"/>
      <c r="BH30" s="894" t="s">
        <v>816</v>
      </c>
      <c r="BI30" s="899">
        <f>COUNTIF(BI23:BI29, "W")</f>
        <v>0</v>
      </c>
      <c r="BJ30" s="93"/>
      <c r="BK30" s="93"/>
      <c r="BL30" s="884"/>
      <c r="BM30" s="94"/>
      <c r="BN30" s="61"/>
      <c r="BO30" s="898">
        <f>COUNTIF(BP23:BP29, "W")</f>
        <v>0</v>
      </c>
      <c r="BP30" s="144"/>
      <c r="BQ30" s="894" t="s">
        <v>816</v>
      </c>
      <c r="BR30" s="899">
        <f>COUNTIF(BR23:BR29, "W")</f>
        <v>0</v>
      </c>
      <c r="BS30" s="93"/>
      <c r="BT30" s="93"/>
      <c r="BU30" s="884"/>
      <c r="BV30" s="94"/>
      <c r="BX30" s="898">
        <f>COUNTIF(BY23:BY29, "W")</f>
        <v>0</v>
      </c>
      <c r="BY30" s="144"/>
      <c r="BZ30" s="894" t="s">
        <v>816</v>
      </c>
      <c r="CA30" s="899">
        <f>COUNTIF(CA23:CA29, "W")</f>
        <v>0</v>
      </c>
      <c r="CB30" s="93"/>
      <c r="CC30" s="92"/>
      <c r="CD30" s="884"/>
      <c r="CE30" s="94"/>
      <c r="CG30" s="898">
        <f>COUNTIF(CH23:CH29, "W")</f>
        <v>0</v>
      </c>
      <c r="CH30" s="144"/>
      <c r="CI30" s="894" t="s">
        <v>816</v>
      </c>
      <c r="CJ30" s="899">
        <f>COUNTIF(CJ23:CJ29, "W")</f>
        <v>0</v>
      </c>
      <c r="CK30" s="93"/>
      <c r="CL30" s="92"/>
      <c r="CM30" s="884"/>
      <c r="CN30" s="94"/>
      <c r="CP30" s="898">
        <f>COUNTIF(CQ23:CQ29, "W")</f>
        <v>0</v>
      </c>
      <c r="CQ30" s="144"/>
      <c r="CR30" s="894" t="s">
        <v>816</v>
      </c>
      <c r="CS30" s="899">
        <f>COUNTIF(CS23:CS29, "W")</f>
        <v>0</v>
      </c>
      <c r="CT30" s="93"/>
      <c r="CU30" s="92"/>
      <c r="CV30" s="884"/>
      <c r="CW30" s="94"/>
      <c r="CY30" s="898">
        <f>COUNTIF(CZ23:CZ29, "W")</f>
        <v>0</v>
      </c>
      <c r="CZ30" s="144"/>
      <c r="DA30" s="894" t="s">
        <v>816</v>
      </c>
      <c r="DB30" s="899">
        <f>COUNTIF(DB23:DB29, "W")</f>
        <v>0</v>
      </c>
      <c r="DC30" s="93"/>
      <c r="DD30" s="92"/>
      <c r="DE30" s="884"/>
      <c r="DF30" s="94"/>
      <c r="DH30" s="898">
        <f>COUNTIF(DI23:DI29, "W")</f>
        <v>0</v>
      </c>
      <c r="DI30" s="144"/>
      <c r="DJ30" s="894" t="s">
        <v>816</v>
      </c>
      <c r="DK30" s="899">
        <f>COUNTIF(DK23:DK29, "W")</f>
        <v>0</v>
      </c>
      <c r="DL30" s="93"/>
      <c r="DM30" s="92"/>
      <c r="DN30" s="884"/>
      <c r="DO30" s="94"/>
      <c r="DP30" s="61"/>
      <c r="DQ30" s="898">
        <f>COUNTIF(DR23:DR29, "W")</f>
        <v>0</v>
      </c>
      <c r="DR30" s="144"/>
      <c r="DS30" s="894" t="s">
        <v>816</v>
      </c>
      <c r="DT30" s="899">
        <f>COUNTIF(DT23:DT29, "W")</f>
        <v>0</v>
      </c>
      <c r="DU30" s="93"/>
      <c r="DV30" s="93"/>
      <c r="DW30" s="884"/>
      <c r="DX30" s="94"/>
      <c r="DY30" s="61"/>
      <c r="DZ30" s="898">
        <f>COUNTIF(EA23:EA29, "W")</f>
        <v>0</v>
      </c>
      <c r="EA30" s="144"/>
      <c r="EB30" s="894" t="s">
        <v>816</v>
      </c>
      <c r="EC30" s="899">
        <f>COUNTIF(EC23:EC29, "W")</f>
        <v>0</v>
      </c>
      <c r="ED30" s="93"/>
      <c r="EE30" s="93"/>
    </row>
    <row r="31" ht="18.0" customHeight="1">
      <c r="A31" s="33">
        <f>'Schedule | 2 Division (OLD)'!J31</f>
        <v>19</v>
      </c>
      <c r="B31" s="30" t="str">
        <f>'Schedule | 2 Division (OLD)'!E31</f>
        <v>Green Hustle</v>
      </c>
      <c r="C31" s="906">
        <f>'Schedule | 2 Division (OLD)'!F31</f>
        <v>0</v>
      </c>
      <c r="D31" s="906">
        <f>'Schedule | 2 Division (OLD)'!H31</f>
        <v>0</v>
      </c>
      <c r="E31" s="30" t="str">
        <f>'Schedule | 2 Division (OLD)'!I31</f>
        <v>ALFA</v>
      </c>
      <c r="F31" s="30" t="str">
        <f t="shared" si="36"/>
        <v/>
      </c>
      <c r="G31" s="433" t="str">
        <f t="shared" si="37"/>
        <v/>
      </c>
      <c r="H31" s="884"/>
      <c r="I31" s="884"/>
      <c r="J31" s="862"/>
      <c r="K31" s="902"/>
      <c r="L31" s="903"/>
      <c r="M31" s="903"/>
      <c r="N31" s="903"/>
      <c r="O31" s="903"/>
      <c r="P31" s="903"/>
      <c r="Q31" s="903"/>
      <c r="R31" s="903"/>
      <c r="S31" s="862"/>
      <c r="T31" s="902"/>
      <c r="U31" s="903"/>
      <c r="V31" s="903"/>
      <c r="W31" s="903"/>
      <c r="X31" s="903"/>
      <c r="Y31" s="903"/>
      <c r="Z31" s="903"/>
      <c r="AA31" s="903"/>
      <c r="AB31" s="862"/>
      <c r="AC31" s="902"/>
      <c r="AD31" s="903"/>
      <c r="AE31" s="903"/>
      <c r="AF31" s="903"/>
      <c r="AG31" s="903"/>
      <c r="AH31" s="903"/>
      <c r="AI31" s="903"/>
      <c r="AJ31" s="903"/>
      <c r="AK31" s="862"/>
      <c r="AL31" s="902"/>
      <c r="AM31" s="903"/>
      <c r="AN31" s="903"/>
      <c r="AO31" s="903"/>
      <c r="AP31" s="903"/>
      <c r="AQ31" s="903"/>
      <c r="AR31" s="903"/>
      <c r="AS31" s="903"/>
      <c r="AT31" s="870"/>
      <c r="AU31" s="902"/>
      <c r="AV31" s="903"/>
      <c r="AW31" s="903"/>
      <c r="AX31" s="903"/>
      <c r="AY31" s="903"/>
      <c r="AZ31" s="903"/>
      <c r="BA31" s="903"/>
      <c r="BB31" s="903"/>
      <c r="BC31" s="870"/>
      <c r="BD31" s="902"/>
      <c r="BE31" s="903"/>
      <c r="BF31" s="903"/>
      <c r="BG31" s="903"/>
      <c r="BH31" s="903"/>
      <c r="BI31" s="903"/>
      <c r="BJ31" s="903"/>
      <c r="BK31" s="903"/>
      <c r="BL31" s="870"/>
      <c r="BM31" s="902"/>
      <c r="BN31" s="903"/>
      <c r="BO31" s="903"/>
      <c r="BP31" s="903"/>
      <c r="BQ31" s="903"/>
      <c r="BR31" s="903"/>
      <c r="BS31" s="903"/>
      <c r="BT31" s="903"/>
      <c r="BU31" s="870"/>
      <c r="BV31" s="902"/>
      <c r="BW31" s="903"/>
      <c r="BX31" s="903"/>
      <c r="BY31" s="903"/>
      <c r="BZ31" s="903"/>
      <c r="CA31" s="903"/>
      <c r="CB31" s="903"/>
      <c r="CC31" s="903"/>
      <c r="CD31" s="870"/>
      <c r="CE31" s="902"/>
      <c r="CF31" s="903"/>
      <c r="CG31" s="903"/>
      <c r="CH31" s="903"/>
      <c r="CI31" s="903"/>
      <c r="CJ31" s="903"/>
      <c r="CK31" s="903"/>
      <c r="CL31" s="903"/>
      <c r="CM31" s="870"/>
      <c r="CN31" s="902"/>
      <c r="CO31" s="903"/>
      <c r="CP31" s="903"/>
      <c r="CQ31" s="903"/>
      <c r="CR31" s="903"/>
      <c r="CS31" s="903"/>
      <c r="CT31" s="903"/>
      <c r="CU31" s="903"/>
      <c r="CV31" s="870"/>
      <c r="CW31" s="902"/>
      <c r="CX31" s="903"/>
      <c r="CY31" s="903"/>
      <c r="CZ31" s="903"/>
      <c r="DA31" s="903"/>
      <c r="DB31" s="903"/>
      <c r="DC31" s="903"/>
      <c r="DD31" s="903"/>
      <c r="DE31" s="870"/>
      <c r="DF31" s="902"/>
      <c r="DG31" s="903"/>
      <c r="DH31" s="903"/>
      <c r="DI31" s="903"/>
      <c r="DJ31" s="903"/>
      <c r="DK31" s="903"/>
      <c r="DL31" s="903"/>
      <c r="DM31" s="903"/>
      <c r="DN31" s="870"/>
      <c r="DO31" s="902"/>
      <c r="DP31" s="903"/>
      <c r="DQ31" s="903"/>
      <c r="DR31" s="903"/>
      <c r="DS31" s="903"/>
      <c r="DT31" s="903"/>
      <c r="DU31" s="903"/>
      <c r="DV31" s="903"/>
      <c r="DW31" s="870"/>
      <c r="DX31" s="902"/>
      <c r="DY31" s="903"/>
      <c r="DZ31" s="903"/>
      <c r="EA31" s="903"/>
      <c r="EB31" s="903"/>
      <c r="EC31" s="903"/>
      <c r="ED31" s="903"/>
      <c r="EE31" s="903"/>
    </row>
    <row r="32">
      <c r="A32" s="33">
        <f>'Schedule | 2 Division (OLD)'!J32</f>
        <v>20</v>
      </c>
      <c r="B32" s="30" t="str">
        <f>'Schedule | 2 Division (OLD)'!E32</f>
        <v>DISTANCE</v>
      </c>
      <c r="C32" s="906">
        <f>'Schedule | 2 Division (OLD)'!F32</f>
        <v>0</v>
      </c>
      <c r="D32" s="906">
        <f>'Schedule | 2 Division (OLD)'!H32</f>
        <v>0</v>
      </c>
      <c r="E32" s="30" t="str">
        <f>'Schedule | 2 Division (OLD)'!I32</f>
        <v>Hoax</v>
      </c>
      <c r="F32" s="30" t="str">
        <f t="shared" si="36"/>
        <v/>
      </c>
      <c r="G32" s="433" t="str">
        <f t="shared" si="37"/>
        <v/>
      </c>
      <c r="H32" s="884"/>
      <c r="I32" s="884"/>
      <c r="J32" s="862"/>
      <c r="K32" s="869" t="s">
        <v>263</v>
      </c>
      <c r="L32" s="869" t="s">
        <v>258</v>
      </c>
      <c r="M32" s="865" t="s">
        <v>825</v>
      </c>
      <c r="N32" s="866" t="s">
        <v>259</v>
      </c>
      <c r="O32" s="866" t="s">
        <v>307</v>
      </c>
      <c r="P32" s="866" t="s">
        <v>259</v>
      </c>
      <c r="Q32" s="867" t="s">
        <v>826</v>
      </c>
      <c r="R32" s="905" t="s">
        <v>261</v>
      </c>
      <c r="S32" s="868"/>
      <c r="T32" s="863" t="s">
        <v>263</v>
      </c>
      <c r="U32" s="863" t="s">
        <v>258</v>
      </c>
      <c r="V32" s="865" t="s">
        <v>825</v>
      </c>
      <c r="W32" s="866" t="s">
        <v>259</v>
      </c>
      <c r="X32" s="866" t="s">
        <v>307</v>
      </c>
      <c r="Y32" s="866" t="s">
        <v>259</v>
      </c>
      <c r="Z32" s="867" t="s">
        <v>826</v>
      </c>
      <c r="AA32" s="863" t="s">
        <v>261</v>
      </c>
      <c r="AB32" s="862"/>
      <c r="AC32" s="863" t="s">
        <v>263</v>
      </c>
      <c r="AD32" s="863" t="s">
        <v>258</v>
      </c>
      <c r="AE32" s="865" t="s">
        <v>825</v>
      </c>
      <c r="AF32" s="866" t="s">
        <v>259</v>
      </c>
      <c r="AG32" s="866" t="s">
        <v>307</v>
      </c>
      <c r="AH32" s="866" t="s">
        <v>259</v>
      </c>
      <c r="AI32" s="867" t="s">
        <v>826</v>
      </c>
      <c r="AJ32" s="863" t="s">
        <v>261</v>
      </c>
      <c r="AK32" s="862"/>
      <c r="AL32" s="863" t="s">
        <v>263</v>
      </c>
      <c r="AM32" s="863" t="s">
        <v>258</v>
      </c>
      <c r="AN32" s="865" t="s">
        <v>825</v>
      </c>
      <c r="AO32" s="866" t="s">
        <v>259</v>
      </c>
      <c r="AP32" s="866" t="s">
        <v>307</v>
      </c>
      <c r="AQ32" s="866" t="s">
        <v>259</v>
      </c>
      <c r="AR32" s="867" t="s">
        <v>826</v>
      </c>
      <c r="AS32" s="863" t="s">
        <v>261</v>
      </c>
      <c r="AT32" s="870"/>
      <c r="AU32" s="863" t="s">
        <v>263</v>
      </c>
      <c r="AV32" s="863" t="s">
        <v>258</v>
      </c>
      <c r="AW32" s="865" t="s">
        <v>825</v>
      </c>
      <c r="AX32" s="866" t="s">
        <v>259</v>
      </c>
      <c r="AY32" s="866" t="s">
        <v>307</v>
      </c>
      <c r="AZ32" s="866" t="s">
        <v>259</v>
      </c>
      <c r="BA32" s="867" t="s">
        <v>826</v>
      </c>
      <c r="BB32" s="863" t="s">
        <v>261</v>
      </c>
      <c r="BC32" s="870"/>
      <c r="BD32" s="863" t="s">
        <v>263</v>
      </c>
      <c r="BE32" s="863" t="s">
        <v>258</v>
      </c>
      <c r="BF32" s="865" t="s">
        <v>825</v>
      </c>
      <c r="BG32" s="866" t="s">
        <v>259</v>
      </c>
      <c r="BH32" s="866" t="s">
        <v>307</v>
      </c>
      <c r="BI32" s="866" t="s">
        <v>259</v>
      </c>
      <c r="BJ32" s="867" t="s">
        <v>826</v>
      </c>
      <c r="BK32" s="863" t="s">
        <v>261</v>
      </c>
      <c r="BL32" s="870"/>
      <c r="BM32" s="863" t="s">
        <v>263</v>
      </c>
      <c r="BN32" s="863" t="s">
        <v>258</v>
      </c>
      <c r="BO32" s="865" t="s">
        <v>825</v>
      </c>
      <c r="BP32" s="866" t="s">
        <v>259</v>
      </c>
      <c r="BQ32" s="866" t="s">
        <v>307</v>
      </c>
      <c r="BR32" s="866" t="s">
        <v>259</v>
      </c>
      <c r="BS32" s="867" t="s">
        <v>826</v>
      </c>
      <c r="BT32" s="863" t="s">
        <v>261</v>
      </c>
      <c r="BU32" s="870"/>
      <c r="BV32" s="863" t="s">
        <v>263</v>
      </c>
      <c r="BW32" s="863" t="s">
        <v>258</v>
      </c>
      <c r="BX32" s="865" t="s">
        <v>825</v>
      </c>
      <c r="BY32" s="866" t="s">
        <v>259</v>
      </c>
      <c r="BZ32" s="866" t="s">
        <v>307</v>
      </c>
      <c r="CA32" s="866" t="s">
        <v>259</v>
      </c>
      <c r="CB32" s="867" t="s">
        <v>826</v>
      </c>
      <c r="CC32" s="863" t="s">
        <v>261</v>
      </c>
      <c r="CD32" s="870"/>
      <c r="CE32" s="863" t="s">
        <v>263</v>
      </c>
      <c r="CF32" s="863" t="s">
        <v>258</v>
      </c>
      <c r="CG32" s="865" t="s">
        <v>825</v>
      </c>
      <c r="CH32" s="866" t="s">
        <v>259</v>
      </c>
      <c r="CI32" s="866" t="s">
        <v>307</v>
      </c>
      <c r="CJ32" s="866" t="s">
        <v>259</v>
      </c>
      <c r="CK32" s="867" t="s">
        <v>826</v>
      </c>
      <c r="CL32" s="863" t="s">
        <v>261</v>
      </c>
      <c r="CM32" s="870"/>
      <c r="CN32" s="863" t="s">
        <v>263</v>
      </c>
      <c r="CO32" s="863" t="s">
        <v>258</v>
      </c>
      <c r="CP32" s="865" t="s">
        <v>825</v>
      </c>
      <c r="CQ32" s="866" t="s">
        <v>259</v>
      </c>
      <c r="CR32" s="866" t="s">
        <v>307</v>
      </c>
      <c r="CS32" s="866" t="s">
        <v>259</v>
      </c>
      <c r="CT32" s="867" t="s">
        <v>826</v>
      </c>
      <c r="CU32" s="863" t="s">
        <v>261</v>
      </c>
      <c r="CV32" s="870"/>
      <c r="CW32" s="863" t="s">
        <v>263</v>
      </c>
      <c r="CX32" s="863" t="s">
        <v>258</v>
      </c>
      <c r="CY32" s="865" t="s">
        <v>825</v>
      </c>
      <c r="CZ32" s="866" t="s">
        <v>259</v>
      </c>
      <c r="DA32" s="866" t="s">
        <v>307</v>
      </c>
      <c r="DB32" s="866" t="s">
        <v>259</v>
      </c>
      <c r="DC32" s="867" t="s">
        <v>826</v>
      </c>
      <c r="DD32" s="863" t="s">
        <v>261</v>
      </c>
      <c r="DE32" s="870"/>
      <c r="DF32" s="863" t="s">
        <v>263</v>
      </c>
      <c r="DG32" s="863" t="s">
        <v>258</v>
      </c>
      <c r="DH32" s="865" t="s">
        <v>825</v>
      </c>
      <c r="DI32" s="866" t="s">
        <v>259</v>
      </c>
      <c r="DJ32" s="866" t="s">
        <v>307</v>
      </c>
      <c r="DK32" s="866" t="s">
        <v>259</v>
      </c>
      <c r="DL32" s="867" t="s">
        <v>826</v>
      </c>
      <c r="DM32" s="863" t="s">
        <v>261</v>
      </c>
      <c r="DN32" s="870"/>
      <c r="DO32" s="863" t="s">
        <v>263</v>
      </c>
      <c r="DP32" s="863" t="s">
        <v>258</v>
      </c>
      <c r="DQ32" s="865" t="s">
        <v>825</v>
      </c>
      <c r="DR32" s="866" t="s">
        <v>259</v>
      </c>
      <c r="DS32" s="866" t="s">
        <v>307</v>
      </c>
      <c r="DT32" s="866" t="s">
        <v>259</v>
      </c>
      <c r="DU32" s="867" t="s">
        <v>826</v>
      </c>
      <c r="DV32" s="863" t="s">
        <v>261</v>
      </c>
      <c r="DW32" s="870"/>
      <c r="DX32" s="863" t="s">
        <v>263</v>
      </c>
      <c r="DY32" s="863" t="s">
        <v>258</v>
      </c>
      <c r="DZ32" s="865" t="s">
        <v>825</v>
      </c>
      <c r="EA32" s="866" t="s">
        <v>259</v>
      </c>
      <c r="EB32" s="866" t="s">
        <v>307</v>
      </c>
      <c r="EC32" s="866" t="s">
        <v>259</v>
      </c>
      <c r="ED32" s="867" t="s">
        <v>826</v>
      </c>
      <c r="EE32" s="863" t="s">
        <v>261</v>
      </c>
    </row>
    <row r="33">
      <c r="A33" s="33">
        <f>'Schedule | 2 Division (OLD)'!J35</f>
        <v>21</v>
      </c>
      <c r="B33" s="911" t="str">
        <f>'Schedule | 2 Division (OLD)'!E35</f>
        <v>Green Hustle</v>
      </c>
      <c r="C33" s="906">
        <f>'Schedule | 2 Division (OLD)'!F35</f>
        <v>0</v>
      </c>
      <c r="D33" s="906">
        <f>'Schedule | 2 Division (OLD)'!H35</f>
        <v>0</v>
      </c>
      <c r="E33" s="911" t="str">
        <f>'Schedule | 2 Division (OLD)'!I35</f>
        <v>Hoax</v>
      </c>
      <c r="F33" s="30" t="str">
        <f t="shared" si="36"/>
        <v/>
      </c>
      <c r="G33" s="433" t="str">
        <f t="shared" si="37"/>
        <v/>
      </c>
      <c r="H33" s="884"/>
      <c r="I33" s="884"/>
      <c r="J33" s="874"/>
      <c r="K33" s="456">
        <f>'Schedule | 2 Division (OLD)'!J8</f>
        <v>4</v>
      </c>
      <c r="L33" s="875" t="str">
        <f>'Schedule | 2 Division (OLD)'!E8</f>
        <v>Hoax</v>
      </c>
      <c r="M33" s="876"/>
      <c r="N33" s="877"/>
      <c r="O33" s="877"/>
      <c r="P33" s="878">
        <f t="shared" ref="P33:P39" si="94">ifs(N33="W","L",N33="L", "W",N33=0,0)</f>
        <v>0</v>
      </c>
      <c r="Q33" s="879" t="str">
        <f t="shared" ref="Q33:Q39" si="95">ifs(M33="Attack","Defense",M33="Defense", "Attack",N33=0, "-")</f>
        <v>-</v>
      </c>
      <c r="R33" s="907" t="str">
        <f>'Schedule | 2 Division (OLD)'!I8</f>
        <v>QW0TROBERY</v>
      </c>
      <c r="S33" s="35"/>
      <c r="T33" s="456">
        <f>'Schedule | 2 Division (OLD)'!J14</f>
        <v>8</v>
      </c>
      <c r="U33" s="912" t="str">
        <f>'Schedule | 2 Division (OLD)'!E14</f>
        <v>ICM</v>
      </c>
      <c r="V33" s="876"/>
      <c r="W33" s="877"/>
      <c r="X33" s="877"/>
      <c r="Y33" s="878">
        <f t="shared" ref="Y33:Y39" si="96">ifs(W33="W","L",W33="L", "W",W33=0,0)</f>
        <v>0</v>
      </c>
      <c r="Z33" s="879" t="str">
        <f t="shared" ref="Z33:Z39" si="97">ifs(V33="Attack","Defense",V33="Defense", "Attack",W33=0, "-")</f>
        <v>-</v>
      </c>
      <c r="AA33" s="883" t="str">
        <f>'Schedule | 2 Division (OLD)'!I14</f>
        <v>Green Hustle</v>
      </c>
      <c r="AB33" s="874"/>
      <c r="AC33" s="456">
        <f>'Schedule | 2 Division (OLD)'!J20</f>
        <v>12</v>
      </c>
      <c r="AD33" s="875" t="str">
        <f>'Schedule | 2 Division (OLD)'!E20</f>
        <v>QW0TROBERY</v>
      </c>
      <c r="AE33" s="876"/>
      <c r="AF33" s="877"/>
      <c r="AG33" s="877"/>
      <c r="AH33" s="878">
        <f t="shared" ref="AH33:AH39" si="98">ifs(AF33="W","L",AF33="L", "W",AF33=0,0)</f>
        <v>0</v>
      </c>
      <c r="AI33" s="879" t="str">
        <f t="shared" ref="AI33:AI39" si="99">ifs(AE33="Attack","Defense",AE33="Defense", "Attack",AF33=0, "-")</f>
        <v>-</v>
      </c>
      <c r="AJ33" s="883" t="str">
        <f>'Schedule | 2 Division (OLD)'!I20</f>
        <v>DISTANCE</v>
      </c>
      <c r="AK33" s="874"/>
      <c r="AL33" s="456">
        <f>'Schedule | 2 Division (OLD)'!J26</f>
        <v>16</v>
      </c>
      <c r="AM33" s="887" t="str">
        <f>'Schedule | 2 Division (OLD)'!E26</f>
        <v>PARADOX</v>
      </c>
      <c r="AN33" s="876"/>
      <c r="AO33" s="877"/>
      <c r="AP33" s="877"/>
      <c r="AQ33" s="878">
        <f t="shared" ref="AQ33:AQ39" si="100">ifs(AO33="W","L",AO33="L", "W",AO33=0,0)</f>
        <v>0</v>
      </c>
      <c r="AR33" s="879" t="str">
        <f t="shared" ref="AR33:AR39" si="101">ifs(AN33="Attack","Defense",AN33="Defense", "Attack",AO33=0, "-")</f>
        <v>-</v>
      </c>
      <c r="AS33" s="888" t="s">
        <v>832</v>
      </c>
      <c r="AT33" s="884"/>
      <c r="AU33" s="456">
        <f>'Schedule | 2 Division (OLD)'!J32</f>
        <v>20</v>
      </c>
      <c r="AV33" s="875" t="str">
        <f>'Schedule | 2 Division (OLD)'!E32</f>
        <v>DISTANCE</v>
      </c>
      <c r="AW33" s="876"/>
      <c r="AX33" s="877"/>
      <c r="AY33" s="877"/>
      <c r="AZ33" s="878">
        <f t="shared" ref="AZ33:AZ39" si="102">ifs(AX33="W","L",AX33="L", "W",AX33=0,0)</f>
        <v>0</v>
      </c>
      <c r="BA33" s="879" t="str">
        <f t="shared" ref="BA33:BA39" si="103">ifs(AW33="Attack","Defense",AW33="Defense", "Attack",AX33=0, "-")</f>
        <v>-</v>
      </c>
      <c r="BB33" s="883" t="str">
        <f>'Schedule | 2 Division (OLD)'!I32</f>
        <v>Hoax</v>
      </c>
      <c r="BC33" s="884"/>
      <c r="BD33" s="456">
        <f>'Schedule | 2 Division (OLD)'!J38</f>
        <v>24</v>
      </c>
      <c r="BE33" s="875" t="str">
        <f>'Schedule | 2 Division (OLD)'!E38</f>
        <v>DISTANCE</v>
      </c>
      <c r="BF33" s="876"/>
      <c r="BG33" s="877"/>
      <c r="BH33" s="877"/>
      <c r="BI33" s="878">
        <f t="shared" ref="BI33:BI39" si="104">ifs(BG33="W","L",BG33="L", "W",BG33=0,0)</f>
        <v>0</v>
      </c>
      <c r="BJ33" s="879" t="str">
        <f t="shared" ref="BJ33:BJ39" si="105">ifs(BF33="Attack","Defense",BF33="Defense", "Attack",BG33=0, "-")</f>
        <v>-</v>
      </c>
      <c r="BK33" s="888" t="str">
        <f>'Schedule | 2 Division (OLD)'!I38</f>
        <v>ALFA</v>
      </c>
      <c r="BL33" s="884"/>
      <c r="BM33" s="456">
        <f>'Schedule | 2 Division (OLD)'!J44</f>
        <v>28</v>
      </c>
      <c r="BN33" s="875" t="str">
        <f>'Schedule | 2 Division (OLD)'!E44</f>
        <v>QW0TROBERY</v>
      </c>
      <c r="BO33" s="876"/>
      <c r="BP33" s="877"/>
      <c r="BQ33" s="877"/>
      <c r="BR33" s="878">
        <f t="shared" ref="BR33:BR39" si="106">ifs(BP33="W","L",BP33="L", "W",BP33=0,0)</f>
        <v>0</v>
      </c>
      <c r="BS33" s="879" t="str">
        <f t="shared" ref="BS33:BS39" si="107">ifs(BO33="Attack","Defense",BO33="Defense", "Attack",BP33=0, "-")</f>
        <v>-</v>
      </c>
      <c r="BT33" s="883" t="str">
        <f>'Schedule | 2 Division (OLD)'!I44</f>
        <v>VIOLENCE</v>
      </c>
      <c r="BU33" s="884"/>
      <c r="BV33" s="456">
        <f>'Schedule | 2 Division (OLD)'!P8</f>
        <v>32</v>
      </c>
      <c r="BW33" s="447" t="str">
        <f>'Schedule | 2 Division (OLD)'!K8</f>
        <v>QW0TROBERY</v>
      </c>
      <c r="BX33" s="876"/>
      <c r="BY33" s="877"/>
      <c r="BZ33" s="877"/>
      <c r="CA33" s="878">
        <f t="shared" ref="CA33:CA39" si="108">ifs(BY33="W","L",BY33="L", "W",BY33=0,0)</f>
        <v>0</v>
      </c>
      <c r="CB33" s="879" t="str">
        <f t="shared" ref="CB33:CB39" si="109">ifs(BX33="Attack","Defense",BX33="Defense", "Attack",BY33=0, "-")</f>
        <v>-</v>
      </c>
      <c r="CC33" s="882" t="str">
        <f>'Schedule | 2 Division (OLD)'!O8</f>
        <v>Hoax</v>
      </c>
      <c r="CD33" s="884"/>
      <c r="CE33" s="456">
        <f>'Schedule | 2 Division (OLD)'!P14</f>
        <v>36</v>
      </c>
      <c r="CF33" s="447" t="str">
        <f>'Schedule | 2 Division (OLD)'!K14</f>
        <v>PARADOX</v>
      </c>
      <c r="CG33" s="876"/>
      <c r="CH33" s="877"/>
      <c r="CI33" s="877"/>
      <c r="CJ33" s="878">
        <f t="shared" ref="CJ33:CJ39" si="110">ifs(CH33="W","L",CH33="L", "W",CH33=0,0)</f>
        <v>0</v>
      </c>
      <c r="CK33" s="879" t="str">
        <f t="shared" ref="CK33:CK39" si="111">ifs(CG33="Attack","Defense",CG33="Defense", "Attack",CH33=0, "-")</f>
        <v>-</v>
      </c>
      <c r="CL33" s="882" t="str">
        <f>'Schedule | 2 Division (OLD)'!O14</f>
        <v>DISTANCE</v>
      </c>
      <c r="CM33" s="884"/>
      <c r="CN33" s="456">
        <f>'Schedule | 2 Division (OLD)'!P20</f>
        <v>40</v>
      </c>
      <c r="CO33" s="447" t="str">
        <f>'Schedule | 2 Division (OLD)'!K20</f>
        <v>Green Hustle</v>
      </c>
      <c r="CP33" s="876"/>
      <c r="CQ33" s="877"/>
      <c r="CR33" s="877"/>
      <c r="CS33" s="878">
        <f t="shared" ref="CS33:CS39" si="112">ifs(CQ33="W","L",CQ33="L", "W",CQ33=0,0)</f>
        <v>0</v>
      </c>
      <c r="CT33" s="879" t="str">
        <f t="shared" ref="CT33:CT39" si="113">ifs(CP33="Attack","Defense",CP33="Defense", "Attack",CQ33=0, "-")</f>
        <v>-</v>
      </c>
      <c r="CU33" s="882" t="str">
        <f>'Schedule | 2 Division (OLD)'!O20</f>
        <v>VIOLENCE</v>
      </c>
      <c r="CV33" s="884"/>
      <c r="CW33" s="456">
        <f>'Schedule | 2 Division (OLD)'!P26</f>
        <v>44</v>
      </c>
      <c r="CX33" s="881" t="str">
        <f>'Schedule | 2 Division (OLD)'!K26</f>
        <v>ICM</v>
      </c>
      <c r="CY33" s="876"/>
      <c r="CZ33" s="877"/>
      <c r="DA33" s="877"/>
      <c r="DB33" s="878">
        <f t="shared" ref="DB33:DB39" si="114">ifs(CZ33="W","L",CZ33="L", "W",CZ33=0,0)</f>
        <v>0</v>
      </c>
      <c r="DC33" s="879" t="str">
        <f t="shared" ref="DC33:DC39" si="115">ifs(CY33="Attack","Defense",CY33="Defense", "Attack",CZ33=0, "-")</f>
        <v>-</v>
      </c>
      <c r="DD33" s="882" t="str">
        <f>'Schedule | 2 Division (OLD)'!O26</f>
        <v>Hoax</v>
      </c>
      <c r="DE33" s="884"/>
      <c r="DF33" s="456">
        <f>'Schedule | 2 Division (OLD)'!P32</f>
        <v>48</v>
      </c>
      <c r="DG33" s="447" t="str">
        <f>'Schedule | 2 Division (OLD)'!K32</f>
        <v>ALFA</v>
      </c>
      <c r="DH33" s="876"/>
      <c r="DI33" s="877"/>
      <c r="DJ33" s="877"/>
      <c r="DK33" s="878">
        <f t="shared" ref="DK33:DK39" si="116">ifs(DI33="W","L",DI33="L", "W",DI33=0,0)</f>
        <v>0</v>
      </c>
      <c r="DL33" s="879" t="str">
        <f t="shared" ref="DL33:DL39" si="117">ifs(DH33="Attack","Defense",DH33="Defense", "Attack",DI33=0, "-")</f>
        <v>-</v>
      </c>
      <c r="DM33" s="888" t="str">
        <f>'Schedule | 2 Division (OLD)'!O32</f>
        <v>Green Hustle</v>
      </c>
      <c r="DN33" s="884"/>
      <c r="DO33" s="456">
        <f>'Schedule | 2 Division (OLD)'!P38</f>
        <v>52</v>
      </c>
      <c r="DP33" s="875" t="str">
        <f>'Schedule | 2 Division (OLD)'!K38</f>
        <v>ICM</v>
      </c>
      <c r="DQ33" s="876"/>
      <c r="DR33" s="877"/>
      <c r="DS33" s="877"/>
      <c r="DT33" s="878">
        <f t="shared" ref="DT33:DT39" si="118">ifs(DR33="W","L",DR33="L", "W",DR33=0,0)</f>
        <v>0</v>
      </c>
      <c r="DU33" s="879" t="str">
        <f t="shared" ref="DU33:DU39" si="119">ifs(DQ33="Attack","Defense",DQ33="Defense", "Attack",DR33=0, "-")</f>
        <v>-</v>
      </c>
      <c r="DV33" s="883" t="str">
        <f>'Schedule | 2 Division (OLD)'!O38</f>
        <v>VIOLENCE</v>
      </c>
      <c r="DW33" s="884"/>
      <c r="DX33" s="456">
        <f>'Schedule | 2 Division (OLD)'!P44</f>
        <v>56</v>
      </c>
      <c r="DY33" s="875" t="str">
        <f>'Schedule | 2 Division (OLD)'!K44</f>
        <v>Hoax</v>
      </c>
      <c r="DZ33" s="876"/>
      <c r="EA33" s="877"/>
      <c r="EB33" s="877"/>
      <c r="EC33" s="878">
        <f t="shared" ref="EC33:EC39" si="120">ifs(EA33="W","L",EA33="L", "W",EA33=0,0)</f>
        <v>0</v>
      </c>
      <c r="ED33" s="879" t="str">
        <f t="shared" ref="ED33:ED39" si="121">ifs(DZ33="Attack","Defense",DZ33="Defense", "Attack",EA33=0, "-")</f>
        <v>-</v>
      </c>
      <c r="EE33" s="888" t="str">
        <f>'Schedule | 2 Division (OLD)'!O44</f>
        <v>ALFA</v>
      </c>
    </row>
    <row r="34">
      <c r="A34" s="33">
        <f>'Schedule | 2 Division (OLD)'!J36</f>
        <v>22</v>
      </c>
      <c r="B34" s="30" t="str">
        <f>'Schedule | 2 Division (OLD)'!E36</f>
        <v>PARADOX</v>
      </c>
      <c r="C34" s="906">
        <f>'Schedule | 2 Division (OLD)'!F36</f>
        <v>0</v>
      </c>
      <c r="D34" s="906">
        <f>'Schedule | 2 Division (OLD)'!H36</f>
        <v>0</v>
      </c>
      <c r="E34" s="30" t="str">
        <f>'Schedule | 2 Division (OLD)'!I36</f>
        <v>QW0TROBERY</v>
      </c>
      <c r="F34" s="30" t="str">
        <f t="shared" si="36"/>
        <v/>
      </c>
      <c r="G34" s="433" t="str">
        <f t="shared" si="37"/>
        <v/>
      </c>
      <c r="H34" s="884"/>
      <c r="I34" s="884"/>
      <c r="J34" s="874"/>
      <c r="K34" s="66"/>
      <c r="L34" s="55"/>
      <c r="M34" s="876"/>
      <c r="N34" s="890"/>
      <c r="O34" s="890"/>
      <c r="P34" s="891">
        <f t="shared" si="94"/>
        <v>0</v>
      </c>
      <c r="Q34" s="892" t="str">
        <f t="shared" si="95"/>
        <v>-</v>
      </c>
      <c r="S34" s="35"/>
      <c r="T34" s="66"/>
      <c r="V34" s="876"/>
      <c r="W34" s="890"/>
      <c r="X34" s="890"/>
      <c r="Y34" s="891">
        <f t="shared" si="96"/>
        <v>0</v>
      </c>
      <c r="Z34" s="892" t="str">
        <f t="shared" si="97"/>
        <v>-</v>
      </c>
      <c r="AA34" s="92"/>
      <c r="AB34" s="874"/>
      <c r="AC34" s="66"/>
      <c r="AD34" s="55"/>
      <c r="AE34" s="876"/>
      <c r="AF34" s="890"/>
      <c r="AG34" s="890"/>
      <c r="AH34" s="891">
        <f t="shared" si="98"/>
        <v>0</v>
      </c>
      <c r="AI34" s="892" t="str">
        <f t="shared" si="99"/>
        <v>-</v>
      </c>
      <c r="AJ34" s="92"/>
      <c r="AK34" s="874"/>
      <c r="AL34" s="66"/>
      <c r="AM34" s="55"/>
      <c r="AN34" s="876"/>
      <c r="AO34" s="890"/>
      <c r="AP34" s="890"/>
      <c r="AQ34" s="891">
        <f t="shared" si="100"/>
        <v>0</v>
      </c>
      <c r="AR34" s="892" t="str">
        <f t="shared" si="101"/>
        <v>-</v>
      </c>
      <c r="AS34" s="92"/>
      <c r="AT34" s="884"/>
      <c r="AU34" s="66"/>
      <c r="AV34" s="55"/>
      <c r="AW34" s="876"/>
      <c r="AX34" s="890"/>
      <c r="AY34" s="890"/>
      <c r="AZ34" s="891">
        <f t="shared" si="102"/>
        <v>0</v>
      </c>
      <c r="BA34" s="892" t="str">
        <f t="shared" si="103"/>
        <v>-</v>
      </c>
      <c r="BB34" s="92"/>
      <c r="BC34" s="884"/>
      <c r="BD34" s="66"/>
      <c r="BE34" s="55"/>
      <c r="BF34" s="876"/>
      <c r="BG34" s="890"/>
      <c r="BH34" s="890"/>
      <c r="BI34" s="891">
        <f t="shared" si="104"/>
        <v>0</v>
      </c>
      <c r="BJ34" s="892" t="str">
        <f t="shared" si="105"/>
        <v>-</v>
      </c>
      <c r="BK34" s="92"/>
      <c r="BL34" s="884"/>
      <c r="BM34" s="66"/>
      <c r="BN34" s="55"/>
      <c r="BO34" s="876"/>
      <c r="BP34" s="890"/>
      <c r="BQ34" s="890"/>
      <c r="BR34" s="891">
        <f t="shared" si="106"/>
        <v>0</v>
      </c>
      <c r="BS34" s="892" t="str">
        <f t="shared" si="107"/>
        <v>-</v>
      </c>
      <c r="BT34" s="92"/>
      <c r="BU34" s="884"/>
      <c r="BV34" s="66"/>
      <c r="BX34" s="876"/>
      <c r="BY34" s="890"/>
      <c r="BZ34" s="890"/>
      <c r="CA34" s="891">
        <f t="shared" si="108"/>
        <v>0</v>
      </c>
      <c r="CB34" s="892" t="str">
        <f t="shared" si="109"/>
        <v>-</v>
      </c>
      <c r="CC34" s="92"/>
      <c r="CD34" s="884"/>
      <c r="CE34" s="66"/>
      <c r="CG34" s="876"/>
      <c r="CH34" s="890"/>
      <c r="CI34" s="890"/>
      <c r="CJ34" s="891">
        <f t="shared" si="110"/>
        <v>0</v>
      </c>
      <c r="CK34" s="892" t="str">
        <f t="shared" si="111"/>
        <v>-</v>
      </c>
      <c r="CL34" s="92"/>
      <c r="CM34" s="884"/>
      <c r="CN34" s="66"/>
      <c r="CP34" s="876"/>
      <c r="CQ34" s="890"/>
      <c r="CR34" s="890"/>
      <c r="CS34" s="891">
        <f t="shared" si="112"/>
        <v>0</v>
      </c>
      <c r="CT34" s="892" t="str">
        <f t="shared" si="113"/>
        <v>-</v>
      </c>
      <c r="CU34" s="92"/>
      <c r="CV34" s="884"/>
      <c r="CW34" s="66"/>
      <c r="CY34" s="876"/>
      <c r="CZ34" s="890"/>
      <c r="DA34" s="890"/>
      <c r="DB34" s="891">
        <f t="shared" si="114"/>
        <v>0</v>
      </c>
      <c r="DC34" s="892" t="str">
        <f t="shared" si="115"/>
        <v>-</v>
      </c>
      <c r="DD34" s="92"/>
      <c r="DE34" s="884"/>
      <c r="DF34" s="66"/>
      <c r="DH34" s="876"/>
      <c r="DI34" s="890"/>
      <c r="DJ34" s="890"/>
      <c r="DK34" s="891">
        <f t="shared" si="116"/>
        <v>0</v>
      </c>
      <c r="DL34" s="892" t="str">
        <f t="shared" si="117"/>
        <v>-</v>
      </c>
      <c r="DM34" s="92"/>
      <c r="DN34" s="884"/>
      <c r="DO34" s="66"/>
      <c r="DP34" s="55"/>
      <c r="DQ34" s="876"/>
      <c r="DR34" s="890"/>
      <c r="DS34" s="890"/>
      <c r="DT34" s="891">
        <f t="shared" si="118"/>
        <v>0</v>
      </c>
      <c r="DU34" s="892" t="str">
        <f t="shared" si="119"/>
        <v>-</v>
      </c>
      <c r="DV34" s="92"/>
      <c r="DW34" s="884"/>
      <c r="DX34" s="66"/>
      <c r="DY34" s="55"/>
      <c r="DZ34" s="876"/>
      <c r="EA34" s="890"/>
      <c r="EB34" s="890"/>
      <c r="EC34" s="891">
        <f t="shared" si="120"/>
        <v>0</v>
      </c>
      <c r="ED34" s="892" t="str">
        <f t="shared" si="121"/>
        <v>-</v>
      </c>
      <c r="EE34" s="92"/>
    </row>
    <row r="35">
      <c r="A35" s="33">
        <f>'Schedule | 2 Division (OLD)'!J37</f>
        <v>23</v>
      </c>
      <c r="B35" s="30" t="str">
        <f>'Schedule | 2 Division (OLD)'!E37</f>
        <v>VIOLENCE</v>
      </c>
      <c r="C35" s="906">
        <f>'Schedule | 2 Division (OLD)'!F37</f>
        <v>0</v>
      </c>
      <c r="D35" s="906">
        <f>'Schedule | 2 Division (OLD)'!H37</f>
        <v>0</v>
      </c>
      <c r="E35" s="30" t="str">
        <f>'Schedule | 2 Division (OLD)'!I37</f>
        <v>ICM</v>
      </c>
      <c r="F35" s="30" t="str">
        <f t="shared" si="36"/>
        <v/>
      </c>
      <c r="G35" s="433" t="str">
        <f t="shared" si="37"/>
        <v/>
      </c>
      <c r="H35" s="884"/>
      <c r="I35" s="884"/>
      <c r="J35" s="874"/>
      <c r="K35" s="66"/>
      <c r="L35" s="55"/>
      <c r="M35" s="876"/>
      <c r="N35" s="890"/>
      <c r="O35" s="890"/>
      <c r="P35" s="891">
        <f t="shared" si="94"/>
        <v>0</v>
      </c>
      <c r="Q35" s="892" t="str">
        <f t="shared" si="95"/>
        <v>-</v>
      </c>
      <c r="S35" s="35"/>
      <c r="T35" s="66"/>
      <c r="V35" s="876"/>
      <c r="W35" s="890"/>
      <c r="X35" s="890"/>
      <c r="Y35" s="891">
        <f t="shared" si="96"/>
        <v>0</v>
      </c>
      <c r="Z35" s="892" t="str">
        <f t="shared" si="97"/>
        <v>-</v>
      </c>
      <c r="AA35" s="92"/>
      <c r="AB35" s="874"/>
      <c r="AC35" s="66"/>
      <c r="AD35" s="55"/>
      <c r="AE35" s="876"/>
      <c r="AF35" s="890"/>
      <c r="AG35" s="890"/>
      <c r="AH35" s="891">
        <f t="shared" si="98"/>
        <v>0</v>
      </c>
      <c r="AI35" s="892" t="str">
        <f t="shared" si="99"/>
        <v>-</v>
      </c>
      <c r="AJ35" s="92"/>
      <c r="AK35" s="874"/>
      <c r="AL35" s="66"/>
      <c r="AM35" s="55"/>
      <c r="AN35" s="876"/>
      <c r="AO35" s="890"/>
      <c r="AP35" s="890"/>
      <c r="AQ35" s="891">
        <f t="shared" si="100"/>
        <v>0</v>
      </c>
      <c r="AR35" s="892" t="str">
        <f t="shared" si="101"/>
        <v>-</v>
      </c>
      <c r="AS35" s="92"/>
      <c r="AT35" s="884"/>
      <c r="AU35" s="66"/>
      <c r="AV35" s="55"/>
      <c r="AW35" s="876"/>
      <c r="AX35" s="890"/>
      <c r="AY35" s="890"/>
      <c r="AZ35" s="891">
        <f t="shared" si="102"/>
        <v>0</v>
      </c>
      <c r="BA35" s="892" t="str">
        <f t="shared" si="103"/>
        <v>-</v>
      </c>
      <c r="BB35" s="92"/>
      <c r="BC35" s="884"/>
      <c r="BD35" s="66"/>
      <c r="BE35" s="55"/>
      <c r="BF35" s="876"/>
      <c r="BG35" s="890"/>
      <c r="BH35" s="890"/>
      <c r="BI35" s="891">
        <f t="shared" si="104"/>
        <v>0</v>
      </c>
      <c r="BJ35" s="892" t="str">
        <f t="shared" si="105"/>
        <v>-</v>
      </c>
      <c r="BK35" s="92"/>
      <c r="BL35" s="884"/>
      <c r="BM35" s="66"/>
      <c r="BN35" s="55"/>
      <c r="BO35" s="876"/>
      <c r="BP35" s="890"/>
      <c r="BQ35" s="890"/>
      <c r="BR35" s="891">
        <f t="shared" si="106"/>
        <v>0</v>
      </c>
      <c r="BS35" s="892" t="str">
        <f t="shared" si="107"/>
        <v>-</v>
      </c>
      <c r="BT35" s="92"/>
      <c r="BU35" s="884"/>
      <c r="BV35" s="66"/>
      <c r="BX35" s="876"/>
      <c r="BY35" s="890"/>
      <c r="BZ35" s="890"/>
      <c r="CA35" s="891">
        <f t="shared" si="108"/>
        <v>0</v>
      </c>
      <c r="CB35" s="892" t="str">
        <f t="shared" si="109"/>
        <v>-</v>
      </c>
      <c r="CC35" s="92"/>
      <c r="CD35" s="884"/>
      <c r="CE35" s="66"/>
      <c r="CG35" s="876"/>
      <c r="CH35" s="890"/>
      <c r="CI35" s="890"/>
      <c r="CJ35" s="891">
        <f t="shared" si="110"/>
        <v>0</v>
      </c>
      <c r="CK35" s="892" t="str">
        <f t="shared" si="111"/>
        <v>-</v>
      </c>
      <c r="CL35" s="92"/>
      <c r="CM35" s="884"/>
      <c r="CN35" s="66"/>
      <c r="CP35" s="876"/>
      <c r="CQ35" s="890"/>
      <c r="CR35" s="890"/>
      <c r="CS35" s="891">
        <f t="shared" si="112"/>
        <v>0</v>
      </c>
      <c r="CT35" s="892" t="str">
        <f t="shared" si="113"/>
        <v>-</v>
      </c>
      <c r="CU35" s="92"/>
      <c r="CV35" s="884"/>
      <c r="CW35" s="66"/>
      <c r="CY35" s="876"/>
      <c r="CZ35" s="890"/>
      <c r="DA35" s="890"/>
      <c r="DB35" s="891">
        <f t="shared" si="114"/>
        <v>0</v>
      </c>
      <c r="DC35" s="892" t="str">
        <f t="shared" si="115"/>
        <v>-</v>
      </c>
      <c r="DD35" s="92"/>
      <c r="DE35" s="884"/>
      <c r="DF35" s="66"/>
      <c r="DH35" s="876"/>
      <c r="DI35" s="890"/>
      <c r="DJ35" s="890"/>
      <c r="DK35" s="891">
        <f t="shared" si="116"/>
        <v>0</v>
      </c>
      <c r="DL35" s="892" t="str">
        <f t="shared" si="117"/>
        <v>-</v>
      </c>
      <c r="DM35" s="92"/>
      <c r="DN35" s="884"/>
      <c r="DO35" s="66"/>
      <c r="DP35" s="55"/>
      <c r="DQ35" s="876"/>
      <c r="DR35" s="890"/>
      <c r="DS35" s="890"/>
      <c r="DT35" s="891">
        <f t="shared" si="118"/>
        <v>0</v>
      </c>
      <c r="DU35" s="892" t="str">
        <f t="shared" si="119"/>
        <v>-</v>
      </c>
      <c r="DV35" s="92"/>
      <c r="DW35" s="884"/>
      <c r="DX35" s="66"/>
      <c r="DY35" s="55"/>
      <c r="DZ35" s="876"/>
      <c r="EA35" s="890"/>
      <c r="EB35" s="890"/>
      <c r="EC35" s="891">
        <f t="shared" si="120"/>
        <v>0</v>
      </c>
      <c r="ED35" s="892" t="str">
        <f t="shared" si="121"/>
        <v>-</v>
      </c>
      <c r="EE35" s="92"/>
    </row>
    <row r="36">
      <c r="A36" s="33">
        <f>'Schedule | 2 Division (OLD)'!J38</f>
        <v>24</v>
      </c>
      <c r="B36" s="30" t="str">
        <f>'Schedule | 2 Division (OLD)'!E38</f>
        <v>DISTANCE</v>
      </c>
      <c r="C36" s="906">
        <f>'Schedule | 2 Division (OLD)'!F38</f>
        <v>0</v>
      </c>
      <c r="D36" s="906">
        <f>'Schedule | 2 Division (OLD)'!H38</f>
        <v>0</v>
      </c>
      <c r="E36" s="30" t="str">
        <f>'Schedule | 2 Division (OLD)'!I38</f>
        <v>ALFA</v>
      </c>
      <c r="F36" s="30" t="str">
        <f t="shared" si="36"/>
        <v/>
      </c>
      <c r="G36" s="433" t="str">
        <f t="shared" si="37"/>
        <v/>
      </c>
      <c r="H36" s="884"/>
      <c r="I36" s="884"/>
      <c r="J36" s="874"/>
      <c r="K36" s="66"/>
      <c r="L36" s="55"/>
      <c r="M36" s="876"/>
      <c r="N36" s="890"/>
      <c r="O36" s="890"/>
      <c r="P36" s="891">
        <f t="shared" si="94"/>
        <v>0</v>
      </c>
      <c r="Q36" s="892" t="str">
        <f t="shared" si="95"/>
        <v>-</v>
      </c>
      <c r="S36" s="35"/>
      <c r="T36" s="66"/>
      <c r="V36" s="876"/>
      <c r="W36" s="890"/>
      <c r="X36" s="890"/>
      <c r="Y36" s="891">
        <f t="shared" si="96"/>
        <v>0</v>
      </c>
      <c r="Z36" s="892" t="str">
        <f t="shared" si="97"/>
        <v>-</v>
      </c>
      <c r="AA36" s="92"/>
      <c r="AB36" s="874"/>
      <c r="AC36" s="66"/>
      <c r="AD36" s="55"/>
      <c r="AE36" s="876"/>
      <c r="AF36" s="890"/>
      <c r="AG36" s="890"/>
      <c r="AH36" s="891">
        <f t="shared" si="98"/>
        <v>0</v>
      </c>
      <c r="AI36" s="892" t="str">
        <f t="shared" si="99"/>
        <v>-</v>
      </c>
      <c r="AJ36" s="92"/>
      <c r="AK36" s="874"/>
      <c r="AL36" s="66"/>
      <c r="AM36" s="55"/>
      <c r="AN36" s="876"/>
      <c r="AO36" s="890"/>
      <c r="AP36" s="890"/>
      <c r="AQ36" s="891">
        <f t="shared" si="100"/>
        <v>0</v>
      </c>
      <c r="AR36" s="892" t="str">
        <f t="shared" si="101"/>
        <v>-</v>
      </c>
      <c r="AS36" s="92"/>
      <c r="AT36" s="884"/>
      <c r="AU36" s="66"/>
      <c r="AV36" s="55"/>
      <c r="AW36" s="876"/>
      <c r="AX36" s="890"/>
      <c r="AY36" s="890"/>
      <c r="AZ36" s="891">
        <f t="shared" si="102"/>
        <v>0</v>
      </c>
      <c r="BA36" s="892" t="str">
        <f t="shared" si="103"/>
        <v>-</v>
      </c>
      <c r="BB36" s="92"/>
      <c r="BC36" s="884"/>
      <c r="BD36" s="66"/>
      <c r="BE36" s="55"/>
      <c r="BF36" s="876"/>
      <c r="BG36" s="890"/>
      <c r="BH36" s="890"/>
      <c r="BI36" s="891">
        <f t="shared" si="104"/>
        <v>0</v>
      </c>
      <c r="BJ36" s="892" t="str">
        <f t="shared" si="105"/>
        <v>-</v>
      </c>
      <c r="BK36" s="92"/>
      <c r="BL36" s="884"/>
      <c r="BM36" s="66"/>
      <c r="BN36" s="55"/>
      <c r="BO36" s="876"/>
      <c r="BP36" s="890"/>
      <c r="BQ36" s="890"/>
      <c r="BR36" s="891">
        <f t="shared" si="106"/>
        <v>0</v>
      </c>
      <c r="BS36" s="892" t="str">
        <f t="shared" si="107"/>
        <v>-</v>
      </c>
      <c r="BT36" s="92"/>
      <c r="BU36" s="884"/>
      <c r="BV36" s="66"/>
      <c r="BX36" s="876"/>
      <c r="BY36" s="890"/>
      <c r="BZ36" s="890"/>
      <c r="CA36" s="891">
        <f t="shared" si="108"/>
        <v>0</v>
      </c>
      <c r="CB36" s="892" t="str">
        <f t="shared" si="109"/>
        <v>-</v>
      </c>
      <c r="CC36" s="92"/>
      <c r="CD36" s="884"/>
      <c r="CE36" s="66"/>
      <c r="CG36" s="876"/>
      <c r="CH36" s="890"/>
      <c r="CI36" s="890"/>
      <c r="CJ36" s="891">
        <f t="shared" si="110"/>
        <v>0</v>
      </c>
      <c r="CK36" s="892" t="str">
        <f t="shared" si="111"/>
        <v>-</v>
      </c>
      <c r="CL36" s="92"/>
      <c r="CM36" s="884"/>
      <c r="CN36" s="66"/>
      <c r="CP36" s="876"/>
      <c r="CQ36" s="890"/>
      <c r="CR36" s="890"/>
      <c r="CS36" s="891">
        <f t="shared" si="112"/>
        <v>0</v>
      </c>
      <c r="CT36" s="892" t="str">
        <f t="shared" si="113"/>
        <v>-</v>
      </c>
      <c r="CU36" s="92"/>
      <c r="CV36" s="884"/>
      <c r="CW36" s="66"/>
      <c r="CY36" s="876"/>
      <c r="CZ36" s="890"/>
      <c r="DA36" s="890"/>
      <c r="DB36" s="891">
        <f t="shared" si="114"/>
        <v>0</v>
      </c>
      <c r="DC36" s="892" t="str">
        <f t="shared" si="115"/>
        <v>-</v>
      </c>
      <c r="DD36" s="92"/>
      <c r="DE36" s="884"/>
      <c r="DF36" s="66"/>
      <c r="DH36" s="876"/>
      <c r="DI36" s="890"/>
      <c r="DJ36" s="890"/>
      <c r="DK36" s="891">
        <f t="shared" si="116"/>
        <v>0</v>
      </c>
      <c r="DL36" s="892" t="str">
        <f t="shared" si="117"/>
        <v>-</v>
      </c>
      <c r="DM36" s="92"/>
      <c r="DN36" s="884"/>
      <c r="DO36" s="66"/>
      <c r="DP36" s="55"/>
      <c r="DQ36" s="876"/>
      <c r="DR36" s="890"/>
      <c r="DS36" s="890"/>
      <c r="DT36" s="891">
        <f t="shared" si="118"/>
        <v>0</v>
      </c>
      <c r="DU36" s="892" t="str">
        <f t="shared" si="119"/>
        <v>-</v>
      </c>
      <c r="DV36" s="92"/>
      <c r="DW36" s="884"/>
      <c r="DX36" s="66"/>
      <c r="DY36" s="55"/>
      <c r="DZ36" s="876"/>
      <c r="EA36" s="890"/>
      <c r="EB36" s="890"/>
      <c r="EC36" s="891">
        <f t="shared" si="120"/>
        <v>0</v>
      </c>
      <c r="ED36" s="892" t="str">
        <f t="shared" si="121"/>
        <v>-</v>
      </c>
      <c r="EE36" s="92"/>
    </row>
    <row r="37">
      <c r="A37" s="33">
        <f>'Schedule | 2 Division (OLD)'!J41</f>
        <v>25</v>
      </c>
      <c r="B37" s="30" t="str">
        <f>'Schedule | 2 Division (OLD)'!E41</f>
        <v>ICM</v>
      </c>
      <c r="C37" s="906">
        <f>'Schedule | 2 Division (OLD)'!F41</f>
        <v>0</v>
      </c>
      <c r="D37" s="906">
        <f>'Schedule | 2 Division (OLD)'!H41</f>
        <v>0</v>
      </c>
      <c r="E37" s="30" t="str">
        <f>'Schedule | 2 Division (OLD)'!I41</f>
        <v>PARADOX</v>
      </c>
      <c r="F37" s="30" t="str">
        <f t="shared" si="36"/>
        <v/>
      </c>
      <c r="G37" s="433" t="str">
        <f t="shared" si="37"/>
        <v/>
      </c>
      <c r="H37" s="884"/>
      <c r="I37" s="884"/>
      <c r="J37" s="874"/>
      <c r="K37" s="66"/>
      <c r="L37" s="55"/>
      <c r="M37" s="876"/>
      <c r="N37" s="890"/>
      <c r="O37" s="890"/>
      <c r="P37" s="891">
        <f t="shared" si="94"/>
        <v>0</v>
      </c>
      <c r="Q37" s="892" t="str">
        <f t="shared" si="95"/>
        <v>-</v>
      </c>
      <c r="S37" s="35"/>
      <c r="T37" s="66"/>
      <c r="V37" s="876"/>
      <c r="W37" s="890"/>
      <c r="X37" s="890"/>
      <c r="Y37" s="891">
        <f t="shared" si="96"/>
        <v>0</v>
      </c>
      <c r="Z37" s="892" t="str">
        <f t="shared" si="97"/>
        <v>-</v>
      </c>
      <c r="AA37" s="92"/>
      <c r="AB37" s="874"/>
      <c r="AC37" s="66"/>
      <c r="AD37" s="55"/>
      <c r="AE37" s="876"/>
      <c r="AF37" s="890"/>
      <c r="AG37" s="890"/>
      <c r="AH37" s="891">
        <f t="shared" si="98"/>
        <v>0</v>
      </c>
      <c r="AI37" s="892" t="str">
        <f t="shared" si="99"/>
        <v>-</v>
      </c>
      <c r="AJ37" s="92"/>
      <c r="AK37" s="874"/>
      <c r="AL37" s="66"/>
      <c r="AM37" s="55"/>
      <c r="AN37" s="876"/>
      <c r="AO37" s="890"/>
      <c r="AP37" s="890"/>
      <c r="AQ37" s="891">
        <f t="shared" si="100"/>
        <v>0</v>
      </c>
      <c r="AR37" s="892" t="str">
        <f t="shared" si="101"/>
        <v>-</v>
      </c>
      <c r="AS37" s="92"/>
      <c r="AT37" s="884"/>
      <c r="AU37" s="66"/>
      <c r="AV37" s="55"/>
      <c r="AW37" s="876"/>
      <c r="AX37" s="890"/>
      <c r="AY37" s="890"/>
      <c r="AZ37" s="891">
        <f t="shared" si="102"/>
        <v>0</v>
      </c>
      <c r="BA37" s="892" t="str">
        <f t="shared" si="103"/>
        <v>-</v>
      </c>
      <c r="BB37" s="92"/>
      <c r="BC37" s="884"/>
      <c r="BD37" s="66"/>
      <c r="BE37" s="55"/>
      <c r="BF37" s="876"/>
      <c r="BG37" s="890"/>
      <c r="BH37" s="890"/>
      <c r="BI37" s="891">
        <f t="shared" si="104"/>
        <v>0</v>
      </c>
      <c r="BJ37" s="892" t="str">
        <f t="shared" si="105"/>
        <v>-</v>
      </c>
      <c r="BK37" s="92"/>
      <c r="BL37" s="884"/>
      <c r="BM37" s="66"/>
      <c r="BN37" s="55"/>
      <c r="BO37" s="876"/>
      <c r="BP37" s="890"/>
      <c r="BQ37" s="890"/>
      <c r="BR37" s="891">
        <f t="shared" si="106"/>
        <v>0</v>
      </c>
      <c r="BS37" s="892" t="str">
        <f t="shared" si="107"/>
        <v>-</v>
      </c>
      <c r="BT37" s="92"/>
      <c r="BU37" s="884"/>
      <c r="BV37" s="66"/>
      <c r="BX37" s="876"/>
      <c r="BY37" s="890"/>
      <c r="BZ37" s="890"/>
      <c r="CA37" s="891">
        <f t="shared" si="108"/>
        <v>0</v>
      </c>
      <c r="CB37" s="892" t="str">
        <f t="shared" si="109"/>
        <v>-</v>
      </c>
      <c r="CC37" s="92"/>
      <c r="CD37" s="884"/>
      <c r="CE37" s="66"/>
      <c r="CG37" s="876"/>
      <c r="CH37" s="890"/>
      <c r="CI37" s="890"/>
      <c r="CJ37" s="891">
        <f t="shared" si="110"/>
        <v>0</v>
      </c>
      <c r="CK37" s="892" t="str">
        <f t="shared" si="111"/>
        <v>-</v>
      </c>
      <c r="CL37" s="92"/>
      <c r="CM37" s="884"/>
      <c r="CN37" s="66"/>
      <c r="CP37" s="876"/>
      <c r="CQ37" s="890"/>
      <c r="CR37" s="890"/>
      <c r="CS37" s="891">
        <f t="shared" si="112"/>
        <v>0</v>
      </c>
      <c r="CT37" s="892" t="str">
        <f t="shared" si="113"/>
        <v>-</v>
      </c>
      <c r="CU37" s="92"/>
      <c r="CV37" s="884"/>
      <c r="CW37" s="66"/>
      <c r="CY37" s="876"/>
      <c r="CZ37" s="890"/>
      <c r="DA37" s="890"/>
      <c r="DB37" s="891">
        <f t="shared" si="114"/>
        <v>0</v>
      </c>
      <c r="DC37" s="892" t="str">
        <f t="shared" si="115"/>
        <v>-</v>
      </c>
      <c r="DD37" s="92"/>
      <c r="DE37" s="884"/>
      <c r="DF37" s="66"/>
      <c r="DH37" s="876"/>
      <c r="DI37" s="890"/>
      <c r="DJ37" s="890"/>
      <c r="DK37" s="891">
        <f t="shared" si="116"/>
        <v>0</v>
      </c>
      <c r="DL37" s="892" t="str">
        <f t="shared" si="117"/>
        <v>-</v>
      </c>
      <c r="DM37" s="92"/>
      <c r="DN37" s="884"/>
      <c r="DO37" s="66"/>
      <c r="DP37" s="55"/>
      <c r="DQ37" s="876"/>
      <c r="DR37" s="890"/>
      <c r="DS37" s="890"/>
      <c r="DT37" s="891">
        <f t="shared" si="118"/>
        <v>0</v>
      </c>
      <c r="DU37" s="892" t="str">
        <f t="shared" si="119"/>
        <v>-</v>
      </c>
      <c r="DV37" s="92"/>
      <c r="DW37" s="884"/>
      <c r="DX37" s="66"/>
      <c r="DY37" s="55"/>
      <c r="DZ37" s="876"/>
      <c r="EA37" s="890"/>
      <c r="EB37" s="890"/>
      <c r="EC37" s="891">
        <f t="shared" si="120"/>
        <v>0</v>
      </c>
      <c r="ED37" s="892" t="str">
        <f t="shared" si="121"/>
        <v>-</v>
      </c>
      <c r="EE37" s="92"/>
    </row>
    <row r="38">
      <c r="A38" s="33">
        <f>'Schedule | 2 Division (OLD)'!J42</f>
        <v>26</v>
      </c>
      <c r="B38" s="30" t="str">
        <f>'Schedule | 2 Division (OLD)'!E42</f>
        <v>Green Hustle</v>
      </c>
      <c r="C38" s="906">
        <f>'Schedule | 2 Division (OLD)'!F42</f>
        <v>0</v>
      </c>
      <c r="D38" s="906">
        <f>'Schedule | 2 Division (OLD)'!H42</f>
        <v>0</v>
      </c>
      <c r="E38" s="30" t="str">
        <f>'Schedule | 2 Division (OLD)'!I42</f>
        <v>DISTANCE</v>
      </c>
      <c r="F38" s="30" t="str">
        <f t="shared" si="36"/>
        <v/>
      </c>
      <c r="G38" s="433" t="str">
        <f t="shared" si="37"/>
        <v/>
      </c>
      <c r="H38" s="884"/>
      <c r="I38" s="884"/>
      <c r="J38" s="874"/>
      <c r="K38" s="66"/>
      <c r="L38" s="55"/>
      <c r="M38" s="876"/>
      <c r="N38" s="890"/>
      <c r="O38" s="890"/>
      <c r="P38" s="891">
        <f t="shared" si="94"/>
        <v>0</v>
      </c>
      <c r="Q38" s="892" t="str">
        <f t="shared" si="95"/>
        <v>-</v>
      </c>
      <c r="S38" s="35"/>
      <c r="T38" s="66"/>
      <c r="V38" s="876"/>
      <c r="W38" s="890"/>
      <c r="X38" s="890"/>
      <c r="Y38" s="891">
        <f t="shared" si="96"/>
        <v>0</v>
      </c>
      <c r="Z38" s="892" t="str">
        <f t="shared" si="97"/>
        <v>-</v>
      </c>
      <c r="AA38" s="92"/>
      <c r="AB38" s="874"/>
      <c r="AC38" s="66"/>
      <c r="AD38" s="55"/>
      <c r="AE38" s="876"/>
      <c r="AF38" s="890"/>
      <c r="AG38" s="890"/>
      <c r="AH38" s="891">
        <f t="shared" si="98"/>
        <v>0</v>
      </c>
      <c r="AI38" s="892" t="str">
        <f t="shared" si="99"/>
        <v>-</v>
      </c>
      <c r="AJ38" s="92"/>
      <c r="AK38" s="874"/>
      <c r="AL38" s="66"/>
      <c r="AM38" s="55"/>
      <c r="AN38" s="876"/>
      <c r="AO38" s="890"/>
      <c r="AP38" s="890"/>
      <c r="AQ38" s="891">
        <f t="shared" si="100"/>
        <v>0</v>
      </c>
      <c r="AR38" s="892" t="str">
        <f t="shared" si="101"/>
        <v>-</v>
      </c>
      <c r="AS38" s="92"/>
      <c r="AT38" s="884"/>
      <c r="AU38" s="66"/>
      <c r="AV38" s="55"/>
      <c r="AW38" s="876"/>
      <c r="AX38" s="890"/>
      <c r="AY38" s="890"/>
      <c r="AZ38" s="891">
        <f t="shared" si="102"/>
        <v>0</v>
      </c>
      <c r="BA38" s="892" t="str">
        <f t="shared" si="103"/>
        <v>-</v>
      </c>
      <c r="BB38" s="92"/>
      <c r="BC38" s="884"/>
      <c r="BD38" s="66"/>
      <c r="BE38" s="55"/>
      <c r="BF38" s="876"/>
      <c r="BG38" s="890"/>
      <c r="BH38" s="890"/>
      <c r="BI38" s="891">
        <f t="shared" si="104"/>
        <v>0</v>
      </c>
      <c r="BJ38" s="892" t="str">
        <f t="shared" si="105"/>
        <v>-</v>
      </c>
      <c r="BK38" s="92"/>
      <c r="BL38" s="884"/>
      <c r="BM38" s="66"/>
      <c r="BN38" s="55"/>
      <c r="BO38" s="876"/>
      <c r="BP38" s="890"/>
      <c r="BQ38" s="890"/>
      <c r="BR38" s="891">
        <f t="shared" si="106"/>
        <v>0</v>
      </c>
      <c r="BS38" s="892" t="str">
        <f t="shared" si="107"/>
        <v>-</v>
      </c>
      <c r="BT38" s="92"/>
      <c r="BU38" s="884"/>
      <c r="BV38" s="66"/>
      <c r="BX38" s="876"/>
      <c r="BY38" s="890"/>
      <c r="BZ38" s="890"/>
      <c r="CA38" s="891">
        <f t="shared" si="108"/>
        <v>0</v>
      </c>
      <c r="CB38" s="892" t="str">
        <f t="shared" si="109"/>
        <v>-</v>
      </c>
      <c r="CC38" s="92"/>
      <c r="CD38" s="884"/>
      <c r="CE38" s="66"/>
      <c r="CG38" s="876"/>
      <c r="CH38" s="890"/>
      <c r="CI38" s="890"/>
      <c r="CJ38" s="891">
        <f t="shared" si="110"/>
        <v>0</v>
      </c>
      <c r="CK38" s="892" t="str">
        <f t="shared" si="111"/>
        <v>-</v>
      </c>
      <c r="CL38" s="92"/>
      <c r="CM38" s="884"/>
      <c r="CN38" s="66"/>
      <c r="CP38" s="876"/>
      <c r="CQ38" s="890"/>
      <c r="CR38" s="890"/>
      <c r="CS38" s="891">
        <f t="shared" si="112"/>
        <v>0</v>
      </c>
      <c r="CT38" s="892" t="str">
        <f t="shared" si="113"/>
        <v>-</v>
      </c>
      <c r="CU38" s="92"/>
      <c r="CV38" s="884"/>
      <c r="CW38" s="66"/>
      <c r="CY38" s="876"/>
      <c r="CZ38" s="890"/>
      <c r="DA38" s="890"/>
      <c r="DB38" s="891">
        <f t="shared" si="114"/>
        <v>0</v>
      </c>
      <c r="DC38" s="892" t="str">
        <f t="shared" si="115"/>
        <v>-</v>
      </c>
      <c r="DD38" s="92"/>
      <c r="DE38" s="884"/>
      <c r="DF38" s="66"/>
      <c r="DH38" s="876"/>
      <c r="DI38" s="890"/>
      <c r="DJ38" s="890"/>
      <c r="DK38" s="891">
        <f t="shared" si="116"/>
        <v>0</v>
      </c>
      <c r="DL38" s="892" t="str">
        <f t="shared" si="117"/>
        <v>-</v>
      </c>
      <c r="DM38" s="92"/>
      <c r="DN38" s="884"/>
      <c r="DO38" s="66"/>
      <c r="DP38" s="55"/>
      <c r="DQ38" s="876"/>
      <c r="DR38" s="890"/>
      <c r="DS38" s="890"/>
      <c r="DT38" s="891">
        <f t="shared" si="118"/>
        <v>0</v>
      </c>
      <c r="DU38" s="892" t="str">
        <f t="shared" si="119"/>
        <v>-</v>
      </c>
      <c r="DV38" s="92"/>
      <c r="DW38" s="884"/>
      <c r="DX38" s="66"/>
      <c r="DY38" s="55"/>
      <c r="DZ38" s="876"/>
      <c r="EA38" s="890"/>
      <c r="EB38" s="890"/>
      <c r="EC38" s="891">
        <f t="shared" si="120"/>
        <v>0</v>
      </c>
      <c r="ED38" s="892" t="str">
        <f t="shared" si="121"/>
        <v>-</v>
      </c>
      <c r="EE38" s="92"/>
    </row>
    <row r="39">
      <c r="A39" s="33">
        <f>'Schedule | 2 Division (OLD)'!J43</f>
        <v>27</v>
      </c>
      <c r="B39" s="30" t="str">
        <f>'Schedule | 2 Division (OLD)'!E43</f>
        <v>ALFA</v>
      </c>
      <c r="C39" s="906">
        <f>'Schedule | 2 Division (OLD)'!F43</f>
        <v>0</v>
      </c>
      <c r="D39" s="906">
        <f>'Schedule | 2 Division (OLD)'!H43</f>
        <v>0</v>
      </c>
      <c r="E39" s="30" t="str">
        <f>'Schedule | 2 Division (OLD)'!I43</f>
        <v>Hoax</v>
      </c>
      <c r="F39" s="30" t="str">
        <f t="shared" si="36"/>
        <v/>
      </c>
      <c r="G39" s="433" t="str">
        <f t="shared" si="37"/>
        <v/>
      </c>
      <c r="H39" s="884"/>
      <c r="I39" s="884"/>
      <c r="J39" s="874"/>
      <c r="K39" s="66"/>
      <c r="L39" s="55"/>
      <c r="M39" s="893"/>
      <c r="N39" s="894"/>
      <c r="O39" s="894"/>
      <c r="P39" s="895">
        <f t="shared" si="94"/>
        <v>0</v>
      </c>
      <c r="Q39" s="896" t="str">
        <f t="shared" si="95"/>
        <v>-</v>
      </c>
      <c r="S39" s="35"/>
      <c r="T39" s="66"/>
      <c r="V39" s="893"/>
      <c r="W39" s="894"/>
      <c r="X39" s="894"/>
      <c r="Y39" s="895">
        <f t="shared" si="96"/>
        <v>0</v>
      </c>
      <c r="Z39" s="896" t="str">
        <f t="shared" si="97"/>
        <v>-</v>
      </c>
      <c r="AA39" s="92"/>
      <c r="AB39" s="874"/>
      <c r="AC39" s="66"/>
      <c r="AD39" s="55"/>
      <c r="AE39" s="893"/>
      <c r="AF39" s="894"/>
      <c r="AG39" s="894"/>
      <c r="AH39" s="895">
        <f t="shared" si="98"/>
        <v>0</v>
      </c>
      <c r="AI39" s="896" t="str">
        <f t="shared" si="99"/>
        <v>-</v>
      </c>
      <c r="AJ39" s="92"/>
      <c r="AK39" s="874"/>
      <c r="AL39" s="66"/>
      <c r="AM39" s="55"/>
      <c r="AN39" s="893"/>
      <c r="AO39" s="894"/>
      <c r="AP39" s="894"/>
      <c r="AQ39" s="895">
        <f t="shared" si="100"/>
        <v>0</v>
      </c>
      <c r="AR39" s="896" t="str">
        <f t="shared" si="101"/>
        <v>-</v>
      </c>
      <c r="AS39" s="92"/>
      <c r="AT39" s="884"/>
      <c r="AU39" s="66"/>
      <c r="AV39" s="55"/>
      <c r="AW39" s="893"/>
      <c r="AX39" s="894"/>
      <c r="AY39" s="894"/>
      <c r="AZ39" s="895">
        <f t="shared" si="102"/>
        <v>0</v>
      </c>
      <c r="BA39" s="896" t="str">
        <f t="shared" si="103"/>
        <v>-</v>
      </c>
      <c r="BB39" s="92"/>
      <c r="BC39" s="884"/>
      <c r="BD39" s="66"/>
      <c r="BE39" s="55"/>
      <c r="BF39" s="893"/>
      <c r="BG39" s="894"/>
      <c r="BH39" s="894"/>
      <c r="BI39" s="895">
        <f t="shared" si="104"/>
        <v>0</v>
      </c>
      <c r="BJ39" s="896" t="str">
        <f t="shared" si="105"/>
        <v>-</v>
      </c>
      <c r="BK39" s="92"/>
      <c r="BL39" s="884"/>
      <c r="BM39" s="66"/>
      <c r="BN39" s="55"/>
      <c r="BO39" s="893"/>
      <c r="BP39" s="894"/>
      <c r="BQ39" s="894"/>
      <c r="BR39" s="895">
        <f t="shared" si="106"/>
        <v>0</v>
      </c>
      <c r="BS39" s="896" t="str">
        <f t="shared" si="107"/>
        <v>-</v>
      </c>
      <c r="BT39" s="92"/>
      <c r="BU39" s="884"/>
      <c r="BV39" s="66"/>
      <c r="BX39" s="893"/>
      <c r="BY39" s="894"/>
      <c r="BZ39" s="894"/>
      <c r="CA39" s="895">
        <f t="shared" si="108"/>
        <v>0</v>
      </c>
      <c r="CB39" s="896" t="str">
        <f t="shared" si="109"/>
        <v>-</v>
      </c>
      <c r="CC39" s="92"/>
      <c r="CD39" s="884"/>
      <c r="CE39" s="66"/>
      <c r="CG39" s="893"/>
      <c r="CH39" s="894"/>
      <c r="CI39" s="894"/>
      <c r="CJ39" s="895">
        <f t="shared" si="110"/>
        <v>0</v>
      </c>
      <c r="CK39" s="896" t="str">
        <f t="shared" si="111"/>
        <v>-</v>
      </c>
      <c r="CL39" s="92"/>
      <c r="CM39" s="884"/>
      <c r="CN39" s="66"/>
      <c r="CP39" s="893"/>
      <c r="CQ39" s="894"/>
      <c r="CR39" s="894"/>
      <c r="CS39" s="895">
        <f t="shared" si="112"/>
        <v>0</v>
      </c>
      <c r="CT39" s="896" t="str">
        <f t="shared" si="113"/>
        <v>-</v>
      </c>
      <c r="CU39" s="92"/>
      <c r="CV39" s="884"/>
      <c r="CW39" s="66"/>
      <c r="CY39" s="893"/>
      <c r="CZ39" s="894"/>
      <c r="DA39" s="894"/>
      <c r="DB39" s="895">
        <f t="shared" si="114"/>
        <v>0</v>
      </c>
      <c r="DC39" s="896" t="str">
        <f t="shared" si="115"/>
        <v>-</v>
      </c>
      <c r="DD39" s="92"/>
      <c r="DE39" s="884"/>
      <c r="DF39" s="66"/>
      <c r="DH39" s="893"/>
      <c r="DI39" s="894"/>
      <c r="DJ39" s="894"/>
      <c r="DK39" s="895">
        <f t="shared" si="116"/>
        <v>0</v>
      </c>
      <c r="DL39" s="896" t="str">
        <f t="shared" si="117"/>
        <v>-</v>
      </c>
      <c r="DM39" s="92"/>
      <c r="DN39" s="884"/>
      <c r="DO39" s="66"/>
      <c r="DP39" s="55"/>
      <c r="DQ39" s="893"/>
      <c r="DR39" s="894"/>
      <c r="DS39" s="894"/>
      <c r="DT39" s="895">
        <f t="shared" si="118"/>
        <v>0</v>
      </c>
      <c r="DU39" s="896" t="str">
        <f t="shared" si="119"/>
        <v>-</v>
      </c>
      <c r="DV39" s="92"/>
      <c r="DW39" s="884"/>
      <c r="DX39" s="66"/>
      <c r="DY39" s="55"/>
      <c r="DZ39" s="893"/>
      <c r="EA39" s="894"/>
      <c r="EB39" s="894"/>
      <c r="EC39" s="895">
        <f t="shared" si="120"/>
        <v>0</v>
      </c>
      <c r="ED39" s="896" t="str">
        <f t="shared" si="121"/>
        <v>-</v>
      </c>
      <c r="EE39" s="92"/>
    </row>
    <row r="40">
      <c r="A40" s="33">
        <f>'Schedule | 2 Division (OLD)'!J44</f>
        <v>28</v>
      </c>
      <c r="B40" s="30" t="str">
        <f>'Schedule | 2 Division (OLD)'!E44</f>
        <v>QW0TROBERY</v>
      </c>
      <c r="C40" s="906">
        <f>'Schedule | 2 Division (OLD)'!F44</f>
        <v>0</v>
      </c>
      <c r="D40" s="906">
        <f>'Schedule | 2 Division (OLD)'!H44</f>
        <v>0</v>
      </c>
      <c r="E40" s="30" t="str">
        <f>'Schedule | 2 Division (OLD)'!I44</f>
        <v>VIOLENCE</v>
      </c>
      <c r="F40" s="30" t="str">
        <f t="shared" si="36"/>
        <v/>
      </c>
      <c r="G40" s="433" t="str">
        <f t="shared" si="37"/>
        <v/>
      </c>
      <c r="H40" s="884"/>
      <c r="I40" s="884"/>
      <c r="J40" s="874"/>
      <c r="K40" s="94"/>
      <c r="L40" s="61"/>
      <c r="M40" s="898">
        <f>COUNTIF(N33:N39, "W")</f>
        <v>0</v>
      </c>
      <c r="N40" s="144"/>
      <c r="O40" s="894" t="s">
        <v>816</v>
      </c>
      <c r="P40" s="899">
        <f>COUNTIF(P33:P39, "W")</f>
        <v>0</v>
      </c>
      <c r="Q40" s="93"/>
      <c r="R40" s="22"/>
      <c r="S40" s="35"/>
      <c r="T40" s="94"/>
      <c r="U40" s="22"/>
      <c r="V40" s="898">
        <f>COUNTIF(W33:W39, "W")</f>
        <v>0</v>
      </c>
      <c r="W40" s="144"/>
      <c r="X40" s="894" t="s">
        <v>816</v>
      </c>
      <c r="Y40" s="899">
        <f>COUNTIF(Y33:Y39, "W")</f>
        <v>0</v>
      </c>
      <c r="Z40" s="93"/>
      <c r="AA40" s="93"/>
      <c r="AB40" s="874"/>
      <c r="AC40" s="94"/>
      <c r="AD40" s="61"/>
      <c r="AE40" s="898">
        <f>COUNTIF(AF33:AF39, "W")</f>
        <v>0</v>
      </c>
      <c r="AF40" s="144"/>
      <c r="AG40" s="894" t="s">
        <v>816</v>
      </c>
      <c r="AH40" s="899">
        <f>COUNTIF(AH33:AH39, "W")</f>
        <v>0</v>
      </c>
      <c r="AI40" s="93"/>
      <c r="AJ40" s="93"/>
      <c r="AK40" s="874"/>
      <c r="AL40" s="94"/>
      <c r="AM40" s="61"/>
      <c r="AN40" s="898">
        <f>COUNTIF(AO33:AO39, "W")</f>
        <v>0</v>
      </c>
      <c r="AO40" s="144"/>
      <c r="AP40" s="894" t="s">
        <v>816</v>
      </c>
      <c r="AQ40" s="899">
        <f>COUNTIF(AQ33:AQ39, "W")</f>
        <v>0</v>
      </c>
      <c r="AR40" s="93"/>
      <c r="AS40" s="93"/>
      <c r="AT40" s="884"/>
      <c r="AU40" s="94"/>
      <c r="AV40" s="61"/>
      <c r="AW40" s="898">
        <f>COUNTIF(AX33:AX39, "W")</f>
        <v>0</v>
      </c>
      <c r="AX40" s="144"/>
      <c r="AY40" s="894" t="s">
        <v>816</v>
      </c>
      <c r="AZ40" s="899">
        <f>COUNTIF(AZ33:AZ39, "W")</f>
        <v>0</v>
      </c>
      <c r="BA40" s="93"/>
      <c r="BB40" s="93"/>
      <c r="BC40" s="884"/>
      <c r="BD40" s="94"/>
      <c r="BE40" s="61"/>
      <c r="BF40" s="898">
        <f>COUNTIF(BG33:BG39, "W")</f>
        <v>0</v>
      </c>
      <c r="BG40" s="144"/>
      <c r="BH40" s="894" t="s">
        <v>816</v>
      </c>
      <c r="BI40" s="899">
        <f>COUNTIF(BI33:BI39, "W")</f>
        <v>0</v>
      </c>
      <c r="BJ40" s="93"/>
      <c r="BK40" s="93"/>
      <c r="BL40" s="884"/>
      <c r="BM40" s="94"/>
      <c r="BN40" s="61"/>
      <c r="BO40" s="898">
        <f>COUNTIF(BP33:BP39, "W")</f>
        <v>0</v>
      </c>
      <c r="BP40" s="144"/>
      <c r="BQ40" s="894" t="s">
        <v>816</v>
      </c>
      <c r="BR40" s="899">
        <f>COUNTIF(BR33:BR39, "W")</f>
        <v>0</v>
      </c>
      <c r="BS40" s="93"/>
      <c r="BT40" s="93"/>
      <c r="BU40" s="884"/>
      <c r="BV40" s="94"/>
      <c r="BW40" s="22"/>
      <c r="BX40" s="898">
        <f>COUNTIF(BY33:BY39, "W")</f>
        <v>0</v>
      </c>
      <c r="BY40" s="144"/>
      <c r="BZ40" s="894" t="s">
        <v>816</v>
      </c>
      <c r="CA40" s="899">
        <f>COUNTIF(CA33:CA39, "W")</f>
        <v>0</v>
      </c>
      <c r="CB40" s="93"/>
      <c r="CC40" s="93"/>
      <c r="CD40" s="884"/>
      <c r="CE40" s="94"/>
      <c r="CF40" s="22"/>
      <c r="CG40" s="898">
        <f>COUNTIF(CH33:CH39, "W")</f>
        <v>0</v>
      </c>
      <c r="CH40" s="144"/>
      <c r="CI40" s="894" t="s">
        <v>816</v>
      </c>
      <c r="CJ40" s="899">
        <f>COUNTIF(CJ33:CJ39, "W")</f>
        <v>0</v>
      </c>
      <c r="CK40" s="93"/>
      <c r="CL40" s="93"/>
      <c r="CM40" s="884"/>
      <c r="CN40" s="94"/>
      <c r="CO40" s="22"/>
      <c r="CP40" s="898">
        <f>COUNTIF(CQ33:CQ39, "W")</f>
        <v>0</v>
      </c>
      <c r="CQ40" s="144"/>
      <c r="CR40" s="894" t="s">
        <v>816</v>
      </c>
      <c r="CS40" s="899">
        <f>COUNTIF(CS33:CS39, "W")</f>
        <v>0</v>
      </c>
      <c r="CT40" s="93"/>
      <c r="CU40" s="93"/>
      <c r="CV40" s="884"/>
      <c r="CW40" s="94"/>
      <c r="CX40" s="22"/>
      <c r="CY40" s="898">
        <f>COUNTIF(CZ33:CZ39, "W")</f>
        <v>0</v>
      </c>
      <c r="CZ40" s="144"/>
      <c r="DA40" s="894" t="s">
        <v>816</v>
      </c>
      <c r="DB40" s="899">
        <f>COUNTIF(DB33:DB39, "W")</f>
        <v>0</v>
      </c>
      <c r="DC40" s="93"/>
      <c r="DD40" s="93"/>
      <c r="DE40" s="884"/>
      <c r="DF40" s="94"/>
      <c r="DG40" s="22"/>
      <c r="DH40" s="898">
        <f>COUNTIF(DI33:DI39, "W")</f>
        <v>0</v>
      </c>
      <c r="DI40" s="144"/>
      <c r="DJ40" s="894" t="s">
        <v>816</v>
      </c>
      <c r="DK40" s="899">
        <f>COUNTIF(DK33:DK39, "W")</f>
        <v>0</v>
      </c>
      <c r="DL40" s="93"/>
      <c r="DM40" s="93"/>
      <c r="DN40" s="884"/>
      <c r="DO40" s="94"/>
      <c r="DP40" s="61"/>
      <c r="DQ40" s="898">
        <f>COUNTIF(DR33:DR39, "W")</f>
        <v>0</v>
      </c>
      <c r="DR40" s="144"/>
      <c r="DS40" s="894" t="s">
        <v>816</v>
      </c>
      <c r="DT40" s="899">
        <f>COUNTIF(DT33:DT39, "W")</f>
        <v>0</v>
      </c>
      <c r="DU40" s="93"/>
      <c r="DV40" s="93"/>
      <c r="DW40" s="884"/>
      <c r="DX40" s="94"/>
      <c r="DY40" s="61"/>
      <c r="DZ40" s="898">
        <f>COUNTIF(EA33:EA39, "W")</f>
        <v>0</v>
      </c>
      <c r="EA40" s="144"/>
      <c r="EB40" s="894" t="s">
        <v>816</v>
      </c>
      <c r="EC40" s="899">
        <f>COUNTIF(EC33:EC39, "W")</f>
        <v>0</v>
      </c>
      <c r="ED40" s="93"/>
      <c r="EE40" s="93"/>
    </row>
    <row r="41">
      <c r="A41" s="33">
        <f>'Schedule | 2 Division (OLD)'!P5</f>
        <v>29</v>
      </c>
      <c r="B41" s="30" t="str">
        <f>'Schedule | 2 Division (OLD)'!K5</f>
        <v>PARADOX</v>
      </c>
      <c r="C41" s="906">
        <f>'Schedule | 2 Division (OLD)'!L5</f>
        <v>0</v>
      </c>
      <c r="D41" s="906">
        <f>'Schedule | 2 Division (OLD)'!N5</f>
        <v>0</v>
      </c>
      <c r="E41" s="30" t="str">
        <f>'Schedule | 2 Division (OLD)'!O5</f>
        <v>Green Hustle</v>
      </c>
      <c r="F41" s="30" t="str">
        <f t="shared" si="36"/>
        <v/>
      </c>
      <c r="G41" s="433" t="str">
        <f t="shared" si="37"/>
        <v/>
      </c>
      <c r="H41" s="884"/>
      <c r="I41" s="884"/>
      <c r="J41" s="874"/>
      <c r="K41" s="874"/>
      <c r="L41" s="884"/>
      <c r="M41" s="884"/>
      <c r="N41" s="884"/>
      <c r="O41" s="874"/>
      <c r="P41" s="884"/>
      <c r="Q41" s="884"/>
      <c r="R41" s="884"/>
      <c r="S41" s="874"/>
      <c r="T41" s="874"/>
      <c r="U41" s="874"/>
      <c r="V41" s="884"/>
      <c r="W41" s="884"/>
      <c r="X41" s="874"/>
      <c r="Y41" s="884"/>
      <c r="Z41" s="884"/>
      <c r="AA41" s="884"/>
      <c r="AB41" s="874"/>
      <c r="AC41" s="874"/>
      <c r="AD41" s="884"/>
      <c r="AE41" s="884"/>
      <c r="AF41" s="884"/>
      <c r="AG41" s="874"/>
      <c r="AH41" s="884"/>
      <c r="AI41" s="884"/>
      <c r="AJ41" s="884"/>
      <c r="AK41" s="874"/>
      <c r="AL41" s="874"/>
      <c r="AM41" s="913"/>
      <c r="AN41" s="884"/>
      <c r="AO41" s="884"/>
      <c r="AP41" s="874"/>
      <c r="AQ41" s="884"/>
      <c r="AR41" s="884"/>
      <c r="AS41" s="874"/>
      <c r="AT41" s="884"/>
      <c r="AU41" s="874"/>
      <c r="AV41" s="884"/>
      <c r="AW41" s="884"/>
      <c r="AX41" s="884"/>
      <c r="AY41" s="874"/>
      <c r="AZ41" s="884"/>
      <c r="BA41" s="884"/>
      <c r="BB41" s="884"/>
      <c r="BC41" s="884"/>
      <c r="BD41" s="874"/>
      <c r="BE41" s="884"/>
      <c r="BF41" s="884"/>
      <c r="BG41" s="884"/>
      <c r="BH41" s="874"/>
      <c r="BI41" s="884"/>
      <c r="BJ41" s="884"/>
      <c r="BK41" s="874"/>
      <c r="BL41" s="884"/>
      <c r="BM41" s="874"/>
      <c r="BN41" s="884"/>
      <c r="BO41" s="884"/>
      <c r="BP41" s="884"/>
      <c r="BQ41" s="874"/>
      <c r="BR41" s="884"/>
      <c r="BS41" s="884"/>
      <c r="BT41" s="884"/>
      <c r="BU41" s="884"/>
      <c r="BV41" s="874"/>
      <c r="BW41" s="884"/>
      <c r="BX41" s="884"/>
      <c r="BY41" s="884"/>
      <c r="BZ41" s="874"/>
      <c r="CA41" s="884"/>
      <c r="CB41" s="884"/>
      <c r="CC41" s="884"/>
      <c r="CD41" s="884"/>
      <c r="CE41" s="874"/>
      <c r="CF41" s="884"/>
      <c r="CG41" s="884"/>
      <c r="CH41" s="884"/>
      <c r="CI41" s="874"/>
      <c r="CJ41" s="884"/>
      <c r="CK41" s="884"/>
      <c r="CL41" s="884"/>
      <c r="CM41" s="884"/>
      <c r="CN41" s="874"/>
      <c r="CO41" s="884"/>
      <c r="CP41" s="884"/>
      <c r="CQ41" s="884"/>
      <c r="CR41" s="874"/>
      <c r="CS41" s="884"/>
      <c r="CT41" s="884"/>
      <c r="CU41" s="884"/>
      <c r="CV41" s="884"/>
      <c r="CW41" s="874"/>
      <c r="CX41" s="913"/>
      <c r="CY41" s="884"/>
      <c r="CZ41" s="884"/>
      <c r="DA41" s="874"/>
      <c r="DB41" s="884"/>
      <c r="DC41" s="884"/>
      <c r="DD41" s="884"/>
      <c r="DE41" s="884"/>
      <c r="DF41" s="874"/>
      <c r="DG41" s="884"/>
      <c r="DH41" s="884"/>
      <c r="DI41" s="884"/>
      <c r="DJ41" s="874"/>
      <c r="DK41" s="884"/>
      <c r="DL41" s="884"/>
      <c r="DM41" s="874"/>
      <c r="DN41" s="884"/>
      <c r="DO41" s="874"/>
      <c r="DP41" s="884"/>
      <c r="DQ41" s="884"/>
      <c r="DR41" s="884"/>
      <c r="DS41" s="874"/>
      <c r="DT41" s="884"/>
      <c r="DU41" s="884"/>
      <c r="DV41" s="884"/>
      <c r="DW41" s="884"/>
      <c r="DX41" s="874"/>
      <c r="DY41" s="884"/>
      <c r="DZ41" s="884"/>
      <c r="EA41" s="884"/>
      <c r="EB41" s="874"/>
      <c r="EC41" s="884"/>
      <c r="ED41" s="884"/>
      <c r="EE41" s="874"/>
    </row>
    <row r="42">
      <c r="A42" s="33">
        <f>'Schedule | 2 Division (OLD)'!P6</f>
        <v>30</v>
      </c>
      <c r="B42" s="30" t="str">
        <f>'Schedule | 2 Division (OLD)'!K6</f>
        <v>ICM</v>
      </c>
      <c r="C42" s="906">
        <f>'Schedule | 2 Division (OLD)'!L6</f>
        <v>0</v>
      </c>
      <c r="D42" s="906">
        <f>'Schedule | 2 Division (OLD)'!N6</f>
        <v>0</v>
      </c>
      <c r="E42" s="30" t="str">
        <f>'Schedule | 2 Division (OLD)'!O6</f>
        <v>DISTANCE</v>
      </c>
      <c r="F42" s="30" t="str">
        <f t="shared" si="36"/>
        <v/>
      </c>
      <c r="G42" s="433" t="str">
        <f t="shared" si="37"/>
        <v/>
      </c>
      <c r="H42" s="884"/>
      <c r="I42" s="884"/>
      <c r="J42" s="874"/>
      <c r="K42" s="874"/>
      <c r="L42" s="884"/>
      <c r="M42" s="884"/>
      <c r="N42" s="884"/>
      <c r="O42" s="874"/>
      <c r="P42" s="884"/>
      <c r="Q42" s="884"/>
      <c r="R42" s="884"/>
      <c r="S42" s="874"/>
      <c r="T42" s="874"/>
      <c r="U42" s="874"/>
      <c r="V42" s="884"/>
      <c r="W42" s="884"/>
      <c r="X42" s="874"/>
      <c r="Y42" s="884"/>
      <c r="Z42" s="884"/>
      <c r="AA42" s="884"/>
      <c r="AB42" s="874"/>
      <c r="AC42" s="874"/>
      <c r="AD42" s="884"/>
      <c r="AE42" s="884"/>
      <c r="AF42" s="884"/>
      <c r="AG42" s="874"/>
      <c r="AH42" s="884"/>
      <c r="AI42" s="884"/>
      <c r="AJ42" s="884"/>
      <c r="AK42" s="874"/>
      <c r="AL42" s="874"/>
      <c r="AM42" s="913"/>
      <c r="AN42" s="884"/>
      <c r="AO42" s="884"/>
      <c r="AP42" s="874"/>
      <c r="AQ42" s="884"/>
      <c r="AR42" s="884"/>
      <c r="AS42" s="874"/>
      <c r="AT42" s="884"/>
      <c r="AU42" s="874"/>
      <c r="AV42" s="884"/>
      <c r="AW42" s="884"/>
      <c r="AX42" s="884"/>
      <c r="AY42" s="874"/>
      <c r="AZ42" s="884"/>
      <c r="BA42" s="884"/>
      <c r="BB42" s="884"/>
      <c r="BC42" s="884"/>
      <c r="BD42" s="874"/>
      <c r="BE42" s="884"/>
      <c r="BF42" s="884"/>
      <c r="BG42" s="884"/>
      <c r="BH42" s="874"/>
      <c r="BI42" s="884"/>
      <c r="BJ42" s="884"/>
      <c r="BK42" s="874"/>
      <c r="BL42" s="884"/>
      <c r="BM42" s="874"/>
      <c r="BN42" s="884"/>
      <c r="BO42" s="884"/>
      <c r="BP42" s="884"/>
      <c r="BQ42" s="874"/>
      <c r="BR42" s="884"/>
      <c r="BS42" s="884"/>
      <c r="BT42" s="884"/>
      <c r="BU42" s="884"/>
      <c r="BV42" s="874"/>
      <c r="BW42" s="884"/>
      <c r="BX42" s="884"/>
      <c r="BY42" s="884"/>
      <c r="BZ42" s="874"/>
      <c r="CA42" s="884"/>
      <c r="CB42" s="884"/>
      <c r="CC42" s="884"/>
      <c r="CD42" s="884"/>
      <c r="CE42" s="874"/>
      <c r="CF42" s="884"/>
      <c r="CG42" s="884"/>
      <c r="CH42" s="884"/>
      <c r="CI42" s="874"/>
      <c r="CJ42" s="884"/>
      <c r="CK42" s="884"/>
      <c r="CL42" s="884"/>
      <c r="CM42" s="884"/>
      <c r="CN42" s="874"/>
      <c r="CO42" s="884"/>
      <c r="CP42" s="884"/>
      <c r="CQ42" s="884"/>
      <c r="CR42" s="874"/>
      <c r="CS42" s="884"/>
      <c r="CT42" s="884"/>
      <c r="CU42" s="884"/>
      <c r="CV42" s="884"/>
      <c r="CW42" s="874"/>
      <c r="CX42" s="913"/>
      <c r="CY42" s="884"/>
      <c r="CZ42" s="884"/>
      <c r="DA42" s="874"/>
      <c r="DB42" s="884"/>
      <c r="DC42" s="884"/>
      <c r="DD42" s="884"/>
      <c r="DE42" s="884"/>
      <c r="DF42" s="874"/>
      <c r="DG42" s="884"/>
      <c r="DH42" s="884"/>
      <c r="DI42" s="884"/>
      <c r="DJ42" s="874"/>
      <c r="DK42" s="884"/>
      <c r="DL42" s="884"/>
      <c r="DM42" s="874"/>
      <c r="DN42" s="884"/>
      <c r="DO42" s="874"/>
      <c r="DP42" s="884"/>
      <c r="DQ42" s="884"/>
      <c r="DR42" s="884"/>
      <c r="DS42" s="874"/>
      <c r="DT42" s="884"/>
      <c r="DU42" s="884"/>
      <c r="DV42" s="884"/>
      <c r="DW42" s="884"/>
      <c r="DX42" s="874"/>
      <c r="DY42" s="884"/>
      <c r="DZ42" s="884"/>
      <c r="EA42" s="884"/>
      <c r="EB42" s="874"/>
      <c r="EC42" s="884"/>
      <c r="ED42" s="884"/>
      <c r="EE42" s="874"/>
    </row>
    <row r="43">
      <c r="A43" s="33">
        <f>'Schedule | 2 Division (OLD)'!P7</f>
        <v>31</v>
      </c>
      <c r="B43" s="30" t="str">
        <f>'Schedule | 2 Division (OLD)'!K7</f>
        <v>VIOLENCE</v>
      </c>
      <c r="C43" s="906">
        <f>'Schedule | 2 Division (OLD)'!L7</f>
        <v>0</v>
      </c>
      <c r="D43" s="906">
        <f>'Schedule | 2 Division (OLD)'!N7</f>
        <v>0</v>
      </c>
      <c r="E43" s="30" t="str">
        <f>'Schedule | 2 Division (OLD)'!O7</f>
        <v>ALFA</v>
      </c>
      <c r="F43" s="30" t="str">
        <f t="shared" si="36"/>
        <v/>
      </c>
      <c r="G43" s="433" t="str">
        <f t="shared" si="37"/>
        <v/>
      </c>
      <c r="H43" s="884"/>
      <c r="I43" s="884"/>
      <c r="J43" s="874"/>
      <c r="K43" s="874"/>
      <c r="L43" s="884"/>
      <c r="M43" s="884"/>
      <c r="N43" s="884"/>
      <c r="O43" s="874"/>
      <c r="P43" s="884"/>
      <c r="Q43" s="884"/>
      <c r="R43" s="884"/>
      <c r="S43" s="874"/>
      <c r="T43" s="874"/>
      <c r="U43" s="874"/>
      <c r="V43" s="884"/>
      <c r="W43" s="884"/>
      <c r="X43" s="874"/>
      <c r="Y43" s="884"/>
      <c r="Z43" s="884"/>
      <c r="AA43" s="884"/>
      <c r="AB43" s="874"/>
      <c r="AC43" s="874"/>
      <c r="AD43" s="884"/>
      <c r="AE43" s="884"/>
      <c r="AF43" s="884"/>
      <c r="AG43" s="874"/>
      <c r="AH43" s="884"/>
      <c r="AI43" s="884"/>
      <c r="AJ43" s="884"/>
      <c r="AK43" s="874"/>
      <c r="AL43" s="874"/>
      <c r="AM43" s="913"/>
      <c r="AN43" s="884"/>
      <c r="AO43" s="884"/>
      <c r="AP43" s="874"/>
      <c r="AQ43" s="884"/>
      <c r="AR43" s="884"/>
      <c r="AS43" s="874"/>
      <c r="AT43" s="884"/>
      <c r="AU43" s="874"/>
      <c r="AV43" s="884"/>
      <c r="AW43" s="884"/>
      <c r="AX43" s="884"/>
      <c r="AY43" s="874"/>
      <c r="AZ43" s="884"/>
      <c r="BA43" s="884"/>
      <c r="BB43" s="884"/>
      <c r="BC43" s="884"/>
      <c r="BD43" s="874"/>
      <c r="BE43" s="884"/>
      <c r="BF43" s="884"/>
      <c r="BG43" s="884"/>
      <c r="BH43" s="874"/>
      <c r="BI43" s="884"/>
      <c r="BJ43" s="884"/>
      <c r="BK43" s="874"/>
      <c r="BL43" s="884"/>
      <c r="BM43" s="874"/>
      <c r="BN43" s="884"/>
      <c r="BO43" s="884"/>
      <c r="BP43" s="884"/>
      <c r="BQ43" s="874"/>
      <c r="BR43" s="884"/>
      <c r="BS43" s="884"/>
      <c r="BT43" s="884"/>
      <c r="BU43" s="884"/>
      <c r="BV43" s="874"/>
      <c r="BW43" s="884"/>
      <c r="BX43" s="884"/>
      <c r="BY43" s="884"/>
      <c r="BZ43" s="874"/>
      <c r="CA43" s="884"/>
      <c r="CB43" s="884"/>
      <c r="CC43" s="884"/>
      <c r="CD43" s="884"/>
      <c r="CE43" s="874"/>
      <c r="CF43" s="884"/>
      <c r="CG43" s="884"/>
      <c r="CH43" s="884"/>
      <c r="CI43" s="874"/>
      <c r="CJ43" s="884"/>
      <c r="CK43" s="884"/>
      <c r="CL43" s="884"/>
      <c r="CM43" s="884"/>
      <c r="CN43" s="874"/>
      <c r="CO43" s="884"/>
      <c r="CP43" s="884"/>
      <c r="CQ43" s="884"/>
      <c r="CR43" s="874"/>
      <c r="CS43" s="884"/>
      <c r="CT43" s="884"/>
      <c r="CU43" s="884"/>
      <c r="CV43" s="884"/>
      <c r="CW43" s="874"/>
      <c r="CX43" s="913"/>
      <c r="CY43" s="884"/>
      <c r="CZ43" s="884"/>
      <c r="DA43" s="874"/>
      <c r="DB43" s="884"/>
      <c r="DC43" s="884"/>
      <c r="DD43" s="884"/>
      <c r="DE43" s="884"/>
      <c r="DF43" s="874"/>
      <c r="DG43" s="884"/>
      <c r="DH43" s="884"/>
      <c r="DI43" s="884"/>
      <c r="DJ43" s="874"/>
      <c r="DK43" s="884"/>
      <c r="DL43" s="884"/>
      <c r="DM43" s="874"/>
      <c r="DN43" s="884"/>
      <c r="DO43" s="874"/>
      <c r="DP43" s="884"/>
      <c r="DQ43" s="884"/>
      <c r="DR43" s="884"/>
      <c r="DS43" s="874"/>
      <c r="DT43" s="884"/>
      <c r="DU43" s="884"/>
      <c r="DV43" s="884"/>
      <c r="DW43" s="884"/>
      <c r="DX43" s="874"/>
      <c r="DY43" s="884"/>
      <c r="DZ43" s="884"/>
      <c r="EA43" s="884"/>
      <c r="EB43" s="874"/>
      <c r="EC43" s="884"/>
      <c r="ED43" s="884"/>
      <c r="EE43" s="874"/>
    </row>
    <row r="44">
      <c r="A44" s="33">
        <f>'Schedule | 2 Division (OLD)'!P8</f>
        <v>32</v>
      </c>
      <c r="B44" s="30" t="str">
        <f>'Schedule | 2 Division (OLD)'!K8</f>
        <v>QW0TROBERY</v>
      </c>
      <c r="C44" s="906">
        <f>'Schedule | 2 Division (OLD)'!L8</f>
        <v>0</v>
      </c>
      <c r="D44" s="906">
        <f>'Schedule | 2 Division (OLD)'!N8</f>
        <v>0</v>
      </c>
      <c r="E44" s="30" t="str">
        <f>'Schedule | 2 Division (OLD)'!O8</f>
        <v>Hoax</v>
      </c>
      <c r="F44" s="30" t="str">
        <f t="shared" si="36"/>
        <v/>
      </c>
      <c r="G44" s="433" t="str">
        <f t="shared" si="37"/>
        <v/>
      </c>
      <c r="H44" s="884"/>
      <c r="I44" s="884"/>
      <c r="J44" s="874"/>
      <c r="K44" s="874"/>
      <c r="L44" s="884"/>
      <c r="M44" s="884"/>
      <c r="N44" s="884"/>
      <c r="O44" s="874"/>
      <c r="P44" s="884"/>
      <c r="Q44" s="884"/>
      <c r="R44" s="884"/>
      <c r="S44" s="874"/>
      <c r="T44" s="874"/>
      <c r="U44" s="874"/>
      <c r="V44" s="884"/>
      <c r="W44" s="884"/>
      <c r="X44" s="874"/>
      <c r="Y44" s="884"/>
      <c r="Z44" s="884"/>
      <c r="AA44" s="884"/>
      <c r="AB44" s="874"/>
      <c r="AC44" s="874"/>
      <c r="AD44" s="884"/>
      <c r="AE44" s="884"/>
      <c r="AF44" s="884"/>
      <c r="AG44" s="874"/>
      <c r="AH44" s="884"/>
      <c r="AI44" s="884"/>
      <c r="AJ44" s="884"/>
      <c r="AK44" s="874"/>
      <c r="AL44" s="874"/>
      <c r="AM44" s="913"/>
      <c r="AN44" s="884"/>
      <c r="AO44" s="884"/>
      <c r="AP44" s="874"/>
      <c r="AQ44" s="884"/>
      <c r="AR44" s="884"/>
      <c r="AS44" s="874"/>
      <c r="AT44" s="884"/>
      <c r="AU44" s="874"/>
      <c r="AV44" s="884"/>
      <c r="AW44" s="884"/>
      <c r="AX44" s="884"/>
      <c r="AY44" s="874"/>
      <c r="AZ44" s="884"/>
      <c r="BA44" s="884"/>
      <c r="BB44" s="884"/>
      <c r="BC44" s="884"/>
      <c r="BD44" s="874"/>
      <c r="BE44" s="884"/>
      <c r="BF44" s="884"/>
      <c r="BG44" s="884"/>
      <c r="BH44" s="874"/>
      <c r="BI44" s="884"/>
      <c r="BJ44" s="884"/>
      <c r="BK44" s="874"/>
      <c r="BL44" s="884"/>
      <c r="BM44" s="874"/>
      <c r="BN44" s="884"/>
      <c r="BO44" s="884"/>
      <c r="BP44" s="884"/>
      <c r="BQ44" s="874"/>
      <c r="BR44" s="884"/>
      <c r="BS44" s="884"/>
      <c r="BT44" s="884"/>
      <c r="BU44" s="884"/>
      <c r="BV44" s="874"/>
      <c r="BW44" s="884"/>
      <c r="BX44" s="884"/>
      <c r="BY44" s="884"/>
      <c r="BZ44" s="874"/>
      <c r="CA44" s="884"/>
      <c r="CB44" s="884"/>
      <c r="CC44" s="884"/>
      <c r="CD44" s="884"/>
      <c r="CE44" s="874"/>
      <c r="CF44" s="884"/>
      <c r="CG44" s="884"/>
      <c r="CH44" s="884"/>
      <c r="CI44" s="874"/>
      <c r="CJ44" s="884"/>
      <c r="CK44" s="884"/>
      <c r="CL44" s="884"/>
      <c r="CM44" s="884"/>
      <c r="CN44" s="874"/>
      <c r="CO44" s="884"/>
      <c r="CP44" s="884"/>
      <c r="CQ44" s="884"/>
      <c r="CR44" s="874"/>
      <c r="CS44" s="884"/>
      <c r="CT44" s="884"/>
      <c r="CU44" s="884"/>
      <c r="CV44" s="884"/>
      <c r="CW44" s="874"/>
      <c r="CX44" s="913"/>
      <c r="CY44" s="884"/>
      <c r="CZ44" s="884"/>
      <c r="DA44" s="874"/>
      <c r="DB44" s="884"/>
      <c r="DC44" s="884"/>
      <c r="DD44" s="884"/>
      <c r="DE44" s="884"/>
      <c r="DF44" s="874"/>
      <c r="DG44" s="884"/>
      <c r="DH44" s="884"/>
      <c r="DI44" s="884"/>
      <c r="DJ44" s="874"/>
      <c r="DK44" s="884"/>
      <c r="DL44" s="884"/>
      <c r="DM44" s="874"/>
      <c r="DN44" s="884"/>
      <c r="DO44" s="874"/>
      <c r="DP44" s="884"/>
      <c r="DQ44" s="884"/>
      <c r="DR44" s="884"/>
      <c r="DS44" s="874"/>
      <c r="DT44" s="884"/>
      <c r="DU44" s="884"/>
      <c r="DV44" s="884"/>
      <c r="DW44" s="884"/>
      <c r="DX44" s="874"/>
      <c r="DY44" s="884"/>
      <c r="DZ44" s="884"/>
      <c r="EA44" s="884"/>
      <c r="EB44" s="874"/>
      <c r="EC44" s="884"/>
      <c r="ED44" s="884"/>
      <c r="EE44" s="874"/>
    </row>
    <row r="45">
      <c r="A45" s="33">
        <f>'Schedule | 2 Division (OLD)'!P11</f>
        <v>33</v>
      </c>
      <c r="B45" s="30" t="str">
        <f>'Schedule | 2 Division (OLD)'!K11</f>
        <v>VIOLENCE</v>
      </c>
      <c r="C45" s="906">
        <f>'Schedule | 2 Division (OLD)'!L11</f>
        <v>0</v>
      </c>
      <c r="D45" s="906">
        <f>'Schedule | 2 Division (OLD)'!N11</f>
        <v>0</v>
      </c>
      <c r="E45" s="30" t="str">
        <f>'Schedule | 2 Division (OLD)'!O11</f>
        <v>Hoax</v>
      </c>
      <c r="F45" s="30" t="str">
        <f t="shared" si="36"/>
        <v/>
      </c>
      <c r="G45" s="433" t="str">
        <f t="shared" si="37"/>
        <v/>
      </c>
      <c r="H45" s="884"/>
      <c r="I45" s="884"/>
      <c r="J45" s="874"/>
      <c r="K45" s="874"/>
      <c r="L45" s="884"/>
      <c r="M45" s="884"/>
      <c r="N45" s="884"/>
      <c r="O45" s="874"/>
      <c r="P45" s="884"/>
      <c r="Q45" s="884"/>
      <c r="R45" s="884"/>
      <c r="S45" s="874"/>
      <c r="T45" s="874"/>
      <c r="U45" s="874"/>
      <c r="V45" s="884"/>
      <c r="W45" s="884"/>
      <c r="X45" s="874"/>
      <c r="Y45" s="884"/>
      <c r="Z45" s="884"/>
      <c r="AA45" s="884"/>
      <c r="AB45" s="874"/>
      <c r="AC45" s="874"/>
      <c r="AD45" s="884"/>
      <c r="AE45" s="884"/>
      <c r="AF45" s="884"/>
      <c r="AG45" s="874"/>
      <c r="AH45" s="884"/>
      <c r="AI45" s="884"/>
      <c r="AJ45" s="884"/>
      <c r="AK45" s="874"/>
      <c r="AL45" s="874"/>
      <c r="AM45" s="913"/>
      <c r="AN45" s="884"/>
      <c r="AO45" s="884"/>
      <c r="AP45" s="874"/>
      <c r="AQ45" s="884"/>
      <c r="AR45" s="884"/>
      <c r="AS45" s="874"/>
      <c r="AT45" s="884"/>
      <c r="AU45" s="874"/>
      <c r="AV45" s="884"/>
      <c r="AW45" s="884"/>
      <c r="AX45" s="884"/>
      <c r="AY45" s="874"/>
      <c r="AZ45" s="884"/>
      <c r="BA45" s="884"/>
      <c r="BB45" s="884"/>
      <c r="BC45" s="884"/>
      <c r="BD45" s="874"/>
      <c r="BE45" s="884"/>
      <c r="BF45" s="884"/>
      <c r="BG45" s="884"/>
      <c r="BH45" s="874"/>
      <c r="BI45" s="884"/>
      <c r="BJ45" s="884"/>
      <c r="BK45" s="874"/>
      <c r="BL45" s="884"/>
      <c r="BM45" s="874"/>
      <c r="BN45" s="884"/>
      <c r="BO45" s="884"/>
      <c r="BP45" s="884"/>
      <c r="BQ45" s="874"/>
      <c r="BR45" s="884"/>
      <c r="BS45" s="884"/>
      <c r="BT45" s="884"/>
      <c r="BU45" s="884"/>
      <c r="BV45" s="874"/>
      <c r="BW45" s="884"/>
      <c r="BX45" s="884"/>
      <c r="BY45" s="884"/>
      <c r="BZ45" s="874"/>
      <c r="CA45" s="884"/>
      <c r="CB45" s="884"/>
      <c r="CC45" s="884"/>
      <c r="CD45" s="884"/>
      <c r="CE45" s="874"/>
      <c r="CF45" s="884"/>
      <c r="CG45" s="884"/>
      <c r="CH45" s="884"/>
      <c r="CI45" s="874"/>
      <c r="CJ45" s="884"/>
      <c r="CK45" s="884"/>
      <c r="CL45" s="884"/>
      <c r="CM45" s="884"/>
      <c r="CN45" s="874"/>
      <c r="CO45" s="884"/>
      <c r="CP45" s="884"/>
      <c r="CQ45" s="884"/>
      <c r="CR45" s="874"/>
      <c r="CS45" s="884"/>
      <c r="CT45" s="884"/>
      <c r="CU45" s="884"/>
      <c r="CV45" s="884"/>
      <c r="CW45" s="874"/>
      <c r="CX45" s="913"/>
      <c r="CY45" s="884"/>
      <c r="CZ45" s="884"/>
      <c r="DA45" s="874"/>
      <c r="DB45" s="884"/>
      <c r="DC45" s="884"/>
      <c r="DD45" s="884"/>
      <c r="DE45" s="884"/>
      <c r="DF45" s="874"/>
      <c r="DG45" s="884"/>
      <c r="DH45" s="884"/>
      <c r="DI45" s="884"/>
      <c r="DJ45" s="874"/>
      <c r="DK45" s="884"/>
      <c r="DL45" s="884"/>
      <c r="DM45" s="874"/>
      <c r="DN45" s="884"/>
      <c r="DO45" s="874"/>
      <c r="DP45" s="884"/>
      <c r="DQ45" s="884"/>
      <c r="DR45" s="884"/>
      <c r="DS45" s="874"/>
      <c r="DT45" s="884"/>
      <c r="DU45" s="884"/>
      <c r="DV45" s="884"/>
      <c r="DW45" s="884"/>
      <c r="DX45" s="874"/>
      <c r="DY45" s="884"/>
      <c r="DZ45" s="884"/>
      <c r="EA45" s="884"/>
      <c r="EB45" s="874"/>
      <c r="EC45" s="884"/>
      <c r="ED45" s="884"/>
      <c r="EE45" s="874"/>
    </row>
    <row r="46">
      <c r="A46" s="33">
        <f>'Schedule | 2 Division (OLD)'!P12</f>
        <v>34</v>
      </c>
      <c r="B46" s="30" t="str">
        <f>'Schedule | 2 Division (OLD)'!K12</f>
        <v>Green Hustle</v>
      </c>
      <c r="C46" s="906">
        <f>'Schedule | 2 Division (OLD)'!L12</f>
        <v>0</v>
      </c>
      <c r="D46" s="906">
        <f>'Schedule | 2 Division (OLD)'!N12</f>
        <v>0</v>
      </c>
      <c r="E46" s="30" t="str">
        <f>'Schedule | 2 Division (OLD)'!O12</f>
        <v>ICM</v>
      </c>
      <c r="F46" s="30" t="str">
        <f t="shared" si="36"/>
        <v/>
      </c>
      <c r="G46" s="433" t="str">
        <f t="shared" si="37"/>
        <v/>
      </c>
      <c r="H46" s="884"/>
      <c r="I46" s="884"/>
      <c r="J46" s="874"/>
      <c r="K46" s="874"/>
      <c r="L46" s="884"/>
      <c r="M46" s="884"/>
      <c r="N46" s="884"/>
      <c r="O46" s="874"/>
      <c r="P46" s="884"/>
      <c r="Q46" s="884"/>
      <c r="R46" s="884"/>
      <c r="S46" s="874"/>
      <c r="T46" s="874"/>
      <c r="U46" s="874"/>
      <c r="V46" s="884"/>
      <c r="W46" s="884"/>
      <c r="X46" s="874"/>
      <c r="Y46" s="884"/>
      <c r="Z46" s="884"/>
      <c r="AA46" s="884"/>
      <c r="AB46" s="874"/>
      <c r="AC46" s="874"/>
      <c r="AD46" s="884"/>
      <c r="AE46" s="884"/>
      <c r="AF46" s="884"/>
      <c r="AG46" s="874"/>
      <c r="AH46" s="884"/>
      <c r="AI46" s="884"/>
      <c r="AJ46" s="884"/>
      <c r="AK46" s="874"/>
      <c r="AL46" s="874"/>
      <c r="AM46" s="913"/>
      <c r="AN46" s="884"/>
      <c r="AO46" s="884"/>
      <c r="AP46" s="874"/>
      <c r="AQ46" s="884"/>
      <c r="AR46" s="884"/>
      <c r="AS46" s="874"/>
      <c r="AT46" s="884"/>
      <c r="AU46" s="874"/>
      <c r="AV46" s="884"/>
      <c r="AW46" s="884"/>
      <c r="AX46" s="884"/>
      <c r="AY46" s="874"/>
      <c r="AZ46" s="884"/>
      <c r="BA46" s="884"/>
      <c r="BB46" s="884"/>
      <c r="BC46" s="884"/>
      <c r="BD46" s="874"/>
      <c r="BE46" s="884"/>
      <c r="BF46" s="884"/>
      <c r="BG46" s="884"/>
      <c r="BH46" s="874"/>
      <c r="BI46" s="884"/>
      <c r="BJ46" s="884"/>
      <c r="BK46" s="874"/>
      <c r="BL46" s="884"/>
      <c r="BM46" s="874"/>
      <c r="BN46" s="884"/>
      <c r="BO46" s="884"/>
      <c r="BP46" s="884"/>
      <c r="BQ46" s="874"/>
      <c r="BR46" s="884"/>
      <c r="BS46" s="884"/>
      <c r="BT46" s="884"/>
      <c r="BU46" s="884"/>
      <c r="BV46" s="874"/>
      <c r="BW46" s="884"/>
      <c r="BX46" s="884"/>
      <c r="BY46" s="884"/>
      <c r="BZ46" s="874"/>
      <c r="CA46" s="884"/>
      <c r="CB46" s="884"/>
      <c r="CC46" s="884"/>
      <c r="CD46" s="884"/>
      <c r="CE46" s="874"/>
      <c r="CF46" s="884"/>
      <c r="CG46" s="884"/>
      <c r="CH46" s="884"/>
      <c r="CI46" s="874"/>
      <c r="CJ46" s="884"/>
      <c r="CK46" s="884"/>
      <c r="CL46" s="884"/>
      <c r="CM46" s="884"/>
      <c r="CN46" s="874"/>
      <c r="CO46" s="884"/>
      <c r="CP46" s="884"/>
      <c r="CQ46" s="884"/>
      <c r="CR46" s="874"/>
      <c r="CS46" s="884"/>
      <c r="CT46" s="884"/>
      <c r="CU46" s="884"/>
      <c r="CV46" s="884"/>
      <c r="CW46" s="874"/>
      <c r="CX46" s="913"/>
      <c r="CY46" s="884"/>
      <c r="CZ46" s="884"/>
      <c r="DA46" s="874"/>
      <c r="DB46" s="884"/>
      <c r="DC46" s="884"/>
      <c r="DD46" s="884"/>
      <c r="DE46" s="884"/>
      <c r="DF46" s="874"/>
      <c r="DG46" s="884"/>
      <c r="DH46" s="884"/>
      <c r="DI46" s="884"/>
      <c r="DJ46" s="874"/>
      <c r="DK46" s="884"/>
      <c r="DL46" s="884"/>
      <c r="DM46" s="874"/>
      <c r="DN46" s="884"/>
      <c r="DO46" s="874"/>
      <c r="DP46" s="884"/>
      <c r="DQ46" s="884"/>
      <c r="DR46" s="884"/>
      <c r="DS46" s="874"/>
      <c r="DT46" s="884"/>
      <c r="DU46" s="884"/>
      <c r="DV46" s="884"/>
      <c r="DW46" s="884"/>
      <c r="DX46" s="874"/>
      <c r="DY46" s="884"/>
      <c r="DZ46" s="884"/>
      <c r="EA46" s="884"/>
      <c r="EB46" s="874"/>
      <c r="EC46" s="884"/>
      <c r="ED46" s="884"/>
      <c r="EE46" s="874"/>
    </row>
    <row r="47">
      <c r="A47" s="33">
        <f>'Schedule | 2 Division (OLD)'!P13</f>
        <v>35</v>
      </c>
      <c r="B47" s="30" t="str">
        <f>'Schedule | 2 Division (OLD)'!K13</f>
        <v>QW0TROBERY</v>
      </c>
      <c r="C47" s="906">
        <f>'Schedule | 2 Division (OLD)'!L13</f>
        <v>0</v>
      </c>
      <c r="D47" s="906">
        <f>'Schedule | 2 Division (OLD)'!N13</f>
        <v>0</v>
      </c>
      <c r="E47" s="30" t="str">
        <f>'Schedule | 2 Division (OLD)'!O13</f>
        <v>ALFA</v>
      </c>
      <c r="F47" s="30" t="str">
        <f t="shared" si="36"/>
        <v/>
      </c>
      <c r="G47" s="433" t="str">
        <f t="shared" si="37"/>
        <v/>
      </c>
      <c r="H47" s="884"/>
      <c r="I47" s="884"/>
      <c r="J47" s="874"/>
      <c r="K47" s="874"/>
      <c r="L47" s="884"/>
      <c r="M47" s="884"/>
      <c r="N47" s="884"/>
      <c r="O47" s="874"/>
      <c r="P47" s="884"/>
      <c r="Q47" s="884"/>
      <c r="R47" s="884"/>
      <c r="S47" s="874"/>
      <c r="T47" s="874"/>
      <c r="U47" s="874"/>
      <c r="V47" s="884"/>
      <c r="W47" s="884"/>
      <c r="X47" s="874"/>
      <c r="Y47" s="884"/>
      <c r="Z47" s="884"/>
      <c r="AA47" s="884"/>
      <c r="AB47" s="874"/>
      <c r="AC47" s="874"/>
      <c r="AD47" s="884"/>
      <c r="AE47" s="884"/>
      <c r="AF47" s="884"/>
      <c r="AG47" s="874"/>
      <c r="AH47" s="884"/>
      <c r="AI47" s="884"/>
      <c r="AJ47" s="884"/>
      <c r="AK47" s="874"/>
      <c r="AL47" s="874"/>
      <c r="AM47" s="913"/>
      <c r="AN47" s="884"/>
      <c r="AO47" s="884"/>
      <c r="AP47" s="874"/>
      <c r="AQ47" s="884"/>
      <c r="AR47" s="884"/>
      <c r="AS47" s="874"/>
      <c r="AT47" s="884"/>
      <c r="AU47" s="874"/>
      <c r="AV47" s="884"/>
      <c r="AW47" s="884"/>
      <c r="AX47" s="884"/>
      <c r="AY47" s="874"/>
      <c r="AZ47" s="884"/>
      <c r="BA47" s="884"/>
      <c r="BB47" s="884"/>
      <c r="BC47" s="884"/>
      <c r="BD47" s="874"/>
      <c r="BE47" s="884"/>
      <c r="BF47" s="884"/>
      <c r="BG47" s="884"/>
      <c r="BH47" s="874"/>
      <c r="BI47" s="884"/>
      <c r="BJ47" s="884"/>
      <c r="BK47" s="874"/>
      <c r="BL47" s="884"/>
      <c r="BM47" s="874"/>
      <c r="BN47" s="884"/>
      <c r="BO47" s="884"/>
      <c r="BP47" s="884"/>
      <c r="BQ47" s="874"/>
      <c r="BR47" s="884"/>
      <c r="BS47" s="884"/>
      <c r="BT47" s="884"/>
      <c r="BU47" s="884"/>
      <c r="BV47" s="874"/>
      <c r="BW47" s="884"/>
      <c r="BX47" s="884"/>
      <c r="BY47" s="884"/>
      <c r="BZ47" s="874"/>
      <c r="CA47" s="884"/>
      <c r="CB47" s="884"/>
      <c r="CC47" s="884"/>
      <c r="CD47" s="884"/>
      <c r="CE47" s="874"/>
      <c r="CF47" s="884"/>
      <c r="CG47" s="884"/>
      <c r="CH47" s="884"/>
      <c r="CI47" s="874"/>
      <c r="CJ47" s="884"/>
      <c r="CK47" s="884"/>
      <c r="CL47" s="884"/>
      <c r="CM47" s="884"/>
      <c r="CN47" s="874"/>
      <c r="CO47" s="884"/>
      <c r="CP47" s="884"/>
      <c r="CQ47" s="884"/>
      <c r="CR47" s="874"/>
      <c r="CS47" s="884"/>
      <c r="CT47" s="884"/>
      <c r="CU47" s="884"/>
      <c r="CV47" s="884"/>
      <c r="CW47" s="874"/>
      <c r="CX47" s="913"/>
      <c r="CY47" s="884"/>
      <c r="CZ47" s="884"/>
      <c r="DA47" s="874"/>
      <c r="DB47" s="884"/>
      <c r="DC47" s="884"/>
      <c r="DD47" s="884"/>
      <c r="DE47" s="884"/>
      <c r="DF47" s="874"/>
      <c r="DG47" s="884"/>
      <c r="DH47" s="884"/>
      <c r="DI47" s="884"/>
      <c r="DJ47" s="874"/>
      <c r="DK47" s="884"/>
      <c r="DL47" s="884"/>
      <c r="DM47" s="874"/>
      <c r="DN47" s="884"/>
      <c r="DO47" s="874"/>
      <c r="DP47" s="884"/>
      <c r="DQ47" s="884"/>
      <c r="DR47" s="884"/>
      <c r="DS47" s="874"/>
      <c r="DT47" s="884"/>
      <c r="DU47" s="884"/>
      <c r="DV47" s="884"/>
      <c r="DW47" s="884"/>
      <c r="DX47" s="874"/>
      <c r="DY47" s="884"/>
      <c r="DZ47" s="884"/>
      <c r="EA47" s="884"/>
      <c r="EB47" s="874"/>
      <c r="EC47" s="884"/>
      <c r="ED47" s="884"/>
      <c r="EE47" s="874"/>
    </row>
    <row r="48">
      <c r="A48" s="33">
        <f>'Schedule | 2 Division (OLD)'!P14</f>
        <v>36</v>
      </c>
      <c r="B48" s="30" t="str">
        <f>'Schedule | 2 Division (OLD)'!K14</f>
        <v>PARADOX</v>
      </c>
      <c r="C48" s="906">
        <f>'Schedule | 2 Division (OLD)'!L14</f>
        <v>0</v>
      </c>
      <c r="D48" s="906">
        <f>'Schedule | 2 Division (OLD)'!N14</f>
        <v>0</v>
      </c>
      <c r="E48" s="30" t="str">
        <f>'Schedule | 2 Division (OLD)'!O14</f>
        <v>DISTANCE</v>
      </c>
      <c r="F48" s="30" t="str">
        <f t="shared" si="36"/>
        <v/>
      </c>
      <c r="G48" s="433" t="str">
        <f t="shared" si="37"/>
        <v/>
      </c>
      <c r="H48" s="884"/>
      <c r="I48" s="884"/>
      <c r="J48" s="874"/>
      <c r="K48" s="874"/>
      <c r="L48" s="884"/>
      <c r="M48" s="884"/>
      <c r="N48" s="884"/>
      <c r="O48" s="874"/>
      <c r="P48" s="884"/>
      <c r="Q48" s="884"/>
      <c r="R48" s="884"/>
      <c r="S48" s="874"/>
      <c r="T48" s="874"/>
      <c r="U48" s="874"/>
      <c r="V48" s="884"/>
      <c r="W48" s="884"/>
      <c r="X48" s="874"/>
      <c r="Y48" s="884"/>
      <c r="Z48" s="884"/>
      <c r="AA48" s="884"/>
      <c r="AB48" s="874"/>
      <c r="AC48" s="874"/>
      <c r="AD48" s="884"/>
      <c r="AE48" s="884"/>
      <c r="AF48" s="884"/>
      <c r="AG48" s="874"/>
      <c r="AH48" s="884"/>
      <c r="AI48" s="884"/>
      <c r="AJ48" s="884"/>
      <c r="AK48" s="874"/>
      <c r="AL48" s="874"/>
      <c r="AM48" s="913"/>
      <c r="AN48" s="884"/>
      <c r="AO48" s="884"/>
      <c r="AP48" s="874"/>
      <c r="AQ48" s="884"/>
      <c r="AR48" s="884"/>
      <c r="AS48" s="874"/>
      <c r="AT48" s="884"/>
      <c r="AU48" s="874"/>
      <c r="AV48" s="884"/>
      <c r="AW48" s="884"/>
      <c r="AX48" s="884"/>
      <c r="AY48" s="874"/>
      <c r="AZ48" s="884"/>
      <c r="BA48" s="884"/>
      <c r="BB48" s="884"/>
      <c r="BC48" s="884"/>
      <c r="BD48" s="874"/>
      <c r="BE48" s="884"/>
      <c r="BF48" s="884"/>
      <c r="BG48" s="884"/>
      <c r="BH48" s="874"/>
      <c r="BI48" s="884"/>
      <c r="BJ48" s="884"/>
      <c r="BK48" s="874"/>
      <c r="BL48" s="884"/>
      <c r="BM48" s="874"/>
      <c r="BN48" s="884"/>
      <c r="BO48" s="884"/>
      <c r="BP48" s="884"/>
      <c r="BQ48" s="874"/>
      <c r="BR48" s="884"/>
      <c r="BS48" s="884"/>
      <c r="BT48" s="884"/>
      <c r="BU48" s="884"/>
      <c r="BV48" s="874"/>
      <c r="BW48" s="884"/>
      <c r="BX48" s="884"/>
      <c r="BY48" s="884"/>
      <c r="BZ48" s="874"/>
      <c r="CA48" s="884"/>
      <c r="CB48" s="884"/>
      <c r="CC48" s="884"/>
      <c r="CD48" s="884"/>
      <c r="CE48" s="874"/>
      <c r="CF48" s="884"/>
      <c r="CG48" s="884"/>
      <c r="CH48" s="884"/>
      <c r="CI48" s="874"/>
      <c r="CJ48" s="884"/>
      <c r="CK48" s="884"/>
      <c r="CL48" s="884"/>
      <c r="CM48" s="884"/>
      <c r="CN48" s="874"/>
      <c r="CO48" s="884"/>
      <c r="CP48" s="884"/>
      <c r="CQ48" s="884"/>
      <c r="CR48" s="874"/>
      <c r="CS48" s="884"/>
      <c r="CT48" s="884"/>
      <c r="CU48" s="884"/>
      <c r="CV48" s="884"/>
      <c r="CW48" s="874"/>
      <c r="CX48" s="913"/>
      <c r="CY48" s="884"/>
      <c r="CZ48" s="884"/>
      <c r="DA48" s="874"/>
      <c r="DB48" s="884"/>
      <c r="DC48" s="884"/>
      <c r="DD48" s="884"/>
      <c r="DE48" s="884"/>
      <c r="DF48" s="874"/>
      <c r="DG48" s="884"/>
      <c r="DH48" s="884"/>
      <c r="DI48" s="884"/>
      <c r="DJ48" s="874"/>
      <c r="DK48" s="884"/>
      <c r="DL48" s="884"/>
      <c r="DM48" s="874"/>
      <c r="DN48" s="884"/>
      <c r="DO48" s="874"/>
      <c r="DP48" s="884"/>
      <c r="DQ48" s="884"/>
      <c r="DR48" s="884"/>
      <c r="DS48" s="874"/>
      <c r="DT48" s="884"/>
      <c r="DU48" s="884"/>
      <c r="DV48" s="884"/>
      <c r="DW48" s="884"/>
      <c r="DX48" s="874"/>
      <c r="DY48" s="884"/>
      <c r="DZ48" s="884"/>
      <c r="EA48" s="884"/>
      <c r="EB48" s="874"/>
      <c r="EC48" s="884"/>
      <c r="ED48" s="884"/>
      <c r="EE48" s="874"/>
    </row>
    <row r="49">
      <c r="A49" s="33">
        <f>'Schedule | 2 Division (OLD)'!P17</f>
        <v>37</v>
      </c>
      <c r="B49" s="30" t="str">
        <f>'Schedule | 2 Division (OLD)'!K17</f>
        <v>ICM</v>
      </c>
      <c r="C49" s="906">
        <f>'Schedule | 2 Division (OLD)'!L17</f>
        <v>0</v>
      </c>
      <c r="D49" s="906">
        <f>'Schedule | 2 Division (OLD)'!N17</f>
        <v>0</v>
      </c>
      <c r="E49" s="30" t="str">
        <f>'Schedule | 2 Division (OLD)'!O17</f>
        <v>ALFA</v>
      </c>
      <c r="F49" s="30" t="str">
        <f t="shared" si="36"/>
        <v/>
      </c>
      <c r="G49" s="433" t="str">
        <f t="shared" si="37"/>
        <v/>
      </c>
      <c r="H49" s="884"/>
      <c r="I49" s="884"/>
      <c r="J49" s="874"/>
      <c r="K49" s="874"/>
      <c r="L49" s="884"/>
      <c r="M49" s="884"/>
      <c r="N49" s="884"/>
      <c r="O49" s="874"/>
      <c r="P49" s="884"/>
      <c r="Q49" s="884"/>
      <c r="R49" s="884"/>
      <c r="S49" s="874"/>
      <c r="T49" s="874"/>
      <c r="U49" s="874"/>
      <c r="V49" s="884"/>
      <c r="W49" s="884"/>
      <c r="X49" s="874"/>
      <c r="Y49" s="884"/>
      <c r="Z49" s="884"/>
      <c r="AA49" s="884"/>
      <c r="AB49" s="874"/>
      <c r="AC49" s="874"/>
      <c r="AD49" s="884"/>
      <c r="AE49" s="884"/>
      <c r="AF49" s="884"/>
      <c r="AG49" s="874"/>
      <c r="AH49" s="884"/>
      <c r="AI49" s="884"/>
      <c r="AJ49" s="884"/>
      <c r="AK49" s="874"/>
      <c r="AL49" s="874"/>
      <c r="AM49" s="913"/>
      <c r="AN49" s="884"/>
      <c r="AO49" s="884"/>
      <c r="AP49" s="874"/>
      <c r="AQ49" s="884"/>
      <c r="AR49" s="884"/>
      <c r="AS49" s="874"/>
      <c r="AT49" s="884"/>
      <c r="AU49" s="874"/>
      <c r="AV49" s="884"/>
      <c r="AW49" s="884"/>
      <c r="AX49" s="884"/>
      <c r="AY49" s="874"/>
      <c r="AZ49" s="884"/>
      <c r="BA49" s="884"/>
      <c r="BB49" s="884"/>
      <c r="BC49" s="884"/>
      <c r="BD49" s="874"/>
      <c r="BE49" s="884"/>
      <c r="BF49" s="884"/>
      <c r="BG49" s="884"/>
      <c r="BH49" s="874"/>
      <c r="BI49" s="884"/>
      <c r="BJ49" s="884"/>
      <c r="BK49" s="874"/>
      <c r="BL49" s="884"/>
      <c r="BM49" s="874"/>
      <c r="BN49" s="884"/>
      <c r="BO49" s="884"/>
      <c r="BP49" s="884"/>
      <c r="BQ49" s="874"/>
      <c r="BR49" s="884"/>
      <c r="BS49" s="884"/>
      <c r="BT49" s="884"/>
      <c r="BU49" s="884"/>
      <c r="BV49" s="874"/>
      <c r="BW49" s="884"/>
      <c r="BX49" s="884"/>
      <c r="BY49" s="884"/>
      <c r="BZ49" s="874"/>
      <c r="CA49" s="884"/>
      <c r="CB49" s="884"/>
      <c r="CC49" s="884"/>
      <c r="CD49" s="884"/>
      <c r="CE49" s="874"/>
      <c r="CF49" s="884"/>
      <c r="CG49" s="884"/>
      <c r="CH49" s="884"/>
      <c r="CI49" s="874"/>
      <c r="CJ49" s="884"/>
      <c r="CK49" s="884"/>
      <c r="CL49" s="884"/>
      <c r="CM49" s="884"/>
      <c r="CN49" s="874"/>
      <c r="CO49" s="884"/>
      <c r="CP49" s="884"/>
      <c r="CQ49" s="884"/>
      <c r="CR49" s="874"/>
      <c r="CS49" s="884"/>
      <c r="CT49" s="884"/>
      <c r="CU49" s="884"/>
      <c r="CV49" s="884"/>
      <c r="CW49" s="874"/>
      <c r="CX49" s="913"/>
      <c r="CY49" s="884"/>
      <c r="CZ49" s="884"/>
      <c r="DA49" s="874"/>
      <c r="DB49" s="884"/>
      <c r="DC49" s="884"/>
      <c r="DD49" s="884"/>
      <c r="DE49" s="884"/>
      <c r="DF49" s="874"/>
      <c r="DG49" s="884"/>
      <c r="DH49" s="884"/>
      <c r="DI49" s="884"/>
      <c r="DJ49" s="874"/>
      <c r="DK49" s="884"/>
      <c r="DL49" s="884"/>
      <c r="DM49" s="874"/>
      <c r="DN49" s="884"/>
      <c r="DO49" s="874"/>
      <c r="DP49" s="884"/>
      <c r="DQ49" s="884"/>
      <c r="DR49" s="884"/>
      <c r="DS49" s="874"/>
      <c r="DT49" s="884"/>
      <c r="DU49" s="884"/>
      <c r="DV49" s="884"/>
      <c r="DW49" s="884"/>
      <c r="DX49" s="874"/>
      <c r="DY49" s="884"/>
      <c r="DZ49" s="884"/>
      <c r="EA49" s="884"/>
      <c r="EB49" s="874"/>
      <c r="EC49" s="884"/>
      <c r="ED49" s="884"/>
      <c r="EE49" s="874"/>
    </row>
    <row r="50">
      <c r="A50" s="33">
        <f>'Schedule | 2 Division (OLD)'!P18</f>
        <v>38</v>
      </c>
      <c r="B50" s="30" t="str">
        <f>'Schedule | 2 Division (OLD)'!K18</f>
        <v>DISTANCE</v>
      </c>
      <c r="C50" s="906">
        <f>'Schedule | 2 Division (OLD)'!L18</f>
        <v>0</v>
      </c>
      <c r="D50" s="906">
        <f>'Schedule | 2 Division (OLD)'!N18</f>
        <v>0</v>
      </c>
      <c r="E50" s="30" t="str">
        <f>'Schedule | 2 Division (OLD)'!O18</f>
        <v>QW0TROBERY</v>
      </c>
      <c r="F50" s="30" t="str">
        <f t="shared" si="36"/>
        <v/>
      </c>
      <c r="G50" s="433" t="str">
        <f t="shared" si="37"/>
        <v/>
      </c>
      <c r="H50" s="884"/>
      <c r="I50" s="884"/>
      <c r="J50" s="874"/>
      <c r="K50" s="874"/>
      <c r="L50" s="884"/>
      <c r="M50" s="884"/>
      <c r="N50" s="884"/>
      <c r="O50" s="874"/>
      <c r="P50" s="884"/>
      <c r="Q50" s="884"/>
      <c r="R50" s="884"/>
      <c r="S50" s="874"/>
      <c r="T50" s="874"/>
      <c r="U50" s="874"/>
      <c r="V50" s="884"/>
      <c r="W50" s="884"/>
      <c r="X50" s="874"/>
      <c r="Y50" s="884"/>
      <c r="Z50" s="884"/>
      <c r="AA50" s="884"/>
      <c r="AB50" s="874"/>
      <c r="AC50" s="874"/>
      <c r="AD50" s="884"/>
      <c r="AE50" s="884"/>
      <c r="AF50" s="884"/>
      <c r="AG50" s="874"/>
      <c r="AH50" s="884"/>
      <c r="AI50" s="884"/>
      <c r="AJ50" s="884"/>
      <c r="AK50" s="874"/>
      <c r="AL50" s="874"/>
      <c r="AM50" s="913"/>
      <c r="AN50" s="884"/>
      <c r="AO50" s="884"/>
      <c r="AP50" s="874"/>
      <c r="AQ50" s="884"/>
      <c r="AR50" s="884"/>
      <c r="AS50" s="874"/>
      <c r="AT50" s="884"/>
      <c r="AU50" s="874"/>
      <c r="AV50" s="884"/>
      <c r="AW50" s="884"/>
      <c r="AX50" s="884"/>
      <c r="AY50" s="874"/>
      <c r="AZ50" s="884"/>
      <c r="BA50" s="884"/>
      <c r="BB50" s="884"/>
      <c r="BC50" s="884"/>
      <c r="BD50" s="874"/>
      <c r="BE50" s="884"/>
      <c r="BF50" s="884"/>
      <c r="BG50" s="884"/>
      <c r="BH50" s="874"/>
      <c r="BI50" s="884"/>
      <c r="BJ50" s="884"/>
      <c r="BK50" s="874"/>
      <c r="BL50" s="884"/>
      <c r="BM50" s="874"/>
      <c r="BN50" s="884"/>
      <c r="BO50" s="884"/>
      <c r="BP50" s="884"/>
      <c r="BQ50" s="874"/>
      <c r="BR50" s="884"/>
      <c r="BS50" s="884"/>
      <c r="BT50" s="884"/>
      <c r="BU50" s="884"/>
      <c r="BV50" s="874"/>
      <c r="BW50" s="884"/>
      <c r="BX50" s="884"/>
      <c r="BY50" s="884"/>
      <c r="BZ50" s="874"/>
      <c r="CA50" s="884"/>
      <c r="CB50" s="884"/>
      <c r="CC50" s="884"/>
      <c r="CD50" s="884"/>
      <c r="CE50" s="874"/>
      <c r="CF50" s="884"/>
      <c r="CG50" s="884"/>
      <c r="CH50" s="884"/>
      <c r="CI50" s="874"/>
      <c r="CJ50" s="884"/>
      <c r="CK50" s="884"/>
      <c r="CL50" s="884"/>
      <c r="CM50" s="884"/>
      <c r="CN50" s="874"/>
      <c r="CO50" s="884"/>
      <c r="CP50" s="884"/>
      <c r="CQ50" s="884"/>
      <c r="CR50" s="874"/>
      <c r="CS50" s="884"/>
      <c r="CT50" s="884"/>
      <c r="CU50" s="884"/>
      <c r="CV50" s="884"/>
      <c r="CW50" s="874"/>
      <c r="CX50" s="913"/>
      <c r="CY50" s="884"/>
      <c r="CZ50" s="884"/>
      <c r="DA50" s="874"/>
      <c r="DB50" s="884"/>
      <c r="DC50" s="884"/>
      <c r="DD50" s="884"/>
      <c r="DE50" s="884"/>
      <c r="DF50" s="874"/>
      <c r="DG50" s="884"/>
      <c r="DH50" s="884"/>
      <c r="DI50" s="884"/>
      <c r="DJ50" s="874"/>
      <c r="DK50" s="884"/>
      <c r="DL50" s="884"/>
      <c r="DM50" s="874"/>
      <c r="DN50" s="884"/>
      <c r="DO50" s="874"/>
      <c r="DP50" s="884"/>
      <c r="DQ50" s="884"/>
      <c r="DR50" s="884"/>
      <c r="DS50" s="874"/>
      <c r="DT50" s="884"/>
      <c r="DU50" s="884"/>
      <c r="DV50" s="884"/>
      <c r="DW50" s="884"/>
      <c r="DX50" s="874"/>
      <c r="DY50" s="884"/>
      <c r="DZ50" s="884"/>
      <c r="EA50" s="884"/>
      <c r="EB50" s="874"/>
      <c r="EC50" s="884"/>
      <c r="ED50" s="884"/>
      <c r="EE50" s="874"/>
    </row>
    <row r="51">
      <c r="A51" s="33">
        <f>'Schedule | 2 Division (OLD)'!P19</f>
        <v>39</v>
      </c>
      <c r="B51" s="30" t="str">
        <f>'Schedule | 2 Division (OLD)'!K19</f>
        <v>PARADOX</v>
      </c>
      <c r="C51" s="906">
        <f>'Schedule | 2 Division (OLD)'!L19</f>
        <v>0</v>
      </c>
      <c r="D51" s="906">
        <f>'Schedule | 2 Division (OLD)'!N19</f>
        <v>0</v>
      </c>
      <c r="E51" s="30" t="str">
        <f>'Schedule | 2 Division (OLD)'!O19</f>
        <v>Hoax</v>
      </c>
      <c r="F51" s="30" t="str">
        <f t="shared" si="36"/>
        <v/>
      </c>
      <c r="G51" s="433" t="str">
        <f t="shared" si="37"/>
        <v/>
      </c>
      <c r="H51" s="884"/>
      <c r="I51" s="884"/>
      <c r="J51" s="874"/>
      <c r="K51" s="874"/>
      <c r="L51" s="884"/>
      <c r="M51" s="884"/>
      <c r="N51" s="884"/>
      <c r="O51" s="874"/>
      <c r="P51" s="884"/>
      <c r="Q51" s="884"/>
      <c r="R51" s="884"/>
      <c r="S51" s="874"/>
      <c r="T51" s="874"/>
      <c r="U51" s="874"/>
      <c r="V51" s="884"/>
      <c r="W51" s="884"/>
      <c r="X51" s="874"/>
      <c r="Y51" s="884"/>
      <c r="Z51" s="884"/>
      <c r="AA51" s="884"/>
      <c r="AB51" s="874"/>
      <c r="AC51" s="874"/>
      <c r="AD51" s="884"/>
      <c r="AE51" s="884"/>
      <c r="AF51" s="884"/>
      <c r="AG51" s="874"/>
      <c r="AH51" s="884"/>
      <c r="AI51" s="884"/>
      <c r="AJ51" s="884"/>
      <c r="AK51" s="874"/>
      <c r="AL51" s="874"/>
      <c r="AM51" s="913"/>
      <c r="AN51" s="884"/>
      <c r="AO51" s="884"/>
      <c r="AP51" s="874"/>
      <c r="AQ51" s="884"/>
      <c r="AR51" s="884"/>
      <c r="AS51" s="874"/>
      <c r="AT51" s="884"/>
      <c r="AU51" s="874"/>
      <c r="AV51" s="884"/>
      <c r="AW51" s="884"/>
      <c r="AX51" s="884"/>
      <c r="AY51" s="874"/>
      <c r="AZ51" s="884"/>
      <c r="BA51" s="884"/>
      <c r="BB51" s="884"/>
      <c r="BC51" s="884"/>
      <c r="BD51" s="874"/>
      <c r="BE51" s="884"/>
      <c r="BF51" s="884"/>
      <c r="BG51" s="884"/>
      <c r="BH51" s="874"/>
      <c r="BI51" s="884"/>
      <c r="BJ51" s="884"/>
      <c r="BK51" s="874"/>
      <c r="BL51" s="884"/>
      <c r="BM51" s="874"/>
      <c r="BN51" s="884"/>
      <c r="BO51" s="884"/>
      <c r="BP51" s="884"/>
      <c r="BQ51" s="874"/>
      <c r="BR51" s="884"/>
      <c r="BS51" s="884"/>
      <c r="BT51" s="884"/>
      <c r="BU51" s="884"/>
      <c r="BV51" s="874"/>
      <c r="BW51" s="884"/>
      <c r="BX51" s="884"/>
      <c r="BY51" s="884"/>
      <c r="BZ51" s="874"/>
      <c r="CA51" s="884"/>
      <c r="CB51" s="884"/>
      <c r="CC51" s="884"/>
      <c r="CD51" s="884"/>
      <c r="CE51" s="874"/>
      <c r="CF51" s="884"/>
      <c r="CG51" s="884"/>
      <c r="CH51" s="884"/>
      <c r="CI51" s="874"/>
      <c r="CJ51" s="884"/>
      <c r="CK51" s="884"/>
      <c r="CL51" s="884"/>
      <c r="CM51" s="884"/>
      <c r="CN51" s="874"/>
      <c r="CO51" s="884"/>
      <c r="CP51" s="884"/>
      <c r="CQ51" s="884"/>
      <c r="CR51" s="874"/>
      <c r="CS51" s="884"/>
      <c r="CT51" s="884"/>
      <c r="CU51" s="884"/>
      <c r="CV51" s="884"/>
      <c r="CW51" s="874"/>
      <c r="CX51" s="913"/>
      <c r="CY51" s="884"/>
      <c r="CZ51" s="884"/>
      <c r="DA51" s="874"/>
      <c r="DB51" s="884"/>
      <c r="DC51" s="884"/>
      <c r="DD51" s="884"/>
      <c r="DE51" s="884"/>
      <c r="DF51" s="874"/>
      <c r="DG51" s="884"/>
      <c r="DH51" s="884"/>
      <c r="DI51" s="884"/>
      <c r="DJ51" s="874"/>
      <c r="DK51" s="884"/>
      <c r="DL51" s="884"/>
      <c r="DM51" s="874"/>
      <c r="DN51" s="884"/>
      <c r="DO51" s="874"/>
      <c r="DP51" s="884"/>
      <c r="DQ51" s="884"/>
      <c r="DR51" s="884"/>
      <c r="DS51" s="874"/>
      <c r="DT51" s="884"/>
      <c r="DU51" s="884"/>
      <c r="DV51" s="884"/>
      <c r="DW51" s="884"/>
      <c r="DX51" s="874"/>
      <c r="DY51" s="884"/>
      <c r="DZ51" s="884"/>
      <c r="EA51" s="884"/>
      <c r="EB51" s="874"/>
      <c r="EC51" s="884"/>
      <c r="ED51" s="884"/>
      <c r="EE51" s="874"/>
    </row>
    <row r="52">
      <c r="A52" s="33">
        <f>'Schedule | 2 Division (OLD)'!P20</f>
        <v>40</v>
      </c>
      <c r="B52" s="30" t="str">
        <f>'Schedule | 2 Division (OLD)'!K20</f>
        <v>Green Hustle</v>
      </c>
      <c r="C52" s="906">
        <f>'Schedule | 2 Division (OLD)'!L20</f>
        <v>0</v>
      </c>
      <c r="D52" s="906">
        <f>'Schedule | 2 Division (OLD)'!N20</f>
        <v>0</v>
      </c>
      <c r="E52" s="30" t="str">
        <f>'Schedule | 2 Division (OLD)'!O20</f>
        <v>VIOLENCE</v>
      </c>
      <c r="F52" s="30" t="str">
        <f t="shared" si="36"/>
        <v/>
      </c>
      <c r="G52" s="433" t="str">
        <f t="shared" si="37"/>
        <v/>
      </c>
      <c r="H52" s="884"/>
      <c r="I52" s="884"/>
      <c r="J52" s="874"/>
      <c r="K52" s="874"/>
      <c r="L52" s="884"/>
      <c r="M52" s="884"/>
      <c r="N52" s="884"/>
      <c r="O52" s="874"/>
      <c r="P52" s="884"/>
      <c r="Q52" s="884"/>
      <c r="R52" s="884"/>
      <c r="S52" s="874"/>
      <c r="T52" s="874"/>
      <c r="U52" s="874"/>
      <c r="V52" s="884"/>
      <c r="W52" s="884"/>
      <c r="X52" s="874"/>
      <c r="Y52" s="884"/>
      <c r="Z52" s="884"/>
      <c r="AA52" s="884"/>
      <c r="AB52" s="874"/>
      <c r="AC52" s="874"/>
      <c r="AD52" s="884"/>
      <c r="AE52" s="884"/>
      <c r="AF52" s="884"/>
      <c r="AG52" s="874"/>
      <c r="AH52" s="884"/>
      <c r="AI52" s="884"/>
      <c r="AJ52" s="884"/>
      <c r="AK52" s="874"/>
      <c r="AL52" s="874"/>
      <c r="AM52" s="913"/>
      <c r="AN52" s="884"/>
      <c r="AO52" s="884"/>
      <c r="AP52" s="874"/>
      <c r="AQ52" s="884"/>
      <c r="AR52" s="884"/>
      <c r="AS52" s="874"/>
      <c r="AT52" s="884"/>
      <c r="AU52" s="874"/>
      <c r="AV52" s="884"/>
      <c r="AW52" s="884"/>
      <c r="AX52" s="884"/>
      <c r="AY52" s="874"/>
      <c r="AZ52" s="884"/>
      <c r="BA52" s="884"/>
      <c r="BB52" s="884"/>
      <c r="BC52" s="884"/>
      <c r="BD52" s="874"/>
      <c r="BE52" s="884"/>
      <c r="BF52" s="884"/>
      <c r="BG52" s="884"/>
      <c r="BH52" s="874"/>
      <c r="BI52" s="884"/>
      <c r="BJ52" s="884"/>
      <c r="BK52" s="874"/>
      <c r="BL52" s="884"/>
      <c r="BM52" s="874"/>
      <c r="BN52" s="884"/>
      <c r="BO52" s="884"/>
      <c r="BP52" s="884"/>
      <c r="BQ52" s="874"/>
      <c r="BR52" s="884"/>
      <c r="BS52" s="884"/>
      <c r="BT52" s="884"/>
      <c r="BU52" s="884"/>
      <c r="BV52" s="874"/>
      <c r="BW52" s="884"/>
      <c r="BX52" s="884"/>
      <c r="BY52" s="884"/>
      <c r="BZ52" s="874"/>
      <c r="CA52" s="884"/>
      <c r="CB52" s="884"/>
      <c r="CC52" s="884"/>
      <c r="CD52" s="884"/>
      <c r="CE52" s="874"/>
      <c r="CF52" s="884"/>
      <c r="CG52" s="884"/>
      <c r="CH52" s="884"/>
      <c r="CI52" s="874"/>
      <c r="CJ52" s="884"/>
      <c r="CK52" s="884"/>
      <c r="CL52" s="884"/>
      <c r="CM52" s="884"/>
      <c r="CN52" s="874"/>
      <c r="CO52" s="884"/>
      <c r="CP52" s="884"/>
      <c r="CQ52" s="884"/>
      <c r="CR52" s="874"/>
      <c r="CS52" s="884"/>
      <c r="CT52" s="884"/>
      <c r="CU52" s="884"/>
      <c r="CV52" s="884"/>
      <c r="CW52" s="874"/>
      <c r="CX52" s="913"/>
      <c r="CY52" s="884"/>
      <c r="CZ52" s="884"/>
      <c r="DA52" s="874"/>
      <c r="DB52" s="884"/>
      <c r="DC52" s="884"/>
      <c r="DD52" s="884"/>
      <c r="DE52" s="884"/>
      <c r="DF52" s="874"/>
      <c r="DG52" s="884"/>
      <c r="DH52" s="884"/>
      <c r="DI52" s="884"/>
      <c r="DJ52" s="874"/>
      <c r="DK52" s="884"/>
      <c r="DL52" s="884"/>
      <c r="DM52" s="874"/>
      <c r="DN52" s="884"/>
      <c r="DO52" s="874"/>
      <c r="DP52" s="884"/>
      <c r="DQ52" s="884"/>
      <c r="DR52" s="884"/>
      <c r="DS52" s="874"/>
      <c r="DT52" s="884"/>
      <c r="DU52" s="884"/>
      <c r="DV52" s="884"/>
      <c r="DW52" s="884"/>
      <c r="DX52" s="874"/>
      <c r="DY52" s="884"/>
      <c r="DZ52" s="884"/>
      <c r="EA52" s="884"/>
      <c r="EB52" s="874"/>
      <c r="EC52" s="884"/>
      <c r="ED52" s="884"/>
      <c r="EE52" s="874"/>
    </row>
    <row r="53">
      <c r="A53" s="33">
        <f>'Schedule | 2 Division (OLD)'!P23</f>
        <v>41</v>
      </c>
      <c r="B53" s="30" t="str">
        <f>'Schedule | 2 Division (OLD)'!K23</f>
        <v>ALFA</v>
      </c>
      <c r="C53" s="906">
        <f>'Schedule | 2 Division (OLD)'!L23</f>
        <v>0</v>
      </c>
      <c r="D53" s="906">
        <f>'Schedule | 2 Division (OLD)'!N23</f>
        <v>0</v>
      </c>
      <c r="E53" s="30" t="str">
        <f>'Schedule | 2 Division (OLD)'!O23</f>
        <v>PARADOX</v>
      </c>
      <c r="F53" s="30" t="str">
        <f t="shared" si="36"/>
        <v/>
      </c>
      <c r="G53" s="433" t="str">
        <f t="shared" si="37"/>
        <v/>
      </c>
      <c r="H53" s="884"/>
      <c r="I53" s="884"/>
      <c r="J53" s="874"/>
      <c r="K53" s="874"/>
      <c r="L53" s="884"/>
      <c r="M53" s="884"/>
      <c r="N53" s="884"/>
      <c r="O53" s="874"/>
      <c r="P53" s="884"/>
      <c r="Q53" s="884"/>
      <c r="R53" s="884"/>
      <c r="S53" s="874"/>
      <c r="T53" s="874"/>
      <c r="U53" s="874"/>
      <c r="V53" s="884"/>
      <c r="W53" s="884"/>
      <c r="X53" s="874"/>
      <c r="Y53" s="884"/>
      <c r="Z53" s="884"/>
      <c r="AA53" s="884"/>
      <c r="AB53" s="874"/>
      <c r="AC53" s="874"/>
      <c r="AD53" s="884"/>
      <c r="AE53" s="884"/>
      <c r="AF53" s="884"/>
      <c r="AG53" s="874"/>
      <c r="AH53" s="884"/>
      <c r="AI53" s="884"/>
      <c r="AJ53" s="884"/>
      <c r="AK53" s="874"/>
      <c r="AL53" s="874"/>
      <c r="AM53" s="913"/>
      <c r="AN53" s="884"/>
      <c r="AO53" s="884"/>
      <c r="AP53" s="874"/>
      <c r="AQ53" s="884"/>
      <c r="AR53" s="884"/>
      <c r="AS53" s="874"/>
      <c r="AT53" s="884"/>
      <c r="AU53" s="874"/>
      <c r="AV53" s="884"/>
      <c r="AW53" s="884"/>
      <c r="AX53" s="884"/>
      <c r="AY53" s="874"/>
      <c r="AZ53" s="884"/>
      <c r="BA53" s="884"/>
      <c r="BB53" s="884"/>
      <c r="BC53" s="884"/>
      <c r="BD53" s="874"/>
      <c r="BE53" s="884"/>
      <c r="BF53" s="884"/>
      <c r="BG53" s="884"/>
      <c r="BH53" s="874"/>
      <c r="BI53" s="884"/>
      <c r="BJ53" s="884"/>
      <c r="BK53" s="874"/>
      <c r="BL53" s="884"/>
      <c r="BM53" s="874"/>
      <c r="BN53" s="884"/>
      <c r="BO53" s="884"/>
      <c r="BP53" s="884"/>
      <c r="BQ53" s="874"/>
      <c r="BR53" s="884"/>
      <c r="BS53" s="884"/>
      <c r="BT53" s="884"/>
      <c r="BU53" s="884"/>
      <c r="BV53" s="874"/>
      <c r="BW53" s="884"/>
      <c r="BX53" s="884"/>
      <c r="BY53" s="884"/>
      <c r="BZ53" s="874"/>
      <c r="CA53" s="884"/>
      <c r="CB53" s="884"/>
      <c r="CC53" s="884"/>
      <c r="CD53" s="884"/>
      <c r="CE53" s="874"/>
      <c r="CF53" s="884"/>
      <c r="CG53" s="884"/>
      <c r="CH53" s="884"/>
      <c r="CI53" s="874"/>
      <c r="CJ53" s="884"/>
      <c r="CK53" s="884"/>
      <c r="CL53" s="884"/>
      <c r="CM53" s="884"/>
      <c r="CN53" s="874"/>
      <c r="CO53" s="884"/>
      <c r="CP53" s="884"/>
      <c r="CQ53" s="884"/>
      <c r="CR53" s="874"/>
      <c r="CS53" s="884"/>
      <c r="CT53" s="884"/>
      <c r="CU53" s="884"/>
      <c r="CV53" s="884"/>
      <c r="CW53" s="874"/>
      <c r="CX53" s="913"/>
      <c r="CY53" s="884"/>
      <c r="CZ53" s="884"/>
      <c r="DA53" s="874"/>
      <c r="DB53" s="884"/>
      <c r="DC53" s="884"/>
      <c r="DD53" s="884"/>
      <c r="DE53" s="884"/>
      <c r="DF53" s="874"/>
      <c r="DG53" s="884"/>
      <c r="DH53" s="884"/>
      <c r="DI53" s="884"/>
      <c r="DJ53" s="874"/>
      <c r="DK53" s="884"/>
      <c r="DL53" s="884"/>
      <c r="DM53" s="874"/>
      <c r="DN53" s="884"/>
      <c r="DO53" s="874"/>
      <c r="DP53" s="884"/>
      <c r="DQ53" s="884"/>
      <c r="DR53" s="884"/>
      <c r="DS53" s="874"/>
      <c r="DT53" s="884"/>
      <c r="DU53" s="884"/>
      <c r="DV53" s="884"/>
      <c r="DW53" s="884"/>
      <c r="DX53" s="874"/>
      <c r="DY53" s="884"/>
      <c r="DZ53" s="884"/>
      <c r="EA53" s="884"/>
      <c r="EB53" s="874"/>
      <c r="EC53" s="884"/>
      <c r="ED53" s="884"/>
      <c r="EE53" s="874"/>
    </row>
    <row r="54">
      <c r="A54" s="33">
        <f>'Schedule | 2 Division (OLD)'!P24</f>
        <v>42</v>
      </c>
      <c r="B54" s="30" t="str">
        <f>'Schedule | 2 Division (OLD)'!K24</f>
        <v>Green Hustle</v>
      </c>
      <c r="C54" s="906">
        <f>'Schedule | 2 Division (OLD)'!L24</f>
        <v>0</v>
      </c>
      <c r="D54" s="906">
        <f>'Schedule | 2 Division (OLD)'!N24</f>
        <v>0</v>
      </c>
      <c r="E54" s="30" t="str">
        <f>'Schedule | 2 Division (OLD)'!O24</f>
        <v>QW0TROBERY</v>
      </c>
      <c r="F54" s="30" t="str">
        <f t="shared" si="36"/>
        <v/>
      </c>
      <c r="G54" s="433" t="str">
        <f t="shared" si="37"/>
        <v/>
      </c>
      <c r="H54" s="884"/>
      <c r="I54" s="884"/>
      <c r="J54" s="874"/>
      <c r="K54" s="874"/>
      <c r="L54" s="884"/>
      <c r="M54" s="884"/>
      <c r="N54" s="884"/>
      <c r="O54" s="874"/>
      <c r="P54" s="884"/>
      <c r="Q54" s="884"/>
      <c r="R54" s="884"/>
      <c r="S54" s="874"/>
      <c r="T54" s="874"/>
      <c r="U54" s="874"/>
      <c r="V54" s="884"/>
      <c r="W54" s="884"/>
      <c r="X54" s="874"/>
      <c r="Y54" s="884"/>
      <c r="Z54" s="884"/>
      <c r="AA54" s="884"/>
      <c r="AB54" s="874"/>
      <c r="AC54" s="874"/>
      <c r="AD54" s="884"/>
      <c r="AE54" s="884"/>
      <c r="AF54" s="884"/>
      <c r="AG54" s="874"/>
      <c r="AH54" s="884"/>
      <c r="AI54" s="884"/>
      <c r="AJ54" s="884"/>
      <c r="AK54" s="874"/>
      <c r="AL54" s="874"/>
      <c r="AM54" s="913"/>
      <c r="AN54" s="884"/>
      <c r="AO54" s="884"/>
      <c r="AP54" s="874"/>
      <c r="AQ54" s="884"/>
      <c r="AR54" s="884"/>
      <c r="AS54" s="874"/>
      <c r="AT54" s="884"/>
      <c r="AU54" s="874"/>
      <c r="AV54" s="884"/>
      <c r="AW54" s="884"/>
      <c r="AX54" s="884"/>
      <c r="AY54" s="874"/>
      <c r="AZ54" s="884"/>
      <c r="BA54" s="884"/>
      <c r="BB54" s="884"/>
      <c r="BC54" s="884"/>
      <c r="BD54" s="874"/>
      <c r="BE54" s="884"/>
      <c r="BF54" s="884"/>
      <c r="BG54" s="884"/>
      <c r="BH54" s="874"/>
      <c r="BI54" s="884"/>
      <c r="BJ54" s="884"/>
      <c r="BK54" s="874"/>
      <c r="BL54" s="884"/>
      <c r="BM54" s="874"/>
      <c r="BN54" s="884"/>
      <c r="BO54" s="884"/>
      <c r="BP54" s="884"/>
      <c r="BQ54" s="874"/>
      <c r="BR54" s="884"/>
      <c r="BS54" s="884"/>
      <c r="BT54" s="884"/>
      <c r="BU54" s="884"/>
      <c r="BV54" s="874"/>
      <c r="BW54" s="884"/>
      <c r="BX54" s="884"/>
      <c r="BY54" s="884"/>
      <c r="BZ54" s="874"/>
      <c r="CA54" s="884"/>
      <c r="CB54" s="884"/>
      <c r="CC54" s="884"/>
      <c r="CD54" s="884"/>
      <c r="CE54" s="874"/>
      <c r="CF54" s="884"/>
      <c r="CG54" s="884"/>
      <c r="CH54" s="884"/>
      <c r="CI54" s="874"/>
      <c r="CJ54" s="884"/>
      <c r="CK54" s="884"/>
      <c r="CL54" s="884"/>
      <c r="CM54" s="884"/>
      <c r="CN54" s="874"/>
      <c r="CO54" s="884"/>
      <c r="CP54" s="884"/>
      <c r="CQ54" s="884"/>
      <c r="CR54" s="874"/>
      <c r="CS54" s="884"/>
      <c r="CT54" s="884"/>
      <c r="CU54" s="884"/>
      <c r="CV54" s="884"/>
      <c r="CW54" s="874"/>
      <c r="CX54" s="913"/>
      <c r="CY54" s="884"/>
      <c r="CZ54" s="884"/>
      <c r="DA54" s="874"/>
      <c r="DB54" s="884"/>
      <c r="DC54" s="884"/>
      <c r="DD54" s="884"/>
      <c r="DE54" s="884"/>
      <c r="DF54" s="874"/>
      <c r="DG54" s="884"/>
      <c r="DH54" s="884"/>
      <c r="DI54" s="884"/>
      <c r="DJ54" s="874"/>
      <c r="DK54" s="884"/>
      <c r="DL54" s="884"/>
      <c r="DM54" s="874"/>
      <c r="DN54" s="884"/>
      <c r="DO54" s="874"/>
      <c r="DP54" s="884"/>
      <c r="DQ54" s="884"/>
      <c r="DR54" s="884"/>
      <c r="DS54" s="874"/>
      <c r="DT54" s="884"/>
      <c r="DU54" s="884"/>
      <c r="DV54" s="884"/>
      <c r="DW54" s="884"/>
      <c r="DX54" s="874"/>
      <c r="DY54" s="884"/>
      <c r="DZ54" s="884"/>
      <c r="EA54" s="884"/>
      <c r="EB54" s="874"/>
      <c r="EC54" s="884"/>
      <c r="ED54" s="884"/>
      <c r="EE54" s="874"/>
    </row>
    <row r="55">
      <c r="A55" s="33">
        <f>'Schedule | 2 Division (OLD)'!P25</f>
        <v>43</v>
      </c>
      <c r="B55" s="30" t="str">
        <f>'Schedule | 2 Division (OLD)'!K25</f>
        <v>DISTANCE</v>
      </c>
      <c r="C55" s="906">
        <f>'Schedule | 2 Division (OLD)'!L25</f>
        <v>0</v>
      </c>
      <c r="D55" s="906">
        <f>'Schedule | 2 Division (OLD)'!N25</f>
        <v>0</v>
      </c>
      <c r="E55" s="30" t="str">
        <f>'Schedule | 2 Division (OLD)'!O25</f>
        <v>VIOLENCE</v>
      </c>
      <c r="F55" s="30" t="str">
        <f t="shared" si="36"/>
        <v/>
      </c>
      <c r="G55" s="433" t="str">
        <f t="shared" si="37"/>
        <v/>
      </c>
      <c r="H55" s="884"/>
      <c r="I55" s="884"/>
      <c r="J55" s="874"/>
      <c r="K55" s="874"/>
      <c r="L55" s="884"/>
      <c r="M55" s="884"/>
      <c r="N55" s="884"/>
      <c r="O55" s="874"/>
      <c r="P55" s="884"/>
      <c r="Q55" s="884"/>
      <c r="R55" s="884"/>
      <c r="S55" s="874"/>
      <c r="T55" s="874"/>
      <c r="U55" s="874"/>
      <c r="V55" s="884"/>
      <c r="W55" s="884"/>
      <c r="X55" s="874"/>
      <c r="Y55" s="884"/>
      <c r="Z55" s="884"/>
      <c r="AA55" s="884"/>
      <c r="AB55" s="874"/>
      <c r="AC55" s="874"/>
      <c r="AD55" s="884"/>
      <c r="AE55" s="884"/>
      <c r="AF55" s="884"/>
      <c r="AG55" s="874"/>
      <c r="AH55" s="884"/>
      <c r="AI55" s="884"/>
      <c r="AJ55" s="884"/>
      <c r="AK55" s="874"/>
      <c r="AL55" s="874"/>
      <c r="AM55" s="913"/>
      <c r="AN55" s="884"/>
      <c r="AO55" s="884"/>
      <c r="AP55" s="874"/>
      <c r="AQ55" s="884"/>
      <c r="AR55" s="884"/>
      <c r="AS55" s="874"/>
      <c r="AT55" s="884"/>
      <c r="AU55" s="874"/>
      <c r="AV55" s="884"/>
      <c r="AW55" s="884"/>
      <c r="AX55" s="884"/>
      <c r="AY55" s="874"/>
      <c r="AZ55" s="884"/>
      <c r="BA55" s="884"/>
      <c r="BB55" s="884"/>
      <c r="BC55" s="884"/>
      <c r="BD55" s="874"/>
      <c r="BE55" s="884"/>
      <c r="BF55" s="884"/>
      <c r="BG55" s="884"/>
      <c r="BH55" s="874"/>
      <c r="BI55" s="884"/>
      <c r="BJ55" s="884"/>
      <c r="BK55" s="874"/>
      <c r="BL55" s="884"/>
      <c r="BM55" s="874"/>
      <c r="BN55" s="884"/>
      <c r="BO55" s="884"/>
      <c r="BP55" s="884"/>
      <c r="BQ55" s="874"/>
      <c r="BR55" s="884"/>
      <c r="BS55" s="884"/>
      <c r="BT55" s="884"/>
      <c r="BU55" s="884"/>
      <c r="BV55" s="874"/>
      <c r="BW55" s="884"/>
      <c r="BX55" s="884"/>
      <c r="BY55" s="884"/>
      <c r="BZ55" s="874"/>
      <c r="CA55" s="884"/>
      <c r="CB55" s="884"/>
      <c r="CC55" s="884"/>
      <c r="CD55" s="884"/>
      <c r="CE55" s="874"/>
      <c r="CF55" s="884"/>
      <c r="CG55" s="884"/>
      <c r="CH55" s="884"/>
      <c r="CI55" s="874"/>
      <c r="CJ55" s="884"/>
      <c r="CK55" s="884"/>
      <c r="CL55" s="884"/>
      <c r="CM55" s="884"/>
      <c r="CN55" s="874"/>
      <c r="CO55" s="884"/>
      <c r="CP55" s="884"/>
      <c r="CQ55" s="884"/>
      <c r="CR55" s="874"/>
      <c r="CS55" s="884"/>
      <c r="CT55" s="884"/>
      <c r="CU55" s="884"/>
      <c r="CV55" s="884"/>
      <c r="CW55" s="874"/>
      <c r="CX55" s="913"/>
      <c r="CY55" s="884"/>
      <c r="CZ55" s="884"/>
      <c r="DA55" s="874"/>
      <c r="DB55" s="884"/>
      <c r="DC55" s="884"/>
      <c r="DD55" s="884"/>
      <c r="DE55" s="884"/>
      <c r="DF55" s="874"/>
      <c r="DG55" s="884"/>
      <c r="DH55" s="884"/>
      <c r="DI55" s="884"/>
      <c r="DJ55" s="874"/>
      <c r="DK55" s="884"/>
      <c r="DL55" s="884"/>
      <c r="DM55" s="874"/>
      <c r="DN55" s="884"/>
      <c r="DO55" s="874"/>
      <c r="DP55" s="884"/>
      <c r="DQ55" s="884"/>
      <c r="DR55" s="884"/>
      <c r="DS55" s="874"/>
      <c r="DT55" s="884"/>
      <c r="DU55" s="884"/>
      <c r="DV55" s="884"/>
      <c r="DW55" s="884"/>
      <c r="DX55" s="874"/>
      <c r="DY55" s="884"/>
      <c r="DZ55" s="884"/>
      <c r="EA55" s="884"/>
      <c r="EB55" s="874"/>
      <c r="EC55" s="884"/>
      <c r="ED55" s="884"/>
      <c r="EE55" s="874"/>
    </row>
    <row r="56">
      <c r="A56" s="33">
        <f>'Schedule | 2 Division (OLD)'!P26</f>
        <v>44</v>
      </c>
      <c r="B56" s="30" t="str">
        <f>'Schedule | 2 Division (OLD)'!K26</f>
        <v>ICM</v>
      </c>
      <c r="C56" s="906">
        <f>'Schedule | 2 Division (OLD)'!L26</f>
        <v>0</v>
      </c>
      <c r="D56" s="906">
        <f>'Schedule | 2 Division (OLD)'!N26</f>
        <v>0</v>
      </c>
      <c r="E56" s="30" t="str">
        <f>'Schedule | 2 Division (OLD)'!O26</f>
        <v>Hoax</v>
      </c>
      <c r="F56" s="30" t="str">
        <f t="shared" si="36"/>
        <v/>
      </c>
      <c r="G56" s="433" t="str">
        <f t="shared" si="37"/>
        <v/>
      </c>
      <c r="H56" s="884"/>
      <c r="I56" s="884"/>
      <c r="J56" s="874"/>
      <c r="K56" s="874"/>
      <c r="L56" s="884"/>
      <c r="M56" s="884"/>
      <c r="N56" s="884"/>
      <c r="O56" s="874"/>
      <c r="P56" s="884"/>
      <c r="Q56" s="884"/>
      <c r="R56" s="884"/>
      <c r="S56" s="874"/>
      <c r="T56" s="874"/>
      <c r="U56" s="874"/>
      <c r="V56" s="884"/>
      <c r="W56" s="884"/>
      <c r="X56" s="874"/>
      <c r="Y56" s="884"/>
      <c r="Z56" s="884"/>
      <c r="AA56" s="884"/>
      <c r="AB56" s="874"/>
      <c r="AC56" s="874"/>
      <c r="AD56" s="884"/>
      <c r="AE56" s="884"/>
      <c r="AF56" s="884"/>
      <c r="AG56" s="874"/>
      <c r="AH56" s="884"/>
      <c r="AI56" s="884"/>
      <c r="AJ56" s="884"/>
      <c r="AK56" s="874"/>
      <c r="AL56" s="874"/>
      <c r="AM56" s="913"/>
      <c r="AN56" s="884"/>
      <c r="AO56" s="884"/>
      <c r="AP56" s="874"/>
      <c r="AQ56" s="884"/>
      <c r="AR56" s="884"/>
      <c r="AS56" s="874"/>
      <c r="AT56" s="884"/>
      <c r="AU56" s="874"/>
      <c r="AV56" s="884"/>
      <c r="AW56" s="884"/>
      <c r="AX56" s="884"/>
      <c r="AY56" s="874"/>
      <c r="AZ56" s="884"/>
      <c r="BA56" s="884"/>
      <c r="BB56" s="884"/>
      <c r="BC56" s="884"/>
      <c r="BD56" s="874"/>
      <c r="BE56" s="884"/>
      <c r="BF56" s="884"/>
      <c r="BG56" s="884"/>
      <c r="BH56" s="874"/>
      <c r="BI56" s="884"/>
      <c r="BJ56" s="884"/>
      <c r="BK56" s="874"/>
      <c r="BL56" s="884"/>
      <c r="BM56" s="874"/>
      <c r="BN56" s="884"/>
      <c r="BO56" s="884"/>
      <c r="BP56" s="884"/>
      <c r="BQ56" s="874"/>
      <c r="BR56" s="884"/>
      <c r="BS56" s="884"/>
      <c r="BT56" s="884"/>
      <c r="BU56" s="884"/>
      <c r="BV56" s="874"/>
      <c r="BW56" s="884"/>
      <c r="BX56" s="884"/>
      <c r="BY56" s="884"/>
      <c r="BZ56" s="874"/>
      <c r="CA56" s="884"/>
      <c r="CB56" s="884"/>
      <c r="CC56" s="884"/>
      <c r="CD56" s="884"/>
      <c r="CE56" s="874"/>
      <c r="CF56" s="884"/>
      <c r="CG56" s="884"/>
      <c r="CH56" s="884"/>
      <c r="CI56" s="874"/>
      <c r="CJ56" s="884"/>
      <c r="CK56" s="884"/>
      <c r="CL56" s="884"/>
      <c r="CM56" s="884"/>
      <c r="CN56" s="874"/>
      <c r="CO56" s="884"/>
      <c r="CP56" s="884"/>
      <c r="CQ56" s="884"/>
      <c r="CR56" s="874"/>
      <c r="CS56" s="884"/>
      <c r="CT56" s="884"/>
      <c r="CU56" s="884"/>
      <c r="CV56" s="884"/>
      <c r="CW56" s="874"/>
      <c r="CX56" s="913"/>
      <c r="CY56" s="884"/>
      <c r="CZ56" s="884"/>
      <c r="DA56" s="874"/>
      <c r="DB56" s="884"/>
      <c r="DC56" s="884"/>
      <c r="DD56" s="884"/>
      <c r="DE56" s="884"/>
      <c r="DF56" s="874"/>
      <c r="DG56" s="884"/>
      <c r="DH56" s="884"/>
      <c r="DI56" s="884"/>
      <c r="DJ56" s="874"/>
      <c r="DK56" s="884"/>
      <c r="DL56" s="884"/>
      <c r="DM56" s="874"/>
      <c r="DN56" s="884"/>
      <c r="DO56" s="874"/>
      <c r="DP56" s="884"/>
      <c r="DQ56" s="884"/>
      <c r="DR56" s="884"/>
      <c r="DS56" s="874"/>
      <c r="DT56" s="884"/>
      <c r="DU56" s="884"/>
      <c r="DV56" s="884"/>
      <c r="DW56" s="884"/>
      <c r="DX56" s="874"/>
      <c r="DY56" s="884"/>
      <c r="DZ56" s="884"/>
      <c r="EA56" s="884"/>
      <c r="EB56" s="874"/>
      <c r="EC56" s="884"/>
      <c r="ED56" s="884"/>
      <c r="EE56" s="874"/>
    </row>
    <row r="57">
      <c r="A57" s="33">
        <f>'Schedule | 2 Division (OLD)'!P29</f>
        <v>45</v>
      </c>
      <c r="B57" s="30" t="str">
        <f>'Schedule | 2 Division (OLD)'!K29</f>
        <v>Hoax</v>
      </c>
      <c r="C57" s="906">
        <f>'Schedule | 2 Division (OLD)'!L29</f>
        <v>0</v>
      </c>
      <c r="D57" s="906">
        <f>'Schedule | 2 Division (OLD)'!N29</f>
        <v>0</v>
      </c>
      <c r="E57" s="30" t="str">
        <f>'Schedule | 2 Division (OLD)'!O29</f>
        <v>DISTANCE</v>
      </c>
      <c r="F57" s="30" t="str">
        <f t="shared" si="36"/>
        <v/>
      </c>
      <c r="G57" s="433" t="str">
        <f t="shared" si="37"/>
        <v/>
      </c>
      <c r="H57" s="884"/>
      <c r="I57" s="884"/>
      <c r="J57" s="874"/>
      <c r="K57" s="874"/>
      <c r="L57" s="884"/>
      <c r="M57" s="884"/>
      <c r="N57" s="884"/>
      <c r="O57" s="874"/>
      <c r="P57" s="884"/>
      <c r="Q57" s="884"/>
      <c r="R57" s="884"/>
      <c r="S57" s="874"/>
      <c r="T57" s="874"/>
      <c r="U57" s="874"/>
      <c r="V57" s="884"/>
      <c r="W57" s="884"/>
      <c r="X57" s="874"/>
      <c r="Y57" s="884"/>
      <c r="Z57" s="884"/>
      <c r="AA57" s="884"/>
      <c r="AB57" s="874"/>
      <c r="AC57" s="874"/>
      <c r="AD57" s="884"/>
      <c r="AE57" s="884"/>
      <c r="AF57" s="884"/>
      <c r="AG57" s="874"/>
      <c r="AH57" s="884"/>
      <c r="AI57" s="884"/>
      <c r="AJ57" s="884"/>
      <c r="AK57" s="874"/>
      <c r="AL57" s="874"/>
      <c r="AM57" s="913"/>
      <c r="AN57" s="884"/>
      <c r="AO57" s="884"/>
      <c r="AP57" s="874"/>
      <c r="AQ57" s="884"/>
      <c r="AR57" s="884"/>
      <c r="AS57" s="874"/>
      <c r="AT57" s="884"/>
      <c r="AU57" s="874"/>
      <c r="AV57" s="884"/>
      <c r="AW57" s="884"/>
      <c r="AX57" s="884"/>
      <c r="AY57" s="874"/>
      <c r="AZ57" s="884"/>
      <c r="BA57" s="884"/>
      <c r="BB57" s="884"/>
      <c r="BC57" s="884"/>
      <c r="BD57" s="874"/>
      <c r="BE57" s="884"/>
      <c r="BF57" s="884"/>
      <c r="BG57" s="884"/>
      <c r="BH57" s="874"/>
      <c r="BI57" s="884"/>
      <c r="BJ57" s="884"/>
      <c r="BK57" s="874"/>
      <c r="BL57" s="884"/>
      <c r="BM57" s="874"/>
      <c r="BN57" s="884"/>
      <c r="BO57" s="884"/>
      <c r="BP57" s="884"/>
      <c r="BQ57" s="874"/>
      <c r="BR57" s="884"/>
      <c r="BS57" s="884"/>
      <c r="BT57" s="884"/>
      <c r="BU57" s="884"/>
      <c r="BV57" s="874"/>
      <c r="BW57" s="884"/>
      <c r="BX57" s="884"/>
      <c r="BY57" s="884"/>
      <c r="BZ57" s="874"/>
      <c r="CA57" s="884"/>
      <c r="CB57" s="884"/>
      <c r="CC57" s="884"/>
      <c r="CD57" s="884"/>
      <c r="CE57" s="874"/>
      <c r="CF57" s="884"/>
      <c r="CG57" s="884"/>
      <c r="CH57" s="884"/>
      <c r="CI57" s="874"/>
      <c r="CJ57" s="884"/>
      <c r="CK57" s="884"/>
      <c r="CL57" s="884"/>
      <c r="CM57" s="884"/>
      <c r="CN57" s="874"/>
      <c r="CO57" s="884"/>
      <c r="CP57" s="884"/>
      <c r="CQ57" s="884"/>
      <c r="CR57" s="874"/>
      <c r="CS57" s="884"/>
      <c r="CT57" s="884"/>
      <c r="CU57" s="884"/>
      <c r="CV57" s="884"/>
      <c r="CW57" s="874"/>
      <c r="CX57" s="913"/>
      <c r="CY57" s="884"/>
      <c r="CZ57" s="884"/>
      <c r="DA57" s="874"/>
      <c r="DB57" s="884"/>
      <c r="DC57" s="884"/>
      <c r="DD57" s="884"/>
      <c r="DE57" s="884"/>
      <c r="DF57" s="874"/>
      <c r="DG57" s="884"/>
      <c r="DH57" s="884"/>
      <c r="DI57" s="884"/>
      <c r="DJ57" s="874"/>
      <c r="DK57" s="884"/>
      <c r="DL57" s="884"/>
      <c r="DM57" s="874"/>
      <c r="DN57" s="884"/>
      <c r="DO57" s="874"/>
      <c r="DP57" s="884"/>
      <c r="DQ57" s="884"/>
      <c r="DR57" s="884"/>
      <c r="DS57" s="874"/>
      <c r="DT57" s="884"/>
      <c r="DU57" s="884"/>
      <c r="DV57" s="884"/>
      <c r="DW57" s="884"/>
      <c r="DX57" s="874"/>
      <c r="DY57" s="884"/>
      <c r="DZ57" s="884"/>
      <c r="EA57" s="884"/>
      <c r="EB57" s="874"/>
      <c r="EC57" s="884"/>
      <c r="ED57" s="884"/>
      <c r="EE57" s="874"/>
    </row>
    <row r="58">
      <c r="A58" s="33">
        <f>'Schedule | 2 Division (OLD)'!P30</f>
        <v>46</v>
      </c>
      <c r="B58" s="30" t="str">
        <f>'Schedule | 2 Division (OLD)'!K30</f>
        <v>ICM</v>
      </c>
      <c r="C58" s="906">
        <f>'Schedule | 2 Division (OLD)'!L30</f>
        <v>0</v>
      </c>
      <c r="D58" s="906">
        <f>'Schedule | 2 Division (OLD)'!N30</f>
        <v>0</v>
      </c>
      <c r="E58" s="30" t="str">
        <f>'Schedule | 2 Division (OLD)'!O30</f>
        <v>QW0TROBERY</v>
      </c>
      <c r="F58" s="30" t="str">
        <f t="shared" si="36"/>
        <v/>
      </c>
      <c r="G58" s="433" t="str">
        <f t="shared" si="37"/>
        <v/>
      </c>
      <c r="H58" s="884"/>
      <c r="I58" s="884"/>
      <c r="J58" s="874"/>
      <c r="K58" s="874"/>
      <c r="L58" s="884"/>
      <c r="M58" s="884"/>
      <c r="N58" s="884"/>
      <c r="O58" s="874"/>
      <c r="P58" s="884"/>
      <c r="Q58" s="884"/>
      <c r="R58" s="884"/>
      <c r="S58" s="874"/>
      <c r="T58" s="874"/>
      <c r="U58" s="874"/>
      <c r="V58" s="884"/>
      <c r="W58" s="884"/>
      <c r="X58" s="874"/>
      <c r="Y58" s="884"/>
      <c r="Z58" s="884"/>
      <c r="AA58" s="884"/>
      <c r="AB58" s="874"/>
      <c r="AC58" s="874"/>
      <c r="AD58" s="884"/>
      <c r="AE58" s="884"/>
      <c r="AF58" s="884"/>
      <c r="AG58" s="874"/>
      <c r="AH58" s="884"/>
      <c r="AI58" s="884"/>
      <c r="AJ58" s="884"/>
      <c r="AK58" s="874"/>
      <c r="AL58" s="874"/>
      <c r="AM58" s="913"/>
      <c r="AN58" s="884"/>
      <c r="AO58" s="884"/>
      <c r="AP58" s="874"/>
      <c r="AQ58" s="884"/>
      <c r="AR58" s="884"/>
      <c r="AS58" s="874"/>
      <c r="AT58" s="884"/>
      <c r="AU58" s="874"/>
      <c r="AV58" s="884"/>
      <c r="AW58" s="884"/>
      <c r="AX58" s="884"/>
      <c r="AY58" s="874"/>
      <c r="AZ58" s="884"/>
      <c r="BA58" s="884"/>
      <c r="BB58" s="884"/>
      <c r="BC58" s="884"/>
      <c r="BD58" s="874"/>
      <c r="BE58" s="884"/>
      <c r="BF58" s="884"/>
      <c r="BG58" s="884"/>
      <c r="BH58" s="874"/>
      <c r="BI58" s="884"/>
      <c r="BJ58" s="884"/>
      <c r="BK58" s="874"/>
      <c r="BL58" s="884"/>
      <c r="BM58" s="874"/>
      <c r="BN58" s="884"/>
      <c r="BO58" s="884"/>
      <c r="BP58" s="884"/>
      <c r="BQ58" s="874"/>
      <c r="BR58" s="884"/>
      <c r="BS58" s="884"/>
      <c r="BT58" s="884"/>
      <c r="BU58" s="884"/>
      <c r="BV58" s="874"/>
      <c r="BW58" s="884"/>
      <c r="BX58" s="884"/>
      <c r="BY58" s="884"/>
      <c r="BZ58" s="874"/>
      <c r="CA58" s="884"/>
      <c r="CB58" s="884"/>
      <c r="CC58" s="884"/>
      <c r="CD58" s="884"/>
      <c r="CE58" s="874"/>
      <c r="CF58" s="884"/>
      <c r="CG58" s="884"/>
      <c r="CH58" s="884"/>
      <c r="CI58" s="874"/>
      <c r="CJ58" s="884"/>
      <c r="CK58" s="884"/>
      <c r="CL58" s="884"/>
      <c r="CM58" s="884"/>
      <c r="CN58" s="874"/>
      <c r="CO58" s="884"/>
      <c r="CP58" s="884"/>
      <c r="CQ58" s="884"/>
      <c r="CR58" s="874"/>
      <c r="CS58" s="884"/>
      <c r="CT58" s="884"/>
      <c r="CU58" s="884"/>
      <c r="CV58" s="884"/>
      <c r="CW58" s="874"/>
      <c r="CX58" s="913"/>
      <c r="CY58" s="884"/>
      <c r="CZ58" s="884"/>
      <c r="DA58" s="874"/>
      <c r="DB58" s="884"/>
      <c r="DC58" s="884"/>
      <c r="DD58" s="884"/>
      <c r="DE58" s="884"/>
      <c r="DF58" s="874"/>
      <c r="DG58" s="884"/>
      <c r="DH58" s="884"/>
      <c r="DI58" s="884"/>
      <c r="DJ58" s="874"/>
      <c r="DK58" s="884"/>
      <c r="DL58" s="884"/>
      <c r="DM58" s="874"/>
      <c r="DN58" s="884"/>
      <c r="DO58" s="874"/>
      <c r="DP58" s="884"/>
      <c r="DQ58" s="884"/>
      <c r="DR58" s="884"/>
      <c r="DS58" s="874"/>
      <c r="DT58" s="884"/>
      <c r="DU58" s="884"/>
      <c r="DV58" s="884"/>
      <c r="DW58" s="884"/>
      <c r="DX58" s="874"/>
      <c r="DY58" s="884"/>
      <c r="DZ58" s="884"/>
      <c r="EA58" s="884"/>
      <c r="EB58" s="874"/>
      <c r="EC58" s="884"/>
      <c r="ED58" s="884"/>
      <c r="EE58" s="874"/>
    </row>
    <row r="59">
      <c r="A59" s="33">
        <f>'Schedule | 2 Division (OLD)'!P31</f>
        <v>47</v>
      </c>
      <c r="B59" s="30" t="str">
        <f>'Schedule | 2 Division (OLD)'!K31</f>
        <v>PARADOX</v>
      </c>
      <c r="C59" s="906">
        <f>'Schedule | 2 Division (OLD)'!L31</f>
        <v>0</v>
      </c>
      <c r="D59" s="906">
        <f>'Schedule | 2 Division (OLD)'!N31</f>
        <v>0</v>
      </c>
      <c r="E59" s="30" t="str">
        <f>'Schedule | 2 Division (OLD)'!O31</f>
        <v>VIOLENCE</v>
      </c>
      <c r="F59" s="30" t="str">
        <f t="shared" si="36"/>
        <v/>
      </c>
      <c r="G59" s="433" t="str">
        <f t="shared" si="37"/>
        <v/>
      </c>
      <c r="H59" s="884"/>
      <c r="I59" s="884"/>
      <c r="J59" s="874"/>
      <c r="K59" s="874"/>
      <c r="L59" s="884"/>
      <c r="M59" s="884"/>
      <c r="N59" s="884"/>
      <c r="O59" s="874"/>
      <c r="P59" s="884"/>
      <c r="Q59" s="884"/>
      <c r="R59" s="884"/>
      <c r="S59" s="874"/>
      <c r="T59" s="874"/>
      <c r="U59" s="874"/>
      <c r="V59" s="884"/>
      <c r="W59" s="884"/>
      <c r="X59" s="874"/>
      <c r="Y59" s="884"/>
      <c r="Z59" s="884"/>
      <c r="AA59" s="884"/>
      <c r="AB59" s="874"/>
      <c r="AC59" s="874"/>
      <c r="AD59" s="884"/>
      <c r="AE59" s="884"/>
      <c r="AF59" s="884"/>
      <c r="AG59" s="874"/>
      <c r="AH59" s="884"/>
      <c r="AI59" s="884"/>
      <c r="AJ59" s="884"/>
      <c r="AK59" s="874"/>
      <c r="AL59" s="874"/>
      <c r="AM59" s="913"/>
      <c r="AN59" s="884"/>
      <c r="AO59" s="884"/>
      <c r="AP59" s="874"/>
      <c r="AQ59" s="884"/>
      <c r="AR59" s="884"/>
      <c r="AS59" s="874"/>
      <c r="AT59" s="884"/>
      <c r="AU59" s="874"/>
      <c r="AV59" s="884"/>
      <c r="AW59" s="884"/>
      <c r="AX59" s="884"/>
      <c r="AY59" s="874"/>
      <c r="AZ59" s="884"/>
      <c r="BA59" s="884"/>
      <c r="BB59" s="884"/>
      <c r="BC59" s="884"/>
      <c r="BD59" s="874"/>
      <c r="BE59" s="884"/>
      <c r="BF59" s="884"/>
      <c r="BG59" s="884"/>
      <c r="BH59" s="874"/>
      <c r="BI59" s="884"/>
      <c r="BJ59" s="884"/>
      <c r="BK59" s="874"/>
      <c r="BL59" s="884"/>
      <c r="BM59" s="874"/>
      <c r="BN59" s="884"/>
      <c r="BO59" s="884"/>
      <c r="BP59" s="884"/>
      <c r="BQ59" s="874"/>
      <c r="BR59" s="884"/>
      <c r="BS59" s="884"/>
      <c r="BT59" s="884"/>
      <c r="BU59" s="884"/>
      <c r="BV59" s="874"/>
      <c r="BW59" s="884"/>
      <c r="BX59" s="884"/>
      <c r="BY59" s="884"/>
      <c r="BZ59" s="874"/>
      <c r="CA59" s="884"/>
      <c r="CB59" s="884"/>
      <c r="CC59" s="884"/>
      <c r="CD59" s="884"/>
      <c r="CE59" s="874"/>
      <c r="CF59" s="884"/>
      <c r="CG59" s="884"/>
      <c r="CH59" s="884"/>
      <c r="CI59" s="874"/>
      <c r="CJ59" s="884"/>
      <c r="CK59" s="884"/>
      <c r="CL59" s="884"/>
      <c r="CM59" s="884"/>
      <c r="CN59" s="874"/>
      <c r="CO59" s="884"/>
      <c r="CP59" s="884"/>
      <c r="CQ59" s="884"/>
      <c r="CR59" s="874"/>
      <c r="CS59" s="884"/>
      <c r="CT59" s="884"/>
      <c r="CU59" s="884"/>
      <c r="CV59" s="884"/>
      <c r="CW59" s="874"/>
      <c r="CX59" s="913"/>
      <c r="CY59" s="884"/>
      <c r="CZ59" s="884"/>
      <c r="DA59" s="874"/>
      <c r="DB59" s="884"/>
      <c r="DC59" s="884"/>
      <c r="DD59" s="884"/>
      <c r="DE59" s="884"/>
      <c r="DF59" s="874"/>
      <c r="DG59" s="884"/>
      <c r="DH59" s="884"/>
      <c r="DI59" s="884"/>
      <c r="DJ59" s="874"/>
      <c r="DK59" s="884"/>
      <c r="DL59" s="884"/>
      <c r="DM59" s="874"/>
      <c r="DN59" s="884"/>
      <c r="DO59" s="874"/>
      <c r="DP59" s="884"/>
      <c r="DQ59" s="884"/>
      <c r="DR59" s="884"/>
      <c r="DS59" s="874"/>
      <c r="DT59" s="884"/>
      <c r="DU59" s="884"/>
      <c r="DV59" s="884"/>
      <c r="DW59" s="884"/>
      <c r="DX59" s="874"/>
      <c r="DY59" s="884"/>
      <c r="DZ59" s="884"/>
      <c r="EA59" s="884"/>
      <c r="EB59" s="874"/>
      <c r="EC59" s="884"/>
      <c r="ED59" s="884"/>
      <c r="EE59" s="874"/>
    </row>
    <row r="60">
      <c r="A60" s="33">
        <f>'Schedule | 2 Division (OLD)'!P32</f>
        <v>48</v>
      </c>
      <c r="B60" s="30" t="str">
        <f>'Schedule | 2 Division (OLD)'!K32</f>
        <v>ALFA</v>
      </c>
      <c r="C60" s="906">
        <f>'Schedule | 2 Division (OLD)'!L32</f>
        <v>0</v>
      </c>
      <c r="D60" s="906">
        <f>'Schedule | 2 Division (OLD)'!N32</f>
        <v>0</v>
      </c>
      <c r="E60" s="30" t="str">
        <f>'Schedule | 2 Division (OLD)'!O32</f>
        <v>Green Hustle</v>
      </c>
      <c r="F60" s="30" t="str">
        <f t="shared" si="36"/>
        <v/>
      </c>
      <c r="G60" s="433" t="str">
        <f t="shared" si="37"/>
        <v/>
      </c>
      <c r="H60" s="884"/>
      <c r="I60" s="884"/>
      <c r="J60" s="874"/>
      <c r="K60" s="874"/>
      <c r="L60" s="884"/>
      <c r="M60" s="884"/>
      <c r="N60" s="884"/>
      <c r="O60" s="874"/>
      <c r="P60" s="884"/>
      <c r="Q60" s="884"/>
      <c r="R60" s="884"/>
      <c r="S60" s="874"/>
      <c r="T60" s="874"/>
      <c r="U60" s="874"/>
      <c r="V60" s="884"/>
      <c r="W60" s="884"/>
      <c r="X60" s="874"/>
      <c r="Y60" s="884"/>
      <c r="Z60" s="884"/>
      <c r="AA60" s="884"/>
      <c r="AB60" s="874"/>
      <c r="AC60" s="874"/>
      <c r="AD60" s="884"/>
      <c r="AE60" s="884"/>
      <c r="AF60" s="884"/>
      <c r="AG60" s="874"/>
      <c r="AH60" s="884"/>
      <c r="AI60" s="884"/>
      <c r="AJ60" s="884"/>
      <c r="AK60" s="874"/>
      <c r="AL60" s="874"/>
      <c r="AM60" s="913"/>
      <c r="AN60" s="884"/>
      <c r="AO60" s="884"/>
      <c r="AP60" s="874"/>
      <c r="AQ60" s="884"/>
      <c r="AR60" s="884"/>
      <c r="AS60" s="874"/>
      <c r="AT60" s="884"/>
      <c r="AU60" s="874"/>
      <c r="AV60" s="884"/>
      <c r="AW60" s="884"/>
      <c r="AX60" s="884"/>
      <c r="AY60" s="874"/>
      <c r="AZ60" s="884"/>
      <c r="BA60" s="884"/>
      <c r="BB60" s="884"/>
      <c r="BC60" s="884"/>
      <c r="BD60" s="874"/>
      <c r="BE60" s="884"/>
      <c r="BF60" s="884"/>
      <c r="BG60" s="884"/>
      <c r="BH60" s="874"/>
      <c r="BI60" s="884"/>
      <c r="BJ60" s="884"/>
      <c r="BK60" s="874"/>
      <c r="BL60" s="884"/>
      <c r="BM60" s="874"/>
      <c r="BN60" s="884"/>
      <c r="BO60" s="884"/>
      <c r="BP60" s="884"/>
      <c r="BQ60" s="874"/>
      <c r="BR60" s="884"/>
      <c r="BS60" s="884"/>
      <c r="BT60" s="884"/>
      <c r="BU60" s="884"/>
      <c r="BV60" s="874"/>
      <c r="BW60" s="884"/>
      <c r="BX60" s="884"/>
      <c r="BY60" s="884"/>
      <c r="BZ60" s="874"/>
      <c r="CA60" s="884"/>
      <c r="CB60" s="884"/>
      <c r="CC60" s="884"/>
      <c r="CD60" s="884"/>
      <c r="CE60" s="874"/>
      <c r="CF60" s="884"/>
      <c r="CG60" s="884"/>
      <c r="CH60" s="884"/>
      <c r="CI60" s="874"/>
      <c r="CJ60" s="884"/>
      <c r="CK60" s="884"/>
      <c r="CL60" s="884"/>
      <c r="CM60" s="884"/>
      <c r="CN60" s="874"/>
      <c r="CO60" s="884"/>
      <c r="CP60" s="884"/>
      <c r="CQ60" s="884"/>
      <c r="CR60" s="874"/>
      <c r="CS60" s="884"/>
      <c r="CT60" s="884"/>
      <c r="CU60" s="884"/>
      <c r="CV60" s="884"/>
      <c r="CW60" s="874"/>
      <c r="CX60" s="913"/>
      <c r="CY60" s="884"/>
      <c r="CZ60" s="884"/>
      <c r="DA60" s="874"/>
      <c r="DB60" s="884"/>
      <c r="DC60" s="884"/>
      <c r="DD60" s="884"/>
      <c r="DE60" s="884"/>
      <c r="DF60" s="874"/>
      <c r="DG60" s="884"/>
      <c r="DH60" s="884"/>
      <c r="DI60" s="884"/>
      <c r="DJ60" s="874"/>
      <c r="DK60" s="884"/>
      <c r="DL60" s="884"/>
      <c r="DM60" s="874"/>
      <c r="DN60" s="884"/>
      <c r="DO60" s="874"/>
      <c r="DP60" s="884"/>
      <c r="DQ60" s="884"/>
      <c r="DR60" s="884"/>
      <c r="DS60" s="874"/>
      <c r="DT60" s="884"/>
      <c r="DU60" s="884"/>
      <c r="DV60" s="884"/>
      <c r="DW60" s="884"/>
      <c r="DX60" s="874"/>
      <c r="DY60" s="884"/>
      <c r="DZ60" s="884"/>
      <c r="EA60" s="884"/>
      <c r="EB60" s="874"/>
      <c r="EC60" s="884"/>
      <c r="ED60" s="884"/>
      <c r="EE60" s="874"/>
    </row>
    <row r="61">
      <c r="A61" s="33">
        <f>'Schedule | 2 Division (OLD)'!P35</f>
        <v>49</v>
      </c>
      <c r="B61" s="30" t="str">
        <f>'Schedule | 2 Division (OLD)'!K35</f>
        <v>QW0TROBERY</v>
      </c>
      <c r="C61" s="906">
        <f>'Schedule | 2 Division (OLD)'!L35</f>
        <v>0</v>
      </c>
      <c r="D61" s="906">
        <f>'Schedule | 2 Division (OLD)'!N35</f>
        <v>0</v>
      </c>
      <c r="E61" s="30" t="str">
        <f>'Schedule | 2 Division (OLD)'!O35</f>
        <v>PARADOX</v>
      </c>
      <c r="F61" s="30" t="str">
        <f t="shared" si="36"/>
        <v/>
      </c>
      <c r="G61" s="433" t="str">
        <f t="shared" si="37"/>
        <v/>
      </c>
      <c r="H61" s="884"/>
      <c r="I61" s="884"/>
      <c r="J61" s="874"/>
      <c r="K61" s="874"/>
      <c r="L61" s="884"/>
      <c r="M61" s="884"/>
      <c r="N61" s="884"/>
      <c r="O61" s="874"/>
      <c r="P61" s="884"/>
      <c r="Q61" s="884"/>
      <c r="R61" s="884"/>
      <c r="S61" s="874"/>
      <c r="T61" s="874"/>
      <c r="U61" s="874"/>
      <c r="V61" s="884"/>
      <c r="W61" s="884"/>
      <c r="X61" s="874"/>
      <c r="Y61" s="884"/>
      <c r="Z61" s="884"/>
      <c r="AA61" s="884"/>
      <c r="AB61" s="874"/>
      <c r="AC61" s="874"/>
      <c r="AD61" s="884"/>
      <c r="AE61" s="884"/>
      <c r="AF61" s="884"/>
      <c r="AG61" s="874"/>
      <c r="AH61" s="884"/>
      <c r="AI61" s="884"/>
      <c r="AJ61" s="884"/>
      <c r="AK61" s="874"/>
      <c r="AL61" s="874"/>
      <c r="AM61" s="913"/>
      <c r="AN61" s="884"/>
      <c r="AO61" s="884"/>
      <c r="AP61" s="874"/>
      <c r="AQ61" s="884"/>
      <c r="AR61" s="884"/>
      <c r="AS61" s="874"/>
      <c r="AT61" s="884"/>
      <c r="AU61" s="874"/>
      <c r="AV61" s="884"/>
      <c r="AW61" s="884"/>
      <c r="AX61" s="884"/>
      <c r="AY61" s="874"/>
      <c r="AZ61" s="884"/>
      <c r="BA61" s="884"/>
      <c r="BB61" s="884"/>
      <c r="BC61" s="884"/>
      <c r="BD61" s="874"/>
      <c r="BE61" s="884"/>
      <c r="BF61" s="884"/>
      <c r="BG61" s="884"/>
      <c r="BH61" s="874"/>
      <c r="BI61" s="884"/>
      <c r="BJ61" s="884"/>
      <c r="BK61" s="874"/>
      <c r="BL61" s="884"/>
      <c r="BM61" s="874"/>
      <c r="BN61" s="884"/>
      <c r="BO61" s="884"/>
      <c r="BP61" s="884"/>
      <c r="BQ61" s="874"/>
      <c r="BR61" s="884"/>
      <c r="BS61" s="884"/>
      <c r="BT61" s="884"/>
      <c r="BU61" s="884"/>
      <c r="BV61" s="874"/>
      <c r="BW61" s="884"/>
      <c r="BX61" s="884"/>
      <c r="BY61" s="884"/>
      <c r="BZ61" s="874"/>
      <c r="CA61" s="884"/>
      <c r="CB61" s="884"/>
      <c r="CC61" s="884"/>
      <c r="CD61" s="884"/>
      <c r="CE61" s="874"/>
      <c r="CF61" s="884"/>
      <c r="CG61" s="884"/>
      <c r="CH61" s="884"/>
      <c r="CI61" s="874"/>
      <c r="CJ61" s="884"/>
      <c r="CK61" s="884"/>
      <c r="CL61" s="884"/>
      <c r="CM61" s="884"/>
      <c r="CN61" s="874"/>
      <c r="CO61" s="884"/>
      <c r="CP61" s="884"/>
      <c r="CQ61" s="884"/>
      <c r="CR61" s="874"/>
      <c r="CS61" s="884"/>
      <c r="CT61" s="884"/>
      <c r="CU61" s="884"/>
      <c r="CV61" s="884"/>
      <c r="CW61" s="874"/>
      <c r="CX61" s="913"/>
      <c r="CY61" s="884"/>
      <c r="CZ61" s="884"/>
      <c r="DA61" s="874"/>
      <c r="DB61" s="884"/>
      <c r="DC61" s="884"/>
      <c r="DD61" s="884"/>
      <c r="DE61" s="884"/>
      <c r="DF61" s="874"/>
      <c r="DG61" s="884"/>
      <c r="DH61" s="884"/>
      <c r="DI61" s="884"/>
      <c r="DJ61" s="874"/>
      <c r="DK61" s="884"/>
      <c r="DL61" s="884"/>
      <c r="DM61" s="874"/>
      <c r="DN61" s="884"/>
      <c r="DO61" s="874"/>
      <c r="DP61" s="884"/>
      <c r="DQ61" s="884"/>
      <c r="DR61" s="884"/>
      <c r="DS61" s="874"/>
      <c r="DT61" s="884"/>
      <c r="DU61" s="884"/>
      <c r="DV61" s="884"/>
      <c r="DW61" s="884"/>
      <c r="DX61" s="874"/>
      <c r="DY61" s="884"/>
      <c r="DZ61" s="884"/>
      <c r="EA61" s="884"/>
      <c r="EB61" s="874"/>
      <c r="EC61" s="884"/>
      <c r="ED61" s="884"/>
      <c r="EE61" s="874"/>
    </row>
    <row r="62">
      <c r="A62" s="33">
        <f>'Schedule | 2 Division (OLD)'!P36</f>
        <v>50</v>
      </c>
      <c r="B62" s="30" t="str">
        <f>'Schedule | 2 Division (OLD)'!K36</f>
        <v>ALFA</v>
      </c>
      <c r="C62" s="906">
        <f>'Schedule | 2 Division (OLD)'!L36</f>
        <v>0</v>
      </c>
      <c r="D62" s="906">
        <f>'Schedule | 2 Division (OLD)'!N36</f>
        <v>0</v>
      </c>
      <c r="E62" s="30" t="str">
        <f>'Schedule | 2 Division (OLD)'!O36</f>
        <v>DISTANCE</v>
      </c>
      <c r="F62" s="30" t="str">
        <f t="shared" si="36"/>
        <v/>
      </c>
      <c r="G62" s="433" t="str">
        <f t="shared" si="37"/>
        <v/>
      </c>
      <c r="H62" s="884"/>
      <c r="I62" s="884"/>
      <c r="J62" s="874"/>
      <c r="K62" s="874"/>
      <c r="L62" s="884"/>
      <c r="M62" s="884"/>
      <c r="N62" s="884"/>
      <c r="O62" s="874"/>
      <c r="P62" s="884"/>
      <c r="Q62" s="884"/>
      <c r="R62" s="884"/>
      <c r="S62" s="874"/>
      <c r="T62" s="874"/>
      <c r="U62" s="874"/>
      <c r="V62" s="884"/>
      <c r="W62" s="884"/>
      <c r="X62" s="874"/>
      <c r="Y62" s="884"/>
      <c r="Z62" s="884"/>
      <c r="AA62" s="884"/>
      <c r="AB62" s="874"/>
      <c r="AC62" s="874"/>
      <c r="AD62" s="884"/>
      <c r="AE62" s="884"/>
      <c r="AF62" s="884"/>
      <c r="AG62" s="874"/>
      <c r="AH62" s="884"/>
      <c r="AI62" s="884"/>
      <c r="AJ62" s="884"/>
      <c r="AK62" s="874"/>
      <c r="AL62" s="874"/>
      <c r="AM62" s="913"/>
      <c r="AN62" s="884"/>
      <c r="AO62" s="884"/>
      <c r="AP62" s="874"/>
      <c r="AQ62" s="884"/>
      <c r="AR62" s="884"/>
      <c r="AS62" s="874"/>
      <c r="AT62" s="884"/>
      <c r="AU62" s="874"/>
      <c r="AV62" s="884"/>
      <c r="AW62" s="884"/>
      <c r="AX62" s="884"/>
      <c r="AY62" s="874"/>
      <c r="AZ62" s="884"/>
      <c r="BA62" s="884"/>
      <c r="BB62" s="884"/>
      <c r="BC62" s="884"/>
      <c r="BD62" s="874"/>
      <c r="BE62" s="884"/>
      <c r="BF62" s="884"/>
      <c r="BG62" s="884"/>
      <c r="BH62" s="874"/>
      <c r="BI62" s="884"/>
      <c r="BJ62" s="884"/>
      <c r="BK62" s="874"/>
      <c r="BL62" s="884"/>
      <c r="BM62" s="874"/>
      <c r="BN62" s="884"/>
      <c r="BO62" s="884"/>
      <c r="BP62" s="884"/>
      <c r="BQ62" s="874"/>
      <c r="BR62" s="884"/>
      <c r="BS62" s="884"/>
      <c r="BT62" s="884"/>
      <c r="BU62" s="884"/>
      <c r="BV62" s="874"/>
      <c r="BW62" s="884"/>
      <c r="BX62" s="884"/>
      <c r="BY62" s="884"/>
      <c r="BZ62" s="874"/>
      <c r="CA62" s="884"/>
      <c r="CB62" s="884"/>
      <c r="CC62" s="884"/>
      <c r="CD62" s="884"/>
      <c r="CE62" s="874"/>
      <c r="CF62" s="884"/>
      <c r="CG62" s="884"/>
      <c r="CH62" s="884"/>
      <c r="CI62" s="874"/>
      <c r="CJ62" s="884"/>
      <c r="CK62" s="884"/>
      <c r="CL62" s="884"/>
      <c r="CM62" s="884"/>
      <c r="CN62" s="874"/>
      <c r="CO62" s="884"/>
      <c r="CP62" s="884"/>
      <c r="CQ62" s="884"/>
      <c r="CR62" s="874"/>
      <c r="CS62" s="884"/>
      <c r="CT62" s="884"/>
      <c r="CU62" s="884"/>
      <c r="CV62" s="884"/>
      <c r="CW62" s="874"/>
      <c r="CX62" s="913"/>
      <c r="CY62" s="884"/>
      <c r="CZ62" s="884"/>
      <c r="DA62" s="874"/>
      <c r="DB62" s="884"/>
      <c r="DC62" s="884"/>
      <c r="DD62" s="884"/>
      <c r="DE62" s="884"/>
      <c r="DF62" s="874"/>
      <c r="DG62" s="884"/>
      <c r="DH62" s="884"/>
      <c r="DI62" s="884"/>
      <c r="DJ62" s="874"/>
      <c r="DK62" s="884"/>
      <c r="DL62" s="884"/>
      <c r="DM62" s="874"/>
      <c r="DN62" s="884"/>
      <c r="DO62" s="874"/>
      <c r="DP62" s="884"/>
      <c r="DQ62" s="884"/>
      <c r="DR62" s="884"/>
      <c r="DS62" s="874"/>
      <c r="DT62" s="884"/>
      <c r="DU62" s="884"/>
      <c r="DV62" s="884"/>
      <c r="DW62" s="884"/>
      <c r="DX62" s="874"/>
      <c r="DY62" s="884"/>
      <c r="DZ62" s="884"/>
      <c r="EA62" s="884"/>
      <c r="EB62" s="874"/>
      <c r="EC62" s="884"/>
      <c r="ED62" s="884"/>
      <c r="EE62" s="874"/>
    </row>
    <row r="63">
      <c r="A63" s="33">
        <f>'Schedule | 2 Division (OLD)'!P37</f>
        <v>51</v>
      </c>
      <c r="B63" s="30" t="str">
        <f>'Schedule | 2 Division (OLD)'!K37</f>
        <v>Hoax</v>
      </c>
      <c r="C63" s="906">
        <f>'Schedule | 2 Division (OLD)'!L37</f>
        <v>0</v>
      </c>
      <c r="D63" s="906">
        <f>'Schedule | 2 Division (OLD)'!N37</f>
        <v>0</v>
      </c>
      <c r="E63" s="30" t="str">
        <f>'Schedule | 2 Division (OLD)'!O37</f>
        <v>Green Hustle</v>
      </c>
      <c r="F63" s="30" t="str">
        <f t="shared" si="36"/>
        <v/>
      </c>
      <c r="G63" s="433" t="str">
        <f t="shared" si="37"/>
        <v/>
      </c>
      <c r="H63" s="884"/>
      <c r="I63" s="884"/>
      <c r="J63" s="874"/>
      <c r="K63" s="874"/>
      <c r="L63" s="884"/>
      <c r="M63" s="884"/>
      <c r="N63" s="884"/>
      <c r="O63" s="874"/>
      <c r="P63" s="884"/>
      <c r="Q63" s="884"/>
      <c r="R63" s="884"/>
      <c r="S63" s="874"/>
      <c r="T63" s="874"/>
      <c r="U63" s="874"/>
      <c r="V63" s="884"/>
      <c r="W63" s="884"/>
      <c r="X63" s="874"/>
      <c r="Y63" s="884"/>
      <c r="Z63" s="884"/>
      <c r="AA63" s="884"/>
      <c r="AB63" s="874"/>
      <c r="AC63" s="874"/>
      <c r="AD63" s="884"/>
      <c r="AE63" s="884"/>
      <c r="AF63" s="884"/>
      <c r="AG63" s="874"/>
      <c r="AH63" s="884"/>
      <c r="AI63" s="884"/>
      <c r="AJ63" s="884"/>
      <c r="AK63" s="874"/>
      <c r="AL63" s="874"/>
      <c r="AM63" s="913"/>
      <c r="AN63" s="884"/>
      <c r="AO63" s="884"/>
      <c r="AP63" s="874"/>
      <c r="AQ63" s="884"/>
      <c r="AR63" s="884"/>
      <c r="AS63" s="874"/>
      <c r="AT63" s="884"/>
      <c r="AU63" s="874"/>
      <c r="AV63" s="884"/>
      <c r="AW63" s="884"/>
      <c r="AX63" s="884"/>
      <c r="AY63" s="874"/>
      <c r="AZ63" s="884"/>
      <c r="BA63" s="884"/>
      <c r="BB63" s="884"/>
      <c r="BC63" s="884"/>
      <c r="BD63" s="874"/>
      <c r="BE63" s="884"/>
      <c r="BF63" s="884"/>
      <c r="BG63" s="884"/>
      <c r="BH63" s="874"/>
      <c r="BI63" s="884"/>
      <c r="BJ63" s="884"/>
      <c r="BK63" s="874"/>
      <c r="BL63" s="884"/>
      <c r="BM63" s="874"/>
      <c r="BN63" s="884"/>
      <c r="BO63" s="884"/>
      <c r="BP63" s="884"/>
      <c r="BQ63" s="874"/>
      <c r="BR63" s="884"/>
      <c r="BS63" s="884"/>
      <c r="BT63" s="884"/>
      <c r="BU63" s="884"/>
      <c r="BV63" s="874"/>
      <c r="BW63" s="884"/>
      <c r="BX63" s="884"/>
      <c r="BY63" s="884"/>
      <c r="BZ63" s="874"/>
      <c r="CA63" s="884"/>
      <c r="CB63" s="884"/>
      <c r="CC63" s="884"/>
      <c r="CD63" s="884"/>
      <c r="CE63" s="874"/>
      <c r="CF63" s="884"/>
      <c r="CG63" s="884"/>
      <c r="CH63" s="884"/>
      <c r="CI63" s="874"/>
      <c r="CJ63" s="884"/>
      <c r="CK63" s="884"/>
      <c r="CL63" s="884"/>
      <c r="CM63" s="884"/>
      <c r="CN63" s="874"/>
      <c r="CO63" s="884"/>
      <c r="CP63" s="884"/>
      <c r="CQ63" s="884"/>
      <c r="CR63" s="874"/>
      <c r="CS63" s="884"/>
      <c r="CT63" s="884"/>
      <c r="CU63" s="884"/>
      <c r="CV63" s="884"/>
      <c r="CW63" s="874"/>
      <c r="CX63" s="913"/>
      <c r="CY63" s="884"/>
      <c r="CZ63" s="884"/>
      <c r="DA63" s="874"/>
      <c r="DB63" s="884"/>
      <c r="DC63" s="884"/>
      <c r="DD63" s="884"/>
      <c r="DE63" s="884"/>
      <c r="DF63" s="874"/>
      <c r="DG63" s="884"/>
      <c r="DH63" s="884"/>
      <c r="DI63" s="884"/>
      <c r="DJ63" s="874"/>
      <c r="DK63" s="884"/>
      <c r="DL63" s="884"/>
      <c r="DM63" s="874"/>
      <c r="DN63" s="884"/>
      <c r="DO63" s="874"/>
      <c r="DP63" s="884"/>
      <c r="DQ63" s="884"/>
      <c r="DR63" s="884"/>
      <c r="DS63" s="874"/>
      <c r="DT63" s="884"/>
      <c r="DU63" s="884"/>
      <c r="DV63" s="884"/>
      <c r="DW63" s="884"/>
      <c r="DX63" s="874"/>
      <c r="DY63" s="884"/>
      <c r="DZ63" s="884"/>
      <c r="EA63" s="884"/>
      <c r="EB63" s="874"/>
      <c r="EC63" s="884"/>
      <c r="ED63" s="884"/>
      <c r="EE63" s="874"/>
    </row>
    <row r="64">
      <c r="A64" s="33">
        <f>'Schedule | 2 Division (OLD)'!P38</f>
        <v>52</v>
      </c>
      <c r="B64" s="30" t="str">
        <f>'Schedule | 2 Division (OLD)'!K38</f>
        <v>ICM</v>
      </c>
      <c r="C64" s="906">
        <f>'Schedule | 2 Division (OLD)'!L38</f>
        <v>0</v>
      </c>
      <c r="D64" s="906">
        <f>'Schedule | 2 Division (OLD)'!N38</f>
        <v>0</v>
      </c>
      <c r="E64" s="30" t="str">
        <f>'Schedule | 2 Division (OLD)'!O38</f>
        <v>VIOLENCE</v>
      </c>
      <c r="F64" s="30" t="str">
        <f t="shared" si="36"/>
        <v/>
      </c>
      <c r="G64" s="433" t="str">
        <f t="shared" si="37"/>
        <v/>
      </c>
      <c r="H64" s="884"/>
      <c r="I64" s="884"/>
      <c r="J64" s="874"/>
      <c r="K64" s="874"/>
      <c r="L64" s="884"/>
      <c r="M64" s="884"/>
      <c r="N64" s="884"/>
      <c r="O64" s="874"/>
      <c r="P64" s="884"/>
      <c r="Q64" s="884"/>
      <c r="R64" s="884"/>
      <c r="S64" s="874"/>
      <c r="T64" s="874"/>
      <c r="U64" s="874"/>
      <c r="V64" s="884"/>
      <c r="W64" s="884"/>
      <c r="X64" s="874"/>
      <c r="Y64" s="884"/>
      <c r="Z64" s="884"/>
      <c r="AA64" s="884"/>
      <c r="AB64" s="874"/>
      <c r="AC64" s="874"/>
      <c r="AD64" s="884"/>
      <c r="AE64" s="884"/>
      <c r="AF64" s="884"/>
      <c r="AG64" s="874"/>
      <c r="AH64" s="884"/>
      <c r="AI64" s="884"/>
      <c r="AJ64" s="884"/>
      <c r="AK64" s="874"/>
      <c r="AL64" s="874"/>
      <c r="AM64" s="913"/>
      <c r="AN64" s="884"/>
      <c r="AO64" s="884"/>
      <c r="AP64" s="874"/>
      <c r="AQ64" s="884"/>
      <c r="AR64" s="884"/>
      <c r="AS64" s="874"/>
      <c r="AT64" s="884"/>
      <c r="AU64" s="874"/>
      <c r="AV64" s="884"/>
      <c r="AW64" s="884"/>
      <c r="AX64" s="884"/>
      <c r="AY64" s="874"/>
      <c r="AZ64" s="884"/>
      <c r="BA64" s="884"/>
      <c r="BB64" s="884"/>
      <c r="BC64" s="884"/>
      <c r="BD64" s="874"/>
      <c r="BE64" s="884"/>
      <c r="BF64" s="884"/>
      <c r="BG64" s="884"/>
      <c r="BH64" s="874"/>
      <c r="BI64" s="884"/>
      <c r="BJ64" s="884"/>
      <c r="BK64" s="874"/>
      <c r="BL64" s="884"/>
      <c r="BM64" s="874"/>
      <c r="BN64" s="884"/>
      <c r="BO64" s="884"/>
      <c r="BP64" s="884"/>
      <c r="BQ64" s="874"/>
      <c r="BR64" s="884"/>
      <c r="BS64" s="884"/>
      <c r="BT64" s="884"/>
      <c r="BU64" s="884"/>
      <c r="BV64" s="874"/>
      <c r="BW64" s="884"/>
      <c r="BX64" s="884"/>
      <c r="BY64" s="884"/>
      <c r="BZ64" s="874"/>
      <c r="CA64" s="884"/>
      <c r="CB64" s="884"/>
      <c r="CC64" s="884"/>
      <c r="CD64" s="884"/>
      <c r="CE64" s="874"/>
      <c r="CF64" s="884"/>
      <c r="CG64" s="884"/>
      <c r="CH64" s="884"/>
      <c r="CI64" s="874"/>
      <c r="CJ64" s="884"/>
      <c r="CK64" s="884"/>
      <c r="CL64" s="884"/>
      <c r="CM64" s="884"/>
      <c r="CN64" s="874"/>
      <c r="CO64" s="884"/>
      <c r="CP64" s="884"/>
      <c r="CQ64" s="884"/>
      <c r="CR64" s="874"/>
      <c r="CS64" s="884"/>
      <c r="CT64" s="884"/>
      <c r="CU64" s="884"/>
      <c r="CV64" s="884"/>
      <c r="CW64" s="874"/>
      <c r="CX64" s="913"/>
      <c r="CY64" s="884"/>
      <c r="CZ64" s="884"/>
      <c r="DA64" s="874"/>
      <c r="DB64" s="884"/>
      <c r="DC64" s="884"/>
      <c r="DD64" s="884"/>
      <c r="DE64" s="884"/>
      <c r="DF64" s="874"/>
      <c r="DG64" s="884"/>
      <c r="DH64" s="884"/>
      <c r="DI64" s="884"/>
      <c r="DJ64" s="874"/>
      <c r="DK64" s="884"/>
      <c r="DL64" s="884"/>
      <c r="DM64" s="874"/>
      <c r="DN64" s="884"/>
      <c r="DO64" s="874"/>
      <c r="DP64" s="884"/>
      <c r="DQ64" s="884"/>
      <c r="DR64" s="884"/>
      <c r="DS64" s="874"/>
      <c r="DT64" s="884"/>
      <c r="DU64" s="884"/>
      <c r="DV64" s="884"/>
      <c r="DW64" s="884"/>
      <c r="DX64" s="874"/>
      <c r="DY64" s="884"/>
      <c r="DZ64" s="884"/>
      <c r="EA64" s="884"/>
      <c r="EB64" s="874"/>
      <c r="EC64" s="884"/>
      <c r="ED64" s="884"/>
      <c r="EE64" s="874"/>
    </row>
    <row r="65">
      <c r="A65" s="33">
        <f>'Schedule | 2 Division (OLD)'!P41</f>
        <v>53</v>
      </c>
      <c r="B65" s="30" t="str">
        <f>'Schedule | 2 Division (OLD)'!K41</f>
        <v>VIOLENCE</v>
      </c>
      <c r="C65" s="906">
        <f>'Schedule | 2 Division (OLD)'!L41</f>
        <v>0</v>
      </c>
      <c r="D65" s="906">
        <f>'Schedule | 2 Division (OLD)'!N41</f>
        <v>0</v>
      </c>
      <c r="E65" s="30" t="str">
        <f>'Schedule | 2 Division (OLD)'!O41</f>
        <v>QW0TROBERY</v>
      </c>
      <c r="F65" s="30" t="str">
        <f t="shared" si="36"/>
        <v/>
      </c>
      <c r="G65" s="433" t="str">
        <f t="shared" si="37"/>
        <v/>
      </c>
      <c r="H65" s="884"/>
      <c r="I65" s="884"/>
      <c r="J65" s="874"/>
      <c r="K65" s="874"/>
      <c r="L65" s="884"/>
      <c r="M65" s="884"/>
      <c r="N65" s="884"/>
      <c r="O65" s="874"/>
      <c r="P65" s="884"/>
      <c r="Q65" s="884"/>
      <c r="R65" s="884"/>
      <c r="S65" s="874"/>
      <c r="T65" s="874"/>
      <c r="U65" s="874"/>
      <c r="V65" s="884"/>
      <c r="W65" s="884"/>
      <c r="X65" s="874"/>
      <c r="Y65" s="884"/>
      <c r="Z65" s="884"/>
      <c r="AA65" s="884"/>
      <c r="AB65" s="874"/>
      <c r="AC65" s="874"/>
      <c r="AD65" s="884"/>
      <c r="AE65" s="884"/>
      <c r="AF65" s="884"/>
      <c r="AG65" s="874"/>
      <c r="AH65" s="884"/>
      <c r="AI65" s="884"/>
      <c r="AJ65" s="884"/>
      <c r="AK65" s="874"/>
      <c r="AL65" s="874"/>
      <c r="AM65" s="913"/>
      <c r="AN65" s="884"/>
      <c r="AO65" s="884"/>
      <c r="AP65" s="874"/>
      <c r="AQ65" s="884"/>
      <c r="AR65" s="884"/>
      <c r="AS65" s="874"/>
      <c r="AT65" s="884"/>
      <c r="AU65" s="874"/>
      <c r="AV65" s="884"/>
      <c r="AW65" s="884"/>
      <c r="AX65" s="884"/>
      <c r="AY65" s="874"/>
      <c r="AZ65" s="884"/>
      <c r="BA65" s="884"/>
      <c r="BB65" s="884"/>
      <c r="BC65" s="884"/>
      <c r="BD65" s="874"/>
      <c r="BE65" s="884"/>
      <c r="BF65" s="884"/>
      <c r="BG65" s="884"/>
      <c r="BH65" s="874"/>
      <c r="BI65" s="884"/>
      <c r="BJ65" s="884"/>
      <c r="BK65" s="874"/>
      <c r="BL65" s="884"/>
      <c r="BM65" s="874"/>
      <c r="BN65" s="884"/>
      <c r="BO65" s="884"/>
      <c r="BP65" s="884"/>
      <c r="BQ65" s="874"/>
      <c r="BR65" s="884"/>
      <c r="BS65" s="884"/>
      <c r="BT65" s="884"/>
      <c r="BU65" s="884"/>
      <c r="BV65" s="874"/>
      <c r="BW65" s="884"/>
      <c r="BX65" s="884"/>
      <c r="BY65" s="884"/>
      <c r="BZ65" s="874"/>
      <c r="CA65" s="884"/>
      <c r="CB65" s="884"/>
      <c r="CC65" s="884"/>
      <c r="CD65" s="884"/>
      <c r="CE65" s="874"/>
      <c r="CF65" s="884"/>
      <c r="CG65" s="884"/>
      <c r="CH65" s="884"/>
      <c r="CI65" s="874"/>
      <c r="CJ65" s="884"/>
      <c r="CK65" s="884"/>
      <c r="CL65" s="884"/>
      <c r="CM65" s="884"/>
      <c r="CN65" s="874"/>
      <c r="CO65" s="884"/>
      <c r="CP65" s="884"/>
      <c r="CQ65" s="884"/>
      <c r="CR65" s="874"/>
      <c r="CS65" s="884"/>
      <c r="CT65" s="884"/>
      <c r="CU65" s="884"/>
      <c r="CV65" s="884"/>
      <c r="CW65" s="874"/>
      <c r="CX65" s="913"/>
      <c r="CY65" s="884"/>
      <c r="CZ65" s="884"/>
      <c r="DA65" s="874"/>
      <c r="DB65" s="884"/>
      <c r="DC65" s="884"/>
      <c r="DD65" s="884"/>
      <c r="DE65" s="884"/>
      <c r="DF65" s="874"/>
      <c r="DG65" s="884"/>
      <c r="DH65" s="884"/>
      <c r="DI65" s="884"/>
      <c r="DJ65" s="874"/>
      <c r="DK65" s="884"/>
      <c r="DL65" s="884"/>
      <c r="DM65" s="874"/>
      <c r="DN65" s="884"/>
      <c r="DO65" s="874"/>
      <c r="DP65" s="884"/>
      <c r="DQ65" s="884"/>
      <c r="DR65" s="884"/>
      <c r="DS65" s="874"/>
      <c r="DT65" s="884"/>
      <c r="DU65" s="884"/>
      <c r="DV65" s="884"/>
      <c r="DW65" s="884"/>
      <c r="DX65" s="874"/>
      <c r="DY65" s="884"/>
      <c r="DZ65" s="884"/>
      <c r="EA65" s="884"/>
      <c r="EB65" s="874"/>
      <c r="EC65" s="884"/>
      <c r="ED65" s="884"/>
      <c r="EE65" s="874"/>
    </row>
    <row r="66">
      <c r="A66" s="33">
        <f>'Schedule | 2 Division (OLD)'!P42</f>
        <v>54</v>
      </c>
      <c r="B66" s="30" t="str">
        <f>'Schedule | 2 Division (OLD)'!K42</f>
        <v>PARADOX</v>
      </c>
      <c r="C66" s="906">
        <f>'Schedule | 2 Division (OLD)'!L42</f>
        <v>0</v>
      </c>
      <c r="D66" s="906">
        <f>'Schedule | 2 Division (OLD)'!N42</f>
        <v>0</v>
      </c>
      <c r="E66" s="30" t="str">
        <f>'Schedule | 2 Division (OLD)'!O42</f>
        <v>ICM</v>
      </c>
      <c r="F66" s="30" t="str">
        <f t="shared" si="36"/>
        <v/>
      </c>
      <c r="G66" s="433" t="str">
        <f t="shared" si="37"/>
        <v/>
      </c>
      <c r="H66" s="884"/>
      <c r="I66" s="884"/>
      <c r="J66" s="874"/>
      <c r="K66" s="874"/>
      <c r="L66" s="884"/>
      <c r="M66" s="884"/>
      <c r="N66" s="884"/>
      <c r="O66" s="874"/>
      <c r="P66" s="884"/>
      <c r="Q66" s="884"/>
      <c r="R66" s="884"/>
      <c r="S66" s="874"/>
      <c r="T66" s="874"/>
      <c r="U66" s="874"/>
      <c r="V66" s="884"/>
      <c r="W66" s="884"/>
      <c r="X66" s="874"/>
      <c r="Y66" s="884"/>
      <c r="Z66" s="884"/>
      <c r="AA66" s="884"/>
      <c r="AB66" s="874"/>
      <c r="AC66" s="874"/>
      <c r="AD66" s="884"/>
      <c r="AE66" s="884"/>
      <c r="AF66" s="884"/>
      <c r="AG66" s="874"/>
      <c r="AH66" s="884"/>
      <c r="AI66" s="884"/>
      <c r="AJ66" s="884"/>
      <c r="AK66" s="874"/>
      <c r="AL66" s="874"/>
      <c r="AM66" s="913"/>
      <c r="AN66" s="884"/>
      <c r="AO66" s="884"/>
      <c r="AP66" s="874"/>
      <c r="AQ66" s="884"/>
      <c r="AR66" s="884"/>
      <c r="AS66" s="874"/>
      <c r="AT66" s="884"/>
      <c r="AU66" s="874"/>
      <c r="AV66" s="884"/>
      <c r="AW66" s="884"/>
      <c r="AX66" s="884"/>
      <c r="AY66" s="874"/>
      <c r="AZ66" s="884"/>
      <c r="BA66" s="884"/>
      <c r="BB66" s="884"/>
      <c r="BC66" s="884"/>
      <c r="BD66" s="874"/>
      <c r="BE66" s="884"/>
      <c r="BF66" s="884"/>
      <c r="BG66" s="884"/>
      <c r="BH66" s="874"/>
      <c r="BI66" s="884"/>
      <c r="BJ66" s="884"/>
      <c r="BK66" s="874"/>
      <c r="BL66" s="884"/>
      <c r="BM66" s="874"/>
      <c r="BN66" s="884"/>
      <c r="BO66" s="884"/>
      <c r="BP66" s="884"/>
      <c r="BQ66" s="874"/>
      <c r="BR66" s="884"/>
      <c r="BS66" s="884"/>
      <c r="BT66" s="884"/>
      <c r="BU66" s="884"/>
      <c r="BV66" s="874"/>
      <c r="BW66" s="884"/>
      <c r="BX66" s="884"/>
      <c r="BY66" s="884"/>
      <c r="BZ66" s="874"/>
      <c r="CA66" s="884"/>
      <c r="CB66" s="884"/>
      <c r="CC66" s="884"/>
      <c r="CD66" s="884"/>
      <c r="CE66" s="874"/>
      <c r="CF66" s="884"/>
      <c r="CG66" s="884"/>
      <c r="CH66" s="884"/>
      <c r="CI66" s="874"/>
      <c r="CJ66" s="884"/>
      <c r="CK66" s="884"/>
      <c r="CL66" s="884"/>
      <c r="CM66" s="884"/>
      <c r="CN66" s="874"/>
      <c r="CO66" s="884"/>
      <c r="CP66" s="884"/>
      <c r="CQ66" s="884"/>
      <c r="CR66" s="874"/>
      <c r="CS66" s="884"/>
      <c r="CT66" s="884"/>
      <c r="CU66" s="884"/>
      <c r="CV66" s="884"/>
      <c r="CW66" s="874"/>
      <c r="CX66" s="913"/>
      <c r="CY66" s="884"/>
      <c r="CZ66" s="884"/>
      <c r="DA66" s="874"/>
      <c r="DB66" s="884"/>
      <c r="DC66" s="884"/>
      <c r="DD66" s="884"/>
      <c r="DE66" s="884"/>
      <c r="DF66" s="874"/>
      <c r="DG66" s="884"/>
      <c r="DH66" s="884"/>
      <c r="DI66" s="884"/>
      <c r="DJ66" s="874"/>
      <c r="DK66" s="884"/>
      <c r="DL66" s="884"/>
      <c r="DM66" s="874"/>
      <c r="DN66" s="884"/>
      <c r="DO66" s="874"/>
      <c r="DP66" s="884"/>
      <c r="DQ66" s="884"/>
      <c r="DR66" s="884"/>
      <c r="DS66" s="874"/>
      <c r="DT66" s="884"/>
      <c r="DU66" s="884"/>
      <c r="DV66" s="884"/>
      <c r="DW66" s="884"/>
      <c r="DX66" s="874"/>
      <c r="DY66" s="884"/>
      <c r="DZ66" s="884"/>
      <c r="EA66" s="884"/>
      <c r="EB66" s="874"/>
      <c r="EC66" s="884"/>
      <c r="ED66" s="884"/>
      <c r="EE66" s="874"/>
    </row>
    <row r="67">
      <c r="A67" s="33">
        <f>'Schedule | 2 Division (OLD)'!P43</f>
        <v>55</v>
      </c>
      <c r="B67" s="30" t="str">
        <f>'Schedule | 2 Division (OLD)'!K43</f>
        <v>DISTANCE</v>
      </c>
      <c r="C67" s="906">
        <f>'Schedule | 2 Division (OLD)'!L43</f>
        <v>0</v>
      </c>
      <c r="D67" s="906">
        <f>'Schedule | 2 Division (OLD)'!N43</f>
        <v>0</v>
      </c>
      <c r="E67" s="30" t="str">
        <f>'Schedule | 2 Division (OLD)'!O43</f>
        <v>Green Hustle</v>
      </c>
      <c r="F67" s="30" t="str">
        <f t="shared" si="36"/>
        <v/>
      </c>
      <c r="G67" s="433" t="str">
        <f t="shared" si="37"/>
        <v/>
      </c>
      <c r="H67" s="884"/>
      <c r="I67" s="884"/>
      <c r="J67" s="874"/>
      <c r="K67" s="874"/>
      <c r="L67" s="884"/>
      <c r="M67" s="884"/>
      <c r="N67" s="884"/>
      <c r="O67" s="874"/>
      <c r="P67" s="884"/>
      <c r="Q67" s="884"/>
      <c r="R67" s="884"/>
      <c r="S67" s="874"/>
      <c r="T67" s="874"/>
      <c r="U67" s="874"/>
      <c r="V67" s="884"/>
      <c r="W67" s="884"/>
      <c r="X67" s="874"/>
      <c r="Y67" s="884"/>
      <c r="Z67" s="884"/>
      <c r="AA67" s="884"/>
      <c r="AB67" s="874"/>
      <c r="AC67" s="874"/>
      <c r="AD67" s="884"/>
      <c r="AE67" s="884"/>
      <c r="AF67" s="884"/>
      <c r="AG67" s="874"/>
      <c r="AH67" s="884"/>
      <c r="AI67" s="884"/>
      <c r="AJ67" s="884"/>
      <c r="AK67" s="874"/>
      <c r="AL67" s="874"/>
      <c r="AM67" s="913"/>
      <c r="AN67" s="884"/>
      <c r="AO67" s="884"/>
      <c r="AP67" s="874"/>
      <c r="AQ67" s="884"/>
      <c r="AR67" s="884"/>
      <c r="AS67" s="874"/>
      <c r="AT67" s="884"/>
      <c r="AU67" s="874"/>
      <c r="AV67" s="884"/>
      <c r="AW67" s="884"/>
      <c r="AX67" s="884"/>
      <c r="AY67" s="874"/>
      <c r="AZ67" s="884"/>
      <c r="BA67" s="884"/>
      <c r="BB67" s="884"/>
      <c r="BC67" s="884"/>
      <c r="BD67" s="874"/>
      <c r="BE67" s="884"/>
      <c r="BF67" s="884"/>
      <c r="BG67" s="884"/>
      <c r="BH67" s="874"/>
      <c r="BI67" s="884"/>
      <c r="BJ67" s="884"/>
      <c r="BK67" s="874"/>
      <c r="BL67" s="884"/>
      <c r="BM67" s="874"/>
      <c r="BN67" s="884"/>
      <c r="BO67" s="884"/>
      <c r="BP67" s="884"/>
      <c r="BQ67" s="874"/>
      <c r="BR67" s="884"/>
      <c r="BS67" s="884"/>
      <c r="BT67" s="884"/>
      <c r="BU67" s="884"/>
      <c r="BV67" s="874"/>
      <c r="BW67" s="884"/>
      <c r="BX67" s="884"/>
      <c r="BY67" s="884"/>
      <c r="BZ67" s="874"/>
      <c r="CA67" s="884"/>
      <c r="CB67" s="884"/>
      <c r="CC67" s="884"/>
      <c r="CD67" s="884"/>
      <c r="CE67" s="874"/>
      <c r="CF67" s="884"/>
      <c r="CG67" s="884"/>
      <c r="CH67" s="884"/>
      <c r="CI67" s="874"/>
      <c r="CJ67" s="884"/>
      <c r="CK67" s="884"/>
      <c r="CL67" s="884"/>
      <c r="CM67" s="884"/>
      <c r="CN67" s="874"/>
      <c r="CO67" s="884"/>
      <c r="CP67" s="884"/>
      <c r="CQ67" s="884"/>
      <c r="CR67" s="874"/>
      <c r="CS67" s="884"/>
      <c r="CT67" s="884"/>
      <c r="CU67" s="884"/>
      <c r="CV67" s="884"/>
      <c r="CW67" s="874"/>
      <c r="CX67" s="913"/>
      <c r="CY67" s="884"/>
      <c r="CZ67" s="884"/>
      <c r="DA67" s="874"/>
      <c r="DB67" s="884"/>
      <c r="DC67" s="884"/>
      <c r="DD67" s="884"/>
      <c r="DE67" s="884"/>
      <c r="DF67" s="874"/>
      <c r="DG67" s="884"/>
      <c r="DH67" s="884"/>
      <c r="DI67" s="884"/>
      <c r="DJ67" s="874"/>
      <c r="DK67" s="884"/>
      <c r="DL67" s="884"/>
      <c r="DM67" s="874"/>
      <c r="DN67" s="884"/>
      <c r="DO67" s="874"/>
      <c r="DP67" s="884"/>
      <c r="DQ67" s="884"/>
      <c r="DR67" s="884"/>
      <c r="DS67" s="874"/>
      <c r="DT67" s="884"/>
      <c r="DU67" s="884"/>
      <c r="DV67" s="884"/>
      <c r="DW67" s="884"/>
      <c r="DX67" s="874"/>
      <c r="DY67" s="884"/>
      <c r="DZ67" s="884"/>
      <c r="EA67" s="884"/>
      <c r="EB67" s="874"/>
      <c r="EC67" s="884"/>
      <c r="ED67" s="884"/>
      <c r="EE67" s="874"/>
    </row>
    <row r="68">
      <c r="A68" s="40">
        <f>'Schedule | 2 Division (OLD)'!P44</f>
        <v>56</v>
      </c>
      <c r="B68" s="431" t="str">
        <f>'Schedule | 2 Division (OLD)'!K44</f>
        <v>Hoax</v>
      </c>
      <c r="C68" s="914">
        <f>'Schedule | 2 Division (OLD)'!L44</f>
        <v>0</v>
      </c>
      <c r="D68" s="914">
        <f>'Schedule | 2 Division (OLD)'!N44</f>
        <v>0</v>
      </c>
      <c r="E68" s="431" t="str">
        <f>'Schedule | 2 Division (OLD)'!O44</f>
        <v>ALFA</v>
      </c>
      <c r="F68" s="431" t="str">
        <f t="shared" si="36"/>
        <v/>
      </c>
      <c r="G68" s="434" t="str">
        <f t="shared" si="37"/>
        <v/>
      </c>
      <c r="H68" s="884"/>
      <c r="I68" s="884"/>
      <c r="J68" s="874"/>
      <c r="K68" s="874"/>
      <c r="L68" s="884"/>
      <c r="M68" s="884"/>
      <c r="N68" s="884"/>
      <c r="O68" s="874"/>
      <c r="P68" s="884"/>
      <c r="Q68" s="884"/>
      <c r="R68" s="884"/>
      <c r="S68" s="874"/>
      <c r="T68" s="874"/>
      <c r="U68" s="874"/>
      <c r="V68" s="884"/>
      <c r="W68" s="884"/>
      <c r="X68" s="874"/>
      <c r="Y68" s="884"/>
      <c r="Z68" s="884"/>
      <c r="AA68" s="884"/>
      <c r="AB68" s="874"/>
      <c r="AC68" s="874"/>
      <c r="AD68" s="884"/>
      <c r="AE68" s="884"/>
      <c r="AF68" s="884"/>
      <c r="AG68" s="874"/>
      <c r="AH68" s="884"/>
      <c r="AI68" s="884"/>
      <c r="AJ68" s="884"/>
      <c r="AK68" s="874"/>
      <c r="AL68" s="874"/>
      <c r="AM68" s="913"/>
      <c r="AN68" s="884"/>
      <c r="AO68" s="884"/>
      <c r="AP68" s="874"/>
      <c r="AQ68" s="884"/>
      <c r="AR68" s="884"/>
      <c r="AS68" s="874"/>
      <c r="AT68" s="884"/>
      <c r="AU68" s="874"/>
      <c r="AV68" s="884"/>
      <c r="AW68" s="884"/>
      <c r="AX68" s="884"/>
      <c r="AY68" s="874"/>
      <c r="AZ68" s="884"/>
      <c r="BA68" s="884"/>
      <c r="BB68" s="884"/>
      <c r="BC68" s="884"/>
      <c r="BD68" s="874"/>
      <c r="BE68" s="884"/>
      <c r="BF68" s="884"/>
      <c r="BG68" s="884"/>
      <c r="BH68" s="874"/>
      <c r="BI68" s="884"/>
      <c r="BJ68" s="884"/>
      <c r="BK68" s="874"/>
      <c r="BL68" s="884"/>
      <c r="BM68" s="874"/>
      <c r="BN68" s="884"/>
      <c r="BO68" s="884"/>
      <c r="BP68" s="884"/>
      <c r="BQ68" s="874"/>
      <c r="BR68" s="884"/>
      <c r="BS68" s="884"/>
      <c r="BT68" s="884"/>
      <c r="BU68" s="884"/>
      <c r="BV68" s="874"/>
      <c r="BW68" s="884"/>
      <c r="BX68" s="884"/>
      <c r="BY68" s="884"/>
      <c r="BZ68" s="874"/>
      <c r="CA68" s="884"/>
      <c r="CB68" s="884"/>
      <c r="CC68" s="884"/>
      <c r="CD68" s="884"/>
      <c r="CE68" s="874"/>
      <c r="CF68" s="884"/>
      <c r="CG68" s="884"/>
      <c r="CH68" s="884"/>
      <c r="CI68" s="874"/>
      <c r="CJ68" s="884"/>
      <c r="CK68" s="884"/>
      <c r="CL68" s="884"/>
      <c r="CM68" s="884"/>
      <c r="CN68" s="874"/>
      <c r="CO68" s="884"/>
      <c r="CP68" s="884"/>
      <c r="CQ68" s="884"/>
      <c r="CR68" s="874"/>
      <c r="CS68" s="884"/>
      <c r="CT68" s="884"/>
      <c r="CU68" s="884"/>
      <c r="CV68" s="884"/>
      <c r="CW68" s="874"/>
      <c r="CX68" s="913"/>
      <c r="CY68" s="884"/>
      <c r="CZ68" s="884"/>
      <c r="DA68" s="874"/>
      <c r="DB68" s="884"/>
      <c r="DC68" s="884"/>
      <c r="DD68" s="884"/>
      <c r="DE68" s="884"/>
      <c r="DF68" s="874"/>
      <c r="DG68" s="884"/>
      <c r="DH68" s="884"/>
      <c r="DI68" s="884"/>
      <c r="DJ68" s="874"/>
      <c r="DK68" s="884"/>
      <c r="DL68" s="884"/>
      <c r="DM68" s="874"/>
      <c r="DN68" s="884"/>
      <c r="DO68" s="874"/>
      <c r="DP68" s="884"/>
      <c r="DQ68" s="884"/>
      <c r="DR68" s="884"/>
      <c r="DS68" s="874"/>
      <c r="DT68" s="884"/>
      <c r="DU68" s="884"/>
      <c r="DV68" s="884"/>
      <c r="DW68" s="884"/>
      <c r="DX68" s="874"/>
      <c r="DY68" s="884"/>
      <c r="DZ68" s="884"/>
      <c r="EA68" s="884"/>
      <c r="EB68" s="874"/>
      <c r="EC68" s="884"/>
      <c r="ED68" s="884"/>
      <c r="EE68" s="874"/>
    </row>
  </sheetData>
  <autoFilter ref="$B$2:$I$10"/>
  <mergeCells count="296">
    <mergeCell ref="BM1:BT1"/>
    <mergeCell ref="BV1:CC1"/>
    <mergeCell ref="CE1:CL1"/>
    <mergeCell ref="CN1:CU1"/>
    <mergeCell ref="CW1:DD1"/>
    <mergeCell ref="DF1:DM1"/>
    <mergeCell ref="DO1:DV1"/>
    <mergeCell ref="DX1:EE1"/>
    <mergeCell ref="A1:I1"/>
    <mergeCell ref="K1:R1"/>
    <mergeCell ref="T1:AA1"/>
    <mergeCell ref="AC1:AJ1"/>
    <mergeCell ref="AL1:AS1"/>
    <mergeCell ref="AU1:BB1"/>
    <mergeCell ref="BD1:BK1"/>
    <mergeCell ref="AE10:AF10"/>
    <mergeCell ref="AH10:AI10"/>
    <mergeCell ref="AW10:AX10"/>
    <mergeCell ref="AZ10:BA10"/>
    <mergeCell ref="BF10:BG10"/>
    <mergeCell ref="BI10:BJ10"/>
    <mergeCell ref="BX10:BY10"/>
    <mergeCell ref="CA10:CB10"/>
    <mergeCell ref="CP10:CQ10"/>
    <mergeCell ref="CS10:CT10"/>
    <mergeCell ref="DH10:DI10"/>
    <mergeCell ref="DK10:DL10"/>
    <mergeCell ref="DQ10:DR10"/>
    <mergeCell ref="DT10:DU10"/>
    <mergeCell ref="AW20:AX20"/>
    <mergeCell ref="AZ20:BA20"/>
    <mergeCell ref="AM13:AM20"/>
    <mergeCell ref="AS13:AS20"/>
    <mergeCell ref="AU13:AU20"/>
    <mergeCell ref="AV13:AV20"/>
    <mergeCell ref="BB13:BB20"/>
    <mergeCell ref="BD13:BD20"/>
    <mergeCell ref="BE13:BE20"/>
    <mergeCell ref="BX20:BY20"/>
    <mergeCell ref="CA20:CB20"/>
    <mergeCell ref="BK13:BK20"/>
    <mergeCell ref="BM13:BM20"/>
    <mergeCell ref="BN13:BN20"/>
    <mergeCell ref="BT13:BT20"/>
    <mergeCell ref="BV13:BV20"/>
    <mergeCell ref="BW13:BW20"/>
    <mergeCell ref="CC13:CC20"/>
    <mergeCell ref="CP20:CQ20"/>
    <mergeCell ref="CS20:CT20"/>
    <mergeCell ref="CE13:CE20"/>
    <mergeCell ref="CF13:CF20"/>
    <mergeCell ref="CL13:CL20"/>
    <mergeCell ref="CN13:CN20"/>
    <mergeCell ref="CO13:CO20"/>
    <mergeCell ref="CU13:CU20"/>
    <mergeCell ref="CW13:CW20"/>
    <mergeCell ref="DH20:DI20"/>
    <mergeCell ref="DK20:DL20"/>
    <mergeCell ref="CX13:CX20"/>
    <mergeCell ref="DD13:DD20"/>
    <mergeCell ref="DF13:DF20"/>
    <mergeCell ref="DG13:DG20"/>
    <mergeCell ref="DM13:DM20"/>
    <mergeCell ref="DO13:DO20"/>
    <mergeCell ref="DP13:DP20"/>
    <mergeCell ref="K3:K10"/>
    <mergeCell ref="L3:L10"/>
    <mergeCell ref="R3:R10"/>
    <mergeCell ref="T3:T10"/>
    <mergeCell ref="U3:U10"/>
    <mergeCell ref="AA3:AA10"/>
    <mergeCell ref="AC3:AC10"/>
    <mergeCell ref="DV13:DV20"/>
    <mergeCell ref="DX13:DX20"/>
    <mergeCell ref="DY13:DY20"/>
    <mergeCell ref="EE13:EE20"/>
    <mergeCell ref="DZ20:EA20"/>
    <mergeCell ref="EC20:ED20"/>
    <mergeCell ref="V20:W20"/>
    <mergeCell ref="Y20:Z20"/>
    <mergeCell ref="AN20:AO20"/>
    <mergeCell ref="AQ20:AR20"/>
    <mergeCell ref="BF20:BG20"/>
    <mergeCell ref="BI20:BJ20"/>
    <mergeCell ref="BO20:BP20"/>
    <mergeCell ref="BR20:BS20"/>
    <mergeCell ref="CG20:CH20"/>
    <mergeCell ref="CJ20:CK20"/>
    <mergeCell ref="CY20:CZ20"/>
    <mergeCell ref="DB20:DC20"/>
    <mergeCell ref="DQ20:DR20"/>
    <mergeCell ref="DT20:DU20"/>
    <mergeCell ref="AN10:AO10"/>
    <mergeCell ref="AQ10:AR10"/>
    <mergeCell ref="AD3:AD10"/>
    <mergeCell ref="AJ3:AJ10"/>
    <mergeCell ref="AL3:AL10"/>
    <mergeCell ref="AM3:AM10"/>
    <mergeCell ref="AS3:AS10"/>
    <mergeCell ref="AU3:AU10"/>
    <mergeCell ref="AV3:AV10"/>
    <mergeCell ref="BO10:BP10"/>
    <mergeCell ref="BR10:BS10"/>
    <mergeCell ref="BB3:BB10"/>
    <mergeCell ref="BD3:BD10"/>
    <mergeCell ref="BE3:BE10"/>
    <mergeCell ref="BK3:BK10"/>
    <mergeCell ref="BM3:BM10"/>
    <mergeCell ref="BN3:BN10"/>
    <mergeCell ref="BT3:BT10"/>
    <mergeCell ref="CG10:CH10"/>
    <mergeCell ref="CJ10:CK10"/>
    <mergeCell ref="BV3:BV10"/>
    <mergeCell ref="BW3:BW10"/>
    <mergeCell ref="CC3:CC10"/>
    <mergeCell ref="CE3:CE10"/>
    <mergeCell ref="CF3:CF10"/>
    <mergeCell ref="CL3:CL10"/>
    <mergeCell ref="CN3:CN10"/>
    <mergeCell ref="CY10:CZ10"/>
    <mergeCell ref="DB10:DC10"/>
    <mergeCell ref="CO3:CO10"/>
    <mergeCell ref="CU3:CU10"/>
    <mergeCell ref="CW3:CW10"/>
    <mergeCell ref="CX3:CX10"/>
    <mergeCell ref="DD3:DD10"/>
    <mergeCell ref="DF3:DF10"/>
    <mergeCell ref="DG3:DG10"/>
    <mergeCell ref="DZ10:EA10"/>
    <mergeCell ref="EC10:ED10"/>
    <mergeCell ref="DM3:DM10"/>
    <mergeCell ref="DO3:DO10"/>
    <mergeCell ref="DP3:DP10"/>
    <mergeCell ref="DV3:DV10"/>
    <mergeCell ref="DX3:DX10"/>
    <mergeCell ref="DY3:DY10"/>
    <mergeCell ref="EE3:EE10"/>
    <mergeCell ref="AE20:AF20"/>
    <mergeCell ref="AH20:AI20"/>
    <mergeCell ref="V10:W10"/>
    <mergeCell ref="Y10:Z10"/>
    <mergeCell ref="AA13:AA20"/>
    <mergeCell ref="AC13:AC20"/>
    <mergeCell ref="AD13:AD20"/>
    <mergeCell ref="AJ13:AJ20"/>
    <mergeCell ref="AL13:AL20"/>
    <mergeCell ref="AE30:AF30"/>
    <mergeCell ref="AH30:AI30"/>
    <mergeCell ref="AA23:AA30"/>
    <mergeCell ref="AC23:AC30"/>
    <mergeCell ref="AD23:AD30"/>
    <mergeCell ref="AJ23:AJ30"/>
    <mergeCell ref="AL23:AL30"/>
    <mergeCell ref="AM23:AM30"/>
    <mergeCell ref="AS23:AS30"/>
    <mergeCell ref="BF40:BG40"/>
    <mergeCell ref="BI40:BJ40"/>
    <mergeCell ref="AU33:AU40"/>
    <mergeCell ref="AV33:AV40"/>
    <mergeCell ref="BB33:BB40"/>
    <mergeCell ref="BD33:BD40"/>
    <mergeCell ref="BE33:BE40"/>
    <mergeCell ref="BK33:BK40"/>
    <mergeCell ref="BM33:BM40"/>
    <mergeCell ref="BX40:BY40"/>
    <mergeCell ref="CA40:CB40"/>
    <mergeCell ref="BN33:BN40"/>
    <mergeCell ref="BT33:BT40"/>
    <mergeCell ref="BV33:BV40"/>
    <mergeCell ref="BW33:BW40"/>
    <mergeCell ref="CC33:CC40"/>
    <mergeCell ref="CE33:CE40"/>
    <mergeCell ref="CF33:CF40"/>
    <mergeCell ref="CY40:CZ40"/>
    <mergeCell ref="DB40:DC40"/>
    <mergeCell ref="CL33:CL40"/>
    <mergeCell ref="CN33:CN40"/>
    <mergeCell ref="CO33:CO40"/>
    <mergeCell ref="CU33:CU40"/>
    <mergeCell ref="CW33:CW40"/>
    <mergeCell ref="CX33:CX40"/>
    <mergeCell ref="DD33:DD40"/>
    <mergeCell ref="DQ40:DR40"/>
    <mergeCell ref="DT40:DU40"/>
    <mergeCell ref="DF33:DF40"/>
    <mergeCell ref="DG33:DG40"/>
    <mergeCell ref="DM33:DM40"/>
    <mergeCell ref="DO33:DO40"/>
    <mergeCell ref="DP33:DP40"/>
    <mergeCell ref="DV33:DV40"/>
    <mergeCell ref="DX33:DX40"/>
    <mergeCell ref="DY33:DY40"/>
    <mergeCell ref="EE33:EE40"/>
    <mergeCell ref="DZ40:EA40"/>
    <mergeCell ref="EC40:ED40"/>
    <mergeCell ref="M40:N40"/>
    <mergeCell ref="P40:Q40"/>
    <mergeCell ref="V40:W40"/>
    <mergeCell ref="Y40:Z40"/>
    <mergeCell ref="AE40:AF40"/>
    <mergeCell ref="AH40:AI40"/>
    <mergeCell ref="AW40:AX40"/>
    <mergeCell ref="AZ40:BA40"/>
    <mergeCell ref="BO40:BP40"/>
    <mergeCell ref="BR40:BS40"/>
    <mergeCell ref="CG40:CH40"/>
    <mergeCell ref="CJ40:CK40"/>
    <mergeCell ref="CP40:CQ40"/>
    <mergeCell ref="CS40:CT40"/>
    <mergeCell ref="DH40:DI40"/>
    <mergeCell ref="DK40:DL40"/>
    <mergeCell ref="BF30:BG30"/>
    <mergeCell ref="BI30:BJ30"/>
    <mergeCell ref="AU23:AU30"/>
    <mergeCell ref="AV23:AV30"/>
    <mergeCell ref="BB23:BB30"/>
    <mergeCell ref="BD23:BD30"/>
    <mergeCell ref="BE23:BE30"/>
    <mergeCell ref="BK23:BK30"/>
    <mergeCell ref="BM23:BM30"/>
    <mergeCell ref="BX30:BY30"/>
    <mergeCell ref="CA30:CB30"/>
    <mergeCell ref="BN23:BN30"/>
    <mergeCell ref="BT23:BT30"/>
    <mergeCell ref="BV23:BV30"/>
    <mergeCell ref="BW23:BW30"/>
    <mergeCell ref="CC23:CC30"/>
    <mergeCell ref="CE23:CE30"/>
    <mergeCell ref="CF23:CF30"/>
    <mergeCell ref="CY30:CZ30"/>
    <mergeCell ref="DB30:DC30"/>
    <mergeCell ref="CL23:CL30"/>
    <mergeCell ref="CN23:CN30"/>
    <mergeCell ref="CO23:CO30"/>
    <mergeCell ref="CU23:CU30"/>
    <mergeCell ref="CW23:CW30"/>
    <mergeCell ref="CX23:CX30"/>
    <mergeCell ref="DD23:DD30"/>
    <mergeCell ref="DQ30:DR30"/>
    <mergeCell ref="DT30:DU30"/>
    <mergeCell ref="DF23:DF30"/>
    <mergeCell ref="DG23:DG30"/>
    <mergeCell ref="DM23:DM30"/>
    <mergeCell ref="DO23:DO30"/>
    <mergeCell ref="DP23:DP30"/>
    <mergeCell ref="DV23:DV30"/>
    <mergeCell ref="DX23:DX30"/>
    <mergeCell ref="M10:N10"/>
    <mergeCell ref="P10:Q10"/>
    <mergeCell ref="A11:G11"/>
    <mergeCell ref="K13:K20"/>
    <mergeCell ref="R13:R20"/>
    <mergeCell ref="T13:T20"/>
    <mergeCell ref="U13:U20"/>
    <mergeCell ref="P20:Q20"/>
    <mergeCell ref="DY23:DY30"/>
    <mergeCell ref="EE23:EE30"/>
    <mergeCell ref="DZ30:EA30"/>
    <mergeCell ref="EC30:ED30"/>
    <mergeCell ref="V30:W30"/>
    <mergeCell ref="Y30:Z30"/>
    <mergeCell ref="AN30:AO30"/>
    <mergeCell ref="AQ30:AR30"/>
    <mergeCell ref="AW30:AX30"/>
    <mergeCell ref="AZ30:BA30"/>
    <mergeCell ref="BO30:BP30"/>
    <mergeCell ref="BR30:BS30"/>
    <mergeCell ref="CG30:CH30"/>
    <mergeCell ref="CJ30:CK30"/>
    <mergeCell ref="CP30:CQ30"/>
    <mergeCell ref="CS30:CT30"/>
    <mergeCell ref="DH30:DI30"/>
    <mergeCell ref="DK30:DL30"/>
    <mergeCell ref="L13:L20"/>
    <mergeCell ref="M20:N20"/>
    <mergeCell ref="K23:K30"/>
    <mergeCell ref="L23:L30"/>
    <mergeCell ref="R23:R30"/>
    <mergeCell ref="T23:T30"/>
    <mergeCell ref="U23:U30"/>
    <mergeCell ref="M30:N30"/>
    <mergeCell ref="P30:Q30"/>
    <mergeCell ref="K33:K40"/>
    <mergeCell ref="L33:L40"/>
    <mergeCell ref="R33:R40"/>
    <mergeCell ref="T33:T40"/>
    <mergeCell ref="U33:U40"/>
    <mergeCell ref="AN40:AO40"/>
    <mergeCell ref="AQ40:AR40"/>
    <mergeCell ref="AA33:AA40"/>
    <mergeCell ref="AC33:AC40"/>
    <mergeCell ref="AD33:AD40"/>
    <mergeCell ref="AJ33:AJ40"/>
    <mergeCell ref="AL33:AL40"/>
    <mergeCell ref="AM33:AM40"/>
    <mergeCell ref="AS33:AS40"/>
  </mergeCells>
  <dataValidations>
    <dataValidation type="list" allowBlank="1" showErrorMessage="1" sqref="M3:M9 V3:V9 AE3:AE9 AN3:AN9 AW3:AW9 BF3:BF9 BO3:BO9 BX3:BX9 CG3:CG9 CP3:CP9 CY3:CY9 DH3:DH9 DQ3:DQ9 DZ3:DZ9 M13:M19 V13:V19 AE13:AE19 AN13:AN19 AW13:AW19 BF13:BF19 BO13:BO19 BX13:BX19 CG13:CG19 CP13:CP19 CY13:CY19 DH13:DH19 DQ13:DQ19 DZ13:DZ19 M23:M29 V23:V29 AE23:AE29 AN23:AN29 AW23:AW29 BF23:BF29 BO23:BO29 BX23:BX29 CG23:CG29 CP23:CP29 CY23:CY29 DH23:DH29 DQ23:DQ29 DZ23:DZ29 M33:M39 V33:V39 AE33:AE39 AN33:AN39 AW33:AW39 BF33:BF39 BO33:BO39 BX33:BX39 CG33:CG39 CP33:CP39 CY33:CY39 DH33:DH39 DQ33:DQ39 DZ33:DZ39">
      <formula1>"Attack,Defence"</formula1>
    </dataValidation>
    <dataValidation type="list" allowBlank="1" showErrorMessage="1" sqref="O3:O9 X3:X9 AG3:AG9 AP3:AP9 AY3:AY9 BH3:BH9 BQ3:BQ9 BZ3:BZ9 CI3:CI9 CR3:CR9 DA3:DA9 DJ3:DJ9 DS3:DS9 EB3:EB9 O13:O19 X13:X19 AG13:AG19 AP13:AP19 AY13:AY19 BH13:BH19 BQ13:BQ19 BZ13:BZ19 CI13:CI19 CR13:CR19 DA13:DA19 DJ13:DJ19 DS13:DS19 EB13:EB19 O23:O29 X23:X29 AG23:AG29 AP23:AP29 AY23:AY29 BH23:BH29 BQ23:BQ29 BZ23:BZ29 CI23:CI29 CR23:CR29 DA23:DA29 DJ23:DJ29 DS23:DS29 EB23:EB29 O33:O39 X33:X39 AG33:AG39 AP33:AP39 AY33:AY39 BH33:BH39 BQ33:BQ39 BZ33:BZ39 CI33:CI39 CR33:CR39 DA33:DA39 DJ33:DJ39 DS33:DS39 EB33:EB39">
      <formula1>"Химмельсдорф,Рудники,Песчаная река,Прохоровка,Карелия,Руинберг,Ласвилль,Утёс,Затерянный город"</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2.0" topLeftCell="A3" activePane="bottomLeft" state="frozen"/>
      <selection activeCell="B4" sqref="B4" pane="bottomLeft"/>
    </sheetView>
  </sheetViews>
  <sheetFormatPr customHeight="1" defaultColWidth="11.22" defaultRowHeight="15.75"/>
  <cols>
    <col customWidth="1" min="1" max="1" width="6.67"/>
    <col customWidth="1" min="2" max="2" width="22.33"/>
    <col customWidth="1" min="3" max="3" width="19.33"/>
  </cols>
  <sheetData>
    <row r="1" ht="24.75" customHeight="1">
      <c r="A1" s="448"/>
      <c r="B1" s="448"/>
      <c r="C1" s="915"/>
      <c r="D1" s="30"/>
      <c r="E1" s="916" t="s">
        <v>833</v>
      </c>
      <c r="F1" s="8"/>
      <c r="G1" s="8"/>
      <c r="H1" s="8"/>
      <c r="I1" s="8"/>
      <c r="J1" s="8"/>
      <c r="K1" s="8"/>
      <c r="L1" s="8"/>
      <c r="M1" s="8"/>
      <c r="N1" s="8"/>
      <c r="O1" s="8"/>
      <c r="P1" s="68"/>
    </row>
    <row r="2" ht="24.75" customHeight="1">
      <c r="A2" s="4" t="s">
        <v>661</v>
      </c>
      <c r="B2" s="6" t="s">
        <v>115</v>
      </c>
      <c r="C2" s="915"/>
      <c r="D2" s="30"/>
      <c r="E2" s="917" t="s">
        <v>801</v>
      </c>
      <c r="F2" s="454"/>
      <c r="G2" s="454"/>
      <c r="H2" s="454"/>
      <c r="I2" s="454"/>
      <c r="J2" s="455"/>
      <c r="K2" s="917" t="s">
        <v>802</v>
      </c>
      <c r="L2" s="454"/>
      <c r="M2" s="454"/>
      <c r="N2" s="454"/>
      <c r="O2" s="454"/>
      <c r="P2" s="455"/>
    </row>
    <row r="3">
      <c r="A3" s="26">
        <v>1.0</v>
      </c>
      <c r="B3" s="832" t="s">
        <v>834</v>
      </c>
      <c r="C3" s="915"/>
      <c r="D3" s="918"/>
      <c r="E3" s="919">
        <v>46101.0</v>
      </c>
      <c r="F3" s="22"/>
      <c r="G3" s="22"/>
      <c r="H3" s="22"/>
      <c r="I3" s="22"/>
      <c r="J3" s="93"/>
      <c r="K3" s="920">
        <v>46128.0</v>
      </c>
      <c r="L3" s="22"/>
      <c r="M3" s="22"/>
      <c r="N3" s="22"/>
      <c r="O3" s="22"/>
      <c r="P3" s="144"/>
    </row>
    <row r="4">
      <c r="A4" s="26">
        <v>2.0</v>
      </c>
      <c r="B4" s="833" t="s">
        <v>835</v>
      </c>
      <c r="C4" s="921"/>
      <c r="D4" s="911"/>
      <c r="E4" s="13" t="s">
        <v>258</v>
      </c>
      <c r="F4" s="922" t="s">
        <v>259</v>
      </c>
      <c r="G4" s="438" t="s">
        <v>260</v>
      </c>
      <c r="H4" s="922" t="s">
        <v>259</v>
      </c>
      <c r="I4" s="438" t="s">
        <v>261</v>
      </c>
      <c r="J4" s="873" t="s">
        <v>263</v>
      </c>
      <c r="K4" s="923" t="s">
        <v>805</v>
      </c>
      <c r="L4" s="922" t="s">
        <v>259</v>
      </c>
      <c r="M4" s="924" t="s">
        <v>806</v>
      </c>
      <c r="N4" s="922" t="s">
        <v>259</v>
      </c>
      <c r="O4" s="924" t="s">
        <v>807</v>
      </c>
      <c r="P4" s="925" t="s">
        <v>808</v>
      </c>
    </row>
    <row r="5">
      <c r="A5" s="26">
        <v>3.0</v>
      </c>
      <c r="B5" s="832" t="s">
        <v>836</v>
      </c>
      <c r="C5" s="921"/>
      <c r="D5" s="30"/>
      <c r="E5" s="13" t="str">
        <f>$B$3</f>
        <v>RISE</v>
      </c>
      <c r="F5" s="922">
        <f>'Matches | 3 Division 1 (OLD)'!M10</f>
        <v>0</v>
      </c>
      <c r="G5" s="926">
        <v>0.75</v>
      </c>
      <c r="H5" s="927">
        <f>'Matches | 3 Division 1 (OLD)'!P10</f>
        <v>0</v>
      </c>
      <c r="I5" s="438" t="str">
        <f>$B$10</f>
        <v>SAPPIAMO</v>
      </c>
      <c r="J5" s="873">
        <v>1.0</v>
      </c>
      <c r="K5" s="438" t="str">
        <f>$B$10</f>
        <v>SAPPIAMO</v>
      </c>
      <c r="L5" s="922">
        <f>'Matches | 3 Division 1 (OLD)'!BX10</f>
        <v>0</v>
      </c>
      <c r="M5" s="926">
        <v>0.75</v>
      </c>
      <c r="N5" s="922">
        <f>'Matches | 3 Division 1 (OLD)'!CA10</f>
        <v>0</v>
      </c>
      <c r="O5" s="438" t="str">
        <f>$B$3</f>
        <v>RISE</v>
      </c>
      <c r="P5" s="873">
        <v>29.0</v>
      </c>
    </row>
    <row r="6">
      <c r="A6" s="26">
        <v>4.0</v>
      </c>
      <c r="B6" s="832" t="s">
        <v>837</v>
      </c>
      <c r="C6" s="921"/>
      <c r="D6" s="928"/>
      <c r="E6" s="929" t="str">
        <f>$B$4</f>
        <v>BOGATYRI</v>
      </c>
      <c r="F6" s="909">
        <f>'Matches | 3 Division 1 (OLD)'!M20</f>
        <v>0</v>
      </c>
      <c r="G6" s="930">
        <v>0.8125</v>
      </c>
      <c r="H6" s="447">
        <f>'Matches | 3 Division 1 (OLD)'!P20</f>
        <v>0</v>
      </c>
      <c r="I6" s="909" t="str">
        <f>$B$9</f>
        <v>ACHIEVERS</v>
      </c>
      <c r="J6" s="69">
        <v>2.0</v>
      </c>
      <c r="K6" s="60" t="str">
        <f>$B$9</f>
        <v>ACHIEVERS</v>
      </c>
      <c r="L6" s="909">
        <f>'Matches | 3 Division 1 (OLD)'!BX20</f>
        <v>0</v>
      </c>
      <c r="M6" s="930">
        <v>0.8125</v>
      </c>
      <c r="N6" s="909">
        <f>'Matches | 3 Division 1 (OLD)'!CA20</f>
        <v>0</v>
      </c>
      <c r="O6" s="931" t="str">
        <f>$B$4</f>
        <v>BOGATYRI</v>
      </c>
      <c r="P6" s="433">
        <v>30.0</v>
      </c>
    </row>
    <row r="7">
      <c r="A7" s="26">
        <v>5.0</v>
      </c>
      <c r="B7" s="832" t="s">
        <v>838</v>
      </c>
      <c r="C7" s="921"/>
      <c r="D7" s="30"/>
      <c r="E7" s="33" t="str">
        <f>$B$5</f>
        <v>КОРМ 2</v>
      </c>
      <c r="F7" s="909">
        <f>'Matches | 3 Division 1 (OLD)'!M30</f>
        <v>0</v>
      </c>
      <c r="G7" s="930">
        <v>0.875</v>
      </c>
      <c r="H7" s="447">
        <f>'Matches | 3 Division 1 (OLD)'!P30</f>
        <v>0</v>
      </c>
      <c r="I7" s="909" t="str">
        <f>$B$8</f>
        <v>HEAX</v>
      </c>
      <c r="J7" s="69">
        <v>3.0</v>
      </c>
      <c r="K7" s="60" t="str">
        <f>$B$8</f>
        <v>HEAX</v>
      </c>
      <c r="L7" s="909">
        <f>'Matches | 3 Division 1 (OLD)'!BX30</f>
        <v>0</v>
      </c>
      <c r="M7" s="930">
        <v>0.875</v>
      </c>
      <c r="N7" s="909">
        <f>'Matches | 3 Division 1 (OLD)'!CA30</f>
        <v>0</v>
      </c>
      <c r="O7" s="60" t="str">
        <f>$B$5</f>
        <v>КОРМ 2</v>
      </c>
      <c r="P7" s="433">
        <v>31.0</v>
      </c>
    </row>
    <row r="8">
      <c r="A8" s="26">
        <v>6.0</v>
      </c>
      <c r="B8" s="832" t="s">
        <v>839</v>
      </c>
      <c r="C8" s="921"/>
      <c r="D8" s="30"/>
      <c r="E8" s="40" t="str">
        <f>$B$6</f>
        <v>ALTF4</v>
      </c>
      <c r="F8" s="932">
        <f>'Matches | 3 Division 1 (OLD)'!M40</f>
        <v>0</v>
      </c>
      <c r="G8" s="933">
        <v>0.9375</v>
      </c>
      <c r="H8" s="934">
        <f>'Matches | 3 Division 1 (OLD)'!P40</f>
        <v>0</v>
      </c>
      <c r="I8" s="932" t="str">
        <f>$B$7</f>
        <v>DEACUERDO</v>
      </c>
      <c r="J8" s="95">
        <v>4.0</v>
      </c>
      <c r="K8" s="63" t="str">
        <f>$B$7</f>
        <v>DEACUERDO</v>
      </c>
      <c r="L8" s="932">
        <f>'Matches | 3 Division 1 (OLD)'!BX40</f>
        <v>0</v>
      </c>
      <c r="M8" s="933">
        <v>0.9375</v>
      </c>
      <c r="N8" s="932">
        <f>'Matches | 3 Division 1 (OLD)'!CA40</f>
        <v>0</v>
      </c>
      <c r="O8" s="63" t="str">
        <f>$B$6</f>
        <v>ALTF4</v>
      </c>
      <c r="P8" s="434">
        <v>32.0</v>
      </c>
    </row>
    <row r="9">
      <c r="A9" s="26">
        <v>7.0</v>
      </c>
      <c r="B9" s="832" t="s">
        <v>840</v>
      </c>
      <c r="C9" s="921"/>
      <c r="D9" s="918"/>
      <c r="E9" s="919">
        <v>46102.0</v>
      </c>
      <c r="F9" s="22"/>
      <c r="G9" s="22"/>
      <c r="H9" s="22"/>
      <c r="I9" s="22"/>
      <c r="J9" s="93"/>
      <c r="K9" s="920">
        <v>46129.0</v>
      </c>
      <c r="L9" s="22"/>
      <c r="M9" s="22"/>
      <c r="N9" s="22"/>
      <c r="O9" s="22"/>
      <c r="P9" s="144"/>
    </row>
    <row r="10">
      <c r="A10" s="842">
        <v>8.0</v>
      </c>
      <c r="B10" s="843" t="s">
        <v>841</v>
      </c>
      <c r="C10" s="921"/>
      <c r="D10" s="911"/>
      <c r="E10" s="13" t="s">
        <v>258</v>
      </c>
      <c r="F10" s="922" t="s">
        <v>259</v>
      </c>
      <c r="G10" s="438" t="s">
        <v>260</v>
      </c>
      <c r="H10" s="922" t="s">
        <v>259</v>
      </c>
      <c r="I10" s="438" t="s">
        <v>261</v>
      </c>
      <c r="J10" s="873" t="s">
        <v>263</v>
      </c>
      <c r="K10" s="923" t="s">
        <v>805</v>
      </c>
      <c r="L10" s="922" t="s">
        <v>259</v>
      </c>
      <c r="M10" s="924" t="s">
        <v>806</v>
      </c>
      <c r="N10" s="922" t="s">
        <v>259</v>
      </c>
      <c r="O10" s="924" t="s">
        <v>807</v>
      </c>
      <c r="P10" s="925" t="s">
        <v>808</v>
      </c>
    </row>
    <row r="11">
      <c r="A11" s="921"/>
      <c r="B11" s="921"/>
      <c r="C11" s="921"/>
      <c r="D11" s="30"/>
      <c r="E11" s="13" t="str">
        <f>$B$6</f>
        <v>ALTF4</v>
      </c>
      <c r="F11" s="922">
        <f>'Matches | 3 Division 1 (OLD)'!V10</f>
        <v>0</v>
      </c>
      <c r="G11" s="926">
        <v>0.625</v>
      </c>
      <c r="H11" s="922">
        <f>'Matches | 3 Division 1 (OLD)'!Y10</f>
        <v>0</v>
      </c>
      <c r="I11" s="438" t="str">
        <f>$B$8</f>
        <v>HEAX</v>
      </c>
      <c r="J11" s="438">
        <v>5.0</v>
      </c>
      <c r="K11" s="13" t="str">
        <f>$B$8</f>
        <v>HEAX</v>
      </c>
      <c r="L11" s="922">
        <f>'Matches | 3 Division 1 (OLD)'!CG10</f>
        <v>0</v>
      </c>
      <c r="M11" s="926">
        <v>0.75</v>
      </c>
      <c r="N11" s="922">
        <f>'Matches | 3 Division 1 (OLD)'!CJ10</f>
        <v>0</v>
      </c>
      <c r="O11" s="438" t="str">
        <f>$B$6</f>
        <v>ALTF4</v>
      </c>
      <c r="P11" s="873">
        <v>33.0</v>
      </c>
    </row>
    <row r="12">
      <c r="A12" s="447"/>
      <c r="B12" s="447"/>
      <c r="C12" s="921"/>
      <c r="D12" s="60"/>
      <c r="E12" s="56" t="str">
        <f>$B$5</f>
        <v>КОРМ 2</v>
      </c>
      <c r="F12" s="909">
        <f>'Matches | 3 Division 1 (OLD)'!V20</f>
        <v>0</v>
      </c>
      <c r="G12" s="930">
        <v>0.6875</v>
      </c>
      <c r="H12" s="909">
        <f>'Matches | 3 Division 1 (OLD)'!Y20</f>
        <v>0</v>
      </c>
      <c r="I12" s="60" t="str">
        <f>$B$7</f>
        <v>DEACUERDO</v>
      </c>
      <c r="J12" s="30">
        <v>6.0</v>
      </c>
      <c r="K12" s="56" t="str">
        <f>$B$3</f>
        <v>RISE</v>
      </c>
      <c r="L12" s="909">
        <f>'Matches | 3 Division 1 (OLD)'!CG20</f>
        <v>0</v>
      </c>
      <c r="M12" s="930">
        <v>0.8125</v>
      </c>
      <c r="N12" s="909">
        <f>'Matches | 3 Division 1 (OLD)'!CJ20</f>
        <v>0</v>
      </c>
      <c r="O12" s="60" t="str">
        <f>$B$9</f>
        <v>ACHIEVERS</v>
      </c>
      <c r="P12" s="433">
        <v>34.0</v>
      </c>
    </row>
    <row r="13">
      <c r="A13" s="447"/>
      <c r="B13" s="447"/>
      <c r="C13" s="921"/>
      <c r="D13" s="931"/>
      <c r="E13" s="108" t="str">
        <f>$B$4</f>
        <v>BOGATYRI</v>
      </c>
      <c r="F13" s="909">
        <f>'Matches | 3 Division 1 (OLD)'!V30</f>
        <v>0</v>
      </c>
      <c r="G13" s="930">
        <v>0.75</v>
      </c>
      <c r="H13" s="909">
        <f>'Matches | 3 Division 1 (OLD)'!Y30</f>
        <v>0</v>
      </c>
      <c r="I13" s="60" t="str">
        <f>$B$10</f>
        <v>SAPPIAMO</v>
      </c>
      <c r="J13" s="30">
        <v>7.0</v>
      </c>
      <c r="K13" s="56" t="str">
        <f>$B$7</f>
        <v>DEACUERDO</v>
      </c>
      <c r="L13" s="909">
        <f>'Matches | 3 Division 1 (OLD)'!CG30</f>
        <v>0</v>
      </c>
      <c r="M13" s="930">
        <v>0.875</v>
      </c>
      <c r="N13" s="909">
        <f>'Matches | 3 Division 1 (OLD)'!CJ30</f>
        <v>0</v>
      </c>
      <c r="O13" s="60" t="str">
        <f>$B$5</f>
        <v>КОРМ 2</v>
      </c>
      <c r="P13" s="433">
        <v>35.0</v>
      </c>
    </row>
    <row r="14">
      <c r="A14" s="900" t="s">
        <v>103</v>
      </c>
      <c r="B14" s="935" t="s">
        <v>115</v>
      </c>
      <c r="C14" s="936" t="s">
        <v>674</v>
      </c>
      <c r="D14" s="60"/>
      <c r="E14" s="62" t="str">
        <f>$B$9</f>
        <v>ACHIEVERS</v>
      </c>
      <c r="F14" s="932">
        <f>'Matches | 3 Division 1 (OLD)'!V40</f>
        <v>0</v>
      </c>
      <c r="G14" s="933">
        <v>0.8125</v>
      </c>
      <c r="H14" s="932">
        <f>'Matches | 3 Division 1 (OLD)'!Y40</f>
        <v>0</v>
      </c>
      <c r="I14" s="63" t="str">
        <f>$B$3</f>
        <v>RISE</v>
      </c>
      <c r="J14" s="431">
        <v>8.0</v>
      </c>
      <c r="K14" s="62" t="str">
        <f>$B$10</f>
        <v>SAPPIAMO</v>
      </c>
      <c r="L14" s="932">
        <f>'Matches | 3 Division 1 (OLD)'!CG40</f>
        <v>0</v>
      </c>
      <c r="M14" s="933">
        <v>0.9375</v>
      </c>
      <c r="N14" s="932">
        <f>'Matches | 3 Division 1 (OLD)'!CJ40</f>
        <v>0</v>
      </c>
      <c r="O14" s="937" t="str">
        <f>$B$4</f>
        <v>BOGATYRI</v>
      </c>
      <c r="P14" s="434">
        <v>36.0</v>
      </c>
    </row>
    <row r="15">
      <c r="A15" s="13">
        <v>1.0</v>
      </c>
      <c r="B15" s="52"/>
      <c r="C15" s="171" t="s">
        <v>40</v>
      </c>
      <c r="D15" s="918"/>
      <c r="E15" s="919">
        <v>46108.0</v>
      </c>
      <c r="F15" s="22"/>
      <c r="G15" s="22"/>
      <c r="H15" s="22"/>
      <c r="I15" s="22"/>
      <c r="J15" s="93"/>
      <c r="K15" s="919">
        <v>46136.0</v>
      </c>
      <c r="L15" s="22"/>
      <c r="M15" s="22"/>
      <c r="N15" s="22"/>
      <c r="O15" s="22"/>
      <c r="P15" s="144"/>
    </row>
    <row r="16">
      <c r="A16" s="33">
        <v>2.0</v>
      </c>
      <c r="B16" s="60"/>
      <c r="C16" s="373" t="s">
        <v>817</v>
      </c>
      <c r="D16" s="911"/>
      <c r="E16" s="13" t="s">
        <v>258</v>
      </c>
      <c r="F16" s="922" t="s">
        <v>259</v>
      </c>
      <c r="G16" s="438" t="s">
        <v>260</v>
      </c>
      <c r="H16" s="922" t="s">
        <v>259</v>
      </c>
      <c r="I16" s="438" t="s">
        <v>261</v>
      </c>
      <c r="J16" s="873" t="s">
        <v>263</v>
      </c>
      <c r="K16" s="923" t="s">
        <v>805</v>
      </c>
      <c r="L16" s="922" t="s">
        <v>259</v>
      </c>
      <c r="M16" s="924" t="s">
        <v>806</v>
      </c>
      <c r="N16" s="922" t="s">
        <v>259</v>
      </c>
      <c r="O16" s="924" t="s">
        <v>807</v>
      </c>
      <c r="P16" s="925" t="s">
        <v>808</v>
      </c>
    </row>
    <row r="17">
      <c r="A17" s="938">
        <v>3.0</v>
      </c>
      <c r="B17" s="117"/>
      <c r="C17" s="939" t="s">
        <v>817</v>
      </c>
      <c r="D17" s="30"/>
      <c r="E17" s="13" t="str">
        <f>$B$5</f>
        <v>КОРМ 2</v>
      </c>
      <c r="F17" s="922">
        <f>'Matches | 3 Division 1 (OLD)'!AE10</f>
        <v>0</v>
      </c>
      <c r="G17" s="926">
        <v>0.75</v>
      </c>
      <c r="H17" s="922">
        <f>'Matches | 3 Division 1 (OLD)'!AH10</f>
        <v>0</v>
      </c>
      <c r="I17" s="438" t="str">
        <f>$B$9</f>
        <v>ACHIEVERS</v>
      </c>
      <c r="J17" s="873">
        <v>9.0</v>
      </c>
      <c r="K17" s="438" t="str">
        <f>$B$9</f>
        <v>ACHIEVERS</v>
      </c>
      <c r="L17" s="922">
        <f>'Matches | 3 Division 1 (OLD)'!CP10</f>
        <v>0</v>
      </c>
      <c r="M17" s="926">
        <v>0.75</v>
      </c>
      <c r="N17" s="922">
        <f>'Matches | 3 Division 1 (OLD)'!CS20</f>
        <v>0</v>
      </c>
      <c r="O17" s="438" t="str">
        <f>$B$5</f>
        <v>КОРМ 2</v>
      </c>
      <c r="P17" s="873">
        <v>37.0</v>
      </c>
    </row>
    <row r="18">
      <c r="A18" s="33">
        <v>4.0</v>
      </c>
      <c r="B18" s="60"/>
      <c r="C18" s="433" t="s">
        <v>816</v>
      </c>
      <c r="D18" s="60"/>
      <c r="E18" s="56" t="str">
        <f>$B$6</f>
        <v>ALTF4</v>
      </c>
      <c r="F18" s="909">
        <f>'Matches | 3 Division 1 (OLD)'!AE20</f>
        <v>0</v>
      </c>
      <c r="G18" s="930">
        <v>0.8125</v>
      </c>
      <c r="H18" s="909">
        <f>'Matches | 3 Division 1 (OLD)'!AH20</f>
        <v>0</v>
      </c>
      <c r="I18" s="60" t="str">
        <f>$B$10</f>
        <v>SAPPIAMO</v>
      </c>
      <c r="J18" s="433">
        <v>10.0</v>
      </c>
      <c r="K18" s="931" t="str">
        <f>$B$4</f>
        <v>BOGATYRI</v>
      </c>
      <c r="L18" s="909">
        <f>'Matches | 3 Division 1 (OLD)'!CP20</f>
        <v>0</v>
      </c>
      <c r="M18" s="930">
        <v>0.8125</v>
      </c>
      <c r="N18" s="909">
        <f>'Matches | 3 Division 1 (OLD)'!CS20</f>
        <v>0</v>
      </c>
      <c r="O18" s="60" t="str">
        <f>$B$7</f>
        <v>DEACUERDO</v>
      </c>
      <c r="P18" s="433">
        <v>38.0</v>
      </c>
    </row>
    <row r="19">
      <c r="A19" s="30">
        <v>5.0</v>
      </c>
      <c r="B19" s="60"/>
      <c r="C19" s="373" t="s">
        <v>842</v>
      </c>
      <c r="D19" s="60"/>
      <c r="E19" s="56" t="str">
        <f>$B$8</f>
        <v>HEAX</v>
      </c>
      <c r="F19" s="909">
        <f>'Matches | 3 Division 1 (OLD)'!AE30</f>
        <v>0</v>
      </c>
      <c r="G19" s="930">
        <v>0.875</v>
      </c>
      <c r="H19" s="909">
        <f>'Matches | 3 Division 1 (OLD)'!AH30</f>
        <v>0</v>
      </c>
      <c r="I19" s="60" t="str">
        <f>$B$3</f>
        <v>RISE</v>
      </c>
      <c r="J19" s="433">
        <v>11.0</v>
      </c>
      <c r="K19" s="60" t="str">
        <f>$B$10</f>
        <v>SAPPIAMO</v>
      </c>
      <c r="L19" s="909">
        <f>'Matches | 3 Division 1 (OLD)'!CP30</f>
        <v>0</v>
      </c>
      <c r="M19" s="930">
        <v>0.875</v>
      </c>
      <c r="N19" s="909">
        <f>'Matches | 3 Division 1 (OLD)'!CS30</f>
        <v>0</v>
      </c>
      <c r="O19" s="60" t="str">
        <f>$B$6</f>
        <v>ALTF4</v>
      </c>
      <c r="P19" s="433">
        <v>39.0</v>
      </c>
    </row>
    <row r="20">
      <c r="A20" s="940">
        <v>6.0</v>
      </c>
      <c r="B20" s="117"/>
      <c r="C20" s="939" t="s">
        <v>842</v>
      </c>
      <c r="D20" s="60"/>
      <c r="E20" s="62" t="str">
        <f>$B$7</f>
        <v>DEACUERDO</v>
      </c>
      <c r="F20" s="932">
        <f>'Matches | 3 Division 1 (OLD)'!AE40</f>
        <v>0</v>
      </c>
      <c r="G20" s="933">
        <v>0.9375</v>
      </c>
      <c r="H20" s="932">
        <f>'Matches | 3 Division 1 (OLD)'!AH40</f>
        <v>0</v>
      </c>
      <c r="I20" s="937" t="str">
        <f>$B$4</f>
        <v>BOGATYRI</v>
      </c>
      <c r="J20" s="434">
        <v>12.0</v>
      </c>
      <c r="K20" s="63" t="str">
        <f>$B$3</f>
        <v>RISE</v>
      </c>
      <c r="L20" s="932">
        <f>'Matches | 3 Division 1 (OLD)'!CP40</f>
        <v>0</v>
      </c>
      <c r="M20" s="933">
        <v>0.9375</v>
      </c>
      <c r="N20" s="932">
        <f>'Matches | 3 Division 1 (OLD)'!CS40</f>
        <v>0</v>
      </c>
      <c r="O20" s="63" t="str">
        <f>$B$8</f>
        <v>HEAX</v>
      </c>
      <c r="P20" s="434">
        <v>40.0</v>
      </c>
    </row>
    <row r="21">
      <c r="A21" s="941">
        <v>7.0</v>
      </c>
      <c r="B21" s="942"/>
      <c r="C21" s="943" t="s">
        <v>842</v>
      </c>
      <c r="D21" s="918"/>
      <c r="E21" s="919">
        <v>46109.0</v>
      </c>
      <c r="F21" s="22"/>
      <c r="G21" s="22"/>
      <c r="H21" s="22"/>
      <c r="I21" s="22"/>
      <c r="J21" s="93"/>
      <c r="K21" s="919">
        <v>46137.0</v>
      </c>
      <c r="L21" s="22"/>
      <c r="M21" s="22"/>
      <c r="N21" s="22"/>
      <c r="O21" s="22"/>
      <c r="P21" s="144"/>
    </row>
    <row r="22">
      <c r="A22" s="40">
        <v>8.0</v>
      </c>
      <c r="B22" s="63"/>
      <c r="C22" s="396" t="s">
        <v>842</v>
      </c>
      <c r="D22" s="911"/>
      <c r="E22" s="13" t="s">
        <v>258</v>
      </c>
      <c r="F22" s="922" t="s">
        <v>259</v>
      </c>
      <c r="G22" s="438" t="s">
        <v>260</v>
      </c>
      <c r="H22" s="922" t="s">
        <v>259</v>
      </c>
      <c r="I22" s="438" t="s">
        <v>261</v>
      </c>
      <c r="J22" s="873" t="s">
        <v>263</v>
      </c>
      <c r="K22" s="923" t="s">
        <v>805</v>
      </c>
      <c r="L22" s="922" t="s">
        <v>259</v>
      </c>
      <c r="M22" s="924" t="s">
        <v>806</v>
      </c>
      <c r="N22" s="922" t="s">
        <v>259</v>
      </c>
      <c r="O22" s="924" t="s">
        <v>807</v>
      </c>
      <c r="P22" s="925" t="s">
        <v>808</v>
      </c>
    </row>
    <row r="23">
      <c r="A23" s="447"/>
      <c r="B23" s="447"/>
      <c r="C23" s="921"/>
      <c r="D23" s="30"/>
      <c r="E23" s="13" t="str">
        <f>$B$7</f>
        <v>DEACUERDO</v>
      </c>
      <c r="F23" s="922">
        <f>'Matches | 3 Division 1 (OLD)'!AN10</f>
        <v>0</v>
      </c>
      <c r="G23" s="926">
        <v>0.625</v>
      </c>
      <c r="H23" s="922">
        <f>'Matches | 3 Division 1 (OLD)'!AQ10</f>
        <v>0</v>
      </c>
      <c r="I23" s="438" t="str">
        <f>$B$3</f>
        <v>RISE</v>
      </c>
      <c r="J23" s="438">
        <v>13.0</v>
      </c>
      <c r="K23" s="13" t="str">
        <f>$B$5</f>
        <v>КОРМ 2</v>
      </c>
      <c r="L23" s="922">
        <f>'Matches | 3 Division 1 (OLD)'!CY10</f>
        <v>0</v>
      </c>
      <c r="M23" s="926">
        <v>0.625</v>
      </c>
      <c r="N23" s="922">
        <f>'Matches | 3 Division 1 (OLD)'!DB10</f>
        <v>0</v>
      </c>
      <c r="O23" s="438" t="str">
        <f>$B$10</f>
        <v>SAPPIAMO</v>
      </c>
      <c r="P23" s="873">
        <v>41.0</v>
      </c>
    </row>
    <row r="24">
      <c r="A24" s="447"/>
      <c r="B24" s="447"/>
      <c r="C24" s="921"/>
      <c r="D24" s="60"/>
      <c r="E24" s="56" t="str">
        <f>$B$6</f>
        <v>ALTF4</v>
      </c>
      <c r="F24" s="909">
        <f>'Matches | 3 Division 1 (OLD)'!AN20</f>
        <v>0</v>
      </c>
      <c r="G24" s="930">
        <v>0.6875</v>
      </c>
      <c r="H24" s="909">
        <f>'Matches | 3 Division 1 (OLD)'!AQ20</f>
        <v>0</v>
      </c>
      <c r="I24" s="60" t="str">
        <f>$B$9</f>
        <v>ACHIEVERS</v>
      </c>
      <c r="J24" s="30">
        <v>14.0</v>
      </c>
      <c r="K24" s="56" t="str">
        <f>$B$3</f>
        <v>RISE</v>
      </c>
      <c r="L24" s="909">
        <f>'Matches | 3 Division 1 (OLD)'!CY20</f>
        <v>0</v>
      </c>
      <c r="M24" s="930">
        <v>0.6875</v>
      </c>
      <c r="N24" s="909">
        <f>'Matches | 3 Division 1 (OLD)'!DB20</f>
        <v>0</v>
      </c>
      <c r="O24" s="60" t="str">
        <f>$B$7</f>
        <v>DEACUERDO</v>
      </c>
      <c r="P24" s="433">
        <v>42.0</v>
      </c>
    </row>
    <row r="25">
      <c r="A25" s="447"/>
      <c r="B25" s="447"/>
      <c r="C25" s="921"/>
      <c r="D25" s="60"/>
      <c r="E25" s="56" t="str">
        <f>$B$8</f>
        <v>HEAX</v>
      </c>
      <c r="F25" s="909">
        <f>'Matches | 3 Division 1 (OLD)'!AN30</f>
        <v>0</v>
      </c>
      <c r="G25" s="930">
        <v>0.75</v>
      </c>
      <c r="H25" s="909">
        <f>'Matches | 3 Division 1 (OLD)'!AQ30</f>
        <v>0</v>
      </c>
      <c r="I25" s="931" t="str">
        <f>$B$4</f>
        <v>BOGATYRI</v>
      </c>
      <c r="J25" s="30">
        <v>15.0</v>
      </c>
      <c r="K25" s="108" t="str">
        <f>$B$4</f>
        <v>BOGATYRI</v>
      </c>
      <c r="L25" s="909">
        <f>'Matches | 3 Division 1 (OLD)'!CY30</f>
        <v>0</v>
      </c>
      <c r="M25" s="930">
        <v>0.75</v>
      </c>
      <c r="N25" s="909">
        <f>'Matches | 3 Division 1 (OLD)'!DB30</f>
        <v>0</v>
      </c>
      <c r="O25" s="60" t="str">
        <f>$B$8</f>
        <v>HEAX</v>
      </c>
      <c r="P25" s="433">
        <v>43.0</v>
      </c>
    </row>
    <row r="26">
      <c r="A26" s="447"/>
      <c r="B26" s="447"/>
      <c r="C26" s="921"/>
      <c r="D26" s="60"/>
      <c r="E26" s="62" t="str">
        <f>$B$10</f>
        <v>SAPPIAMO</v>
      </c>
      <c r="F26" s="395">
        <f>'Matches | 3 Division 1 (OLD)'!AN40</f>
        <v>0</v>
      </c>
      <c r="G26" s="933">
        <v>0.8125</v>
      </c>
      <c r="H26" s="932">
        <f>'Matches | 3 Division 1 (OLD)'!AQ40</f>
        <v>0</v>
      </c>
      <c r="I26" s="63" t="str">
        <f>$B$5</f>
        <v>КОРМ 2</v>
      </c>
      <c r="J26" s="431">
        <v>16.0</v>
      </c>
      <c r="K26" s="62" t="str">
        <f>$B$9</f>
        <v>ACHIEVERS</v>
      </c>
      <c r="L26" s="932">
        <f>'Matches | 3 Division 1 (OLD)'!CY40</f>
        <v>0</v>
      </c>
      <c r="M26" s="933">
        <v>0.8125</v>
      </c>
      <c r="N26" s="932">
        <f>'Matches | 3 Division 1 (OLD)'!DB40</f>
        <v>0</v>
      </c>
      <c r="O26" s="63" t="str">
        <f>$B$6</f>
        <v>ALTF4</v>
      </c>
      <c r="P26" s="434">
        <v>44.0</v>
      </c>
    </row>
    <row r="27">
      <c r="A27" s="447"/>
      <c r="B27" s="447"/>
      <c r="C27" s="921"/>
      <c r="D27" s="918"/>
      <c r="E27" s="919">
        <v>46115.0</v>
      </c>
      <c r="F27" s="22"/>
      <c r="G27" s="22"/>
      <c r="H27" s="22"/>
      <c r="I27" s="22"/>
      <c r="J27" s="144"/>
      <c r="K27" s="919">
        <v>46145.0</v>
      </c>
      <c r="L27" s="22"/>
      <c r="M27" s="22"/>
      <c r="N27" s="22"/>
      <c r="O27" s="22"/>
      <c r="P27" s="144"/>
    </row>
    <row r="28">
      <c r="A28" s="447"/>
      <c r="B28" s="447"/>
      <c r="C28" s="921"/>
      <c r="D28" s="911"/>
      <c r="E28" s="13" t="s">
        <v>258</v>
      </c>
      <c r="F28" s="922" t="s">
        <v>259</v>
      </c>
      <c r="G28" s="438" t="s">
        <v>260</v>
      </c>
      <c r="H28" s="922" t="s">
        <v>259</v>
      </c>
      <c r="I28" s="438" t="s">
        <v>261</v>
      </c>
      <c r="J28" s="873" t="s">
        <v>263</v>
      </c>
      <c r="K28" s="923" t="s">
        <v>805</v>
      </c>
      <c r="L28" s="922" t="s">
        <v>259</v>
      </c>
      <c r="M28" s="924" t="s">
        <v>806</v>
      </c>
      <c r="N28" s="922" t="s">
        <v>259</v>
      </c>
      <c r="O28" s="924" t="s">
        <v>807</v>
      </c>
      <c r="P28" s="925" t="s">
        <v>808</v>
      </c>
    </row>
    <row r="29">
      <c r="A29" s="27"/>
      <c r="B29" s="27"/>
      <c r="C29" s="921"/>
      <c r="D29" s="555"/>
      <c r="E29" s="944" t="str">
        <f>$B$7</f>
        <v>DEACUERDO</v>
      </c>
      <c r="F29" s="922">
        <f>'Matches | 3 Division 1 (OLD)'!AW10</f>
        <v>0</v>
      </c>
      <c r="G29" s="926">
        <v>0.75</v>
      </c>
      <c r="H29" s="922">
        <f>'Matches | 3 Division 1 (OLD)'!AZ10</f>
        <v>0</v>
      </c>
      <c r="I29" s="603" t="str">
        <f>$B$9</f>
        <v>ACHIEVERS</v>
      </c>
      <c r="J29" s="945">
        <v>17.0</v>
      </c>
      <c r="K29" s="944" t="str">
        <f>$B$6</f>
        <v>ALTF4</v>
      </c>
      <c r="L29" s="922">
        <f>'Matches | 3 Division 1 (OLD)'!DH10</f>
        <v>0</v>
      </c>
      <c r="M29" s="926">
        <v>0.625</v>
      </c>
      <c r="N29" s="922">
        <f>'Matches | 3 Division 1 (OLD)'!DK10</f>
        <v>0</v>
      </c>
      <c r="O29" s="946" t="str">
        <f>$B$4</f>
        <v>BOGATYRI</v>
      </c>
      <c r="P29" s="873">
        <v>45.0</v>
      </c>
    </row>
    <row r="30">
      <c r="A30" s="27"/>
      <c r="B30" s="27"/>
      <c r="C30" s="921"/>
      <c r="D30" s="947"/>
      <c r="E30" s="948" t="str">
        <f>$B$8</f>
        <v>HEAX</v>
      </c>
      <c r="F30" s="909">
        <f>'Matches | 3 Division 1 (OLD)'!AW20</f>
        <v>0</v>
      </c>
      <c r="G30" s="930">
        <v>0.8125</v>
      </c>
      <c r="H30" s="909">
        <f>'Matches | 3 Division 1 (OLD)'!AZ20</f>
        <v>0</v>
      </c>
      <c r="I30" s="947" t="str">
        <f>$B$10</f>
        <v>SAPPIAMO</v>
      </c>
      <c r="J30" s="949">
        <v>18.0</v>
      </c>
      <c r="K30" s="948" t="str">
        <f>$B$9</f>
        <v>ACHIEVERS</v>
      </c>
      <c r="L30" s="909">
        <f>'Matches | 3 Division 1 (OLD)'!DH20</f>
        <v>0</v>
      </c>
      <c r="M30" s="930">
        <v>0.6875</v>
      </c>
      <c r="N30" s="909">
        <f>'Matches | 3 Division 1 (OLD)'!DK20</f>
        <v>0</v>
      </c>
      <c r="O30" s="947" t="str">
        <f>$B$7</f>
        <v>DEACUERDO</v>
      </c>
      <c r="P30" s="433">
        <v>46.0</v>
      </c>
    </row>
    <row r="31">
      <c r="A31" s="27"/>
      <c r="B31" s="27"/>
      <c r="C31" s="921"/>
      <c r="D31" s="947"/>
      <c r="E31" s="948" t="str">
        <f>$B$3</f>
        <v>RISE</v>
      </c>
      <c r="F31" s="909">
        <f>'Matches | 3 Division 1 (OLD)'!AW30</f>
        <v>0</v>
      </c>
      <c r="G31" s="930">
        <v>0.875</v>
      </c>
      <c r="H31" s="909">
        <f>'Matches | 3 Division 1 (OLD)'!AZ30</f>
        <v>0</v>
      </c>
      <c r="I31" s="947" t="str">
        <f>$B$5</f>
        <v>КОРМ 2</v>
      </c>
      <c r="J31" s="949">
        <v>19.0</v>
      </c>
      <c r="K31" s="948" t="str">
        <f>$B$10</f>
        <v>SAPPIAMO</v>
      </c>
      <c r="L31" s="909">
        <f>'Matches | 3 Division 1 (OLD)'!DH30</f>
        <v>0</v>
      </c>
      <c r="M31" s="930">
        <v>0.75</v>
      </c>
      <c r="N31" s="909">
        <f>'Matches | 3 Division 1 (OLD)'!DK30</f>
        <v>0</v>
      </c>
      <c r="O31" s="947" t="str">
        <f>$B$8</f>
        <v>HEAX</v>
      </c>
      <c r="P31" s="433">
        <v>47.0</v>
      </c>
    </row>
    <row r="32">
      <c r="A32" s="27"/>
      <c r="B32" s="27"/>
      <c r="C32" s="921"/>
      <c r="D32" s="950"/>
      <c r="E32" s="951" t="str">
        <f>$B$4</f>
        <v>BOGATYRI</v>
      </c>
      <c r="F32" s="932">
        <f>'Matches | 3 Division 1 (OLD)'!AW40</f>
        <v>0</v>
      </c>
      <c r="G32" s="933">
        <v>0.9375</v>
      </c>
      <c r="H32" s="932">
        <f>'Matches | 3 Division 1 (OLD)'!AZ40</f>
        <v>0</v>
      </c>
      <c r="I32" s="952" t="str">
        <f>$B$6</f>
        <v>ALTF4</v>
      </c>
      <c r="J32" s="953">
        <v>20.0</v>
      </c>
      <c r="K32" s="954" t="str">
        <f>$B$5</f>
        <v>КОРМ 2</v>
      </c>
      <c r="L32" s="932">
        <f>'Matches | 3 Division 1 (OLD)'!DH40</f>
        <v>0</v>
      </c>
      <c r="M32" s="933">
        <v>0.8125</v>
      </c>
      <c r="N32" s="932">
        <f>'Matches | 3 Division 1 (OLD)'!DK40</f>
        <v>0</v>
      </c>
      <c r="O32" s="952" t="str">
        <f>$B$3</f>
        <v>RISE</v>
      </c>
      <c r="P32" s="434">
        <v>48.0</v>
      </c>
    </row>
    <row r="33">
      <c r="A33" s="27"/>
      <c r="B33" s="447"/>
      <c r="C33" s="921"/>
      <c r="D33" s="918"/>
      <c r="E33" s="919">
        <v>46122.0</v>
      </c>
      <c r="F33" s="22"/>
      <c r="G33" s="22"/>
      <c r="H33" s="22"/>
      <c r="I33" s="22"/>
      <c r="J33" s="144"/>
      <c r="K33" s="919">
        <v>46146.0</v>
      </c>
      <c r="L33" s="22"/>
      <c r="M33" s="22"/>
      <c r="N33" s="22"/>
      <c r="O33" s="22"/>
      <c r="P33" s="144"/>
    </row>
    <row r="34">
      <c r="A34" s="27"/>
      <c r="B34" s="27"/>
      <c r="C34" s="921"/>
      <c r="D34" s="911"/>
      <c r="E34" s="13" t="s">
        <v>258</v>
      </c>
      <c r="F34" s="922" t="s">
        <v>259</v>
      </c>
      <c r="G34" s="438" t="s">
        <v>260</v>
      </c>
      <c r="H34" s="922" t="s">
        <v>259</v>
      </c>
      <c r="I34" s="438" t="s">
        <v>261</v>
      </c>
      <c r="J34" s="873" t="s">
        <v>263</v>
      </c>
      <c r="K34" s="923" t="s">
        <v>805</v>
      </c>
      <c r="L34" s="922" t="s">
        <v>259</v>
      </c>
      <c r="M34" s="924" t="s">
        <v>806</v>
      </c>
      <c r="N34" s="922" t="s">
        <v>259</v>
      </c>
      <c r="O34" s="924" t="s">
        <v>807</v>
      </c>
      <c r="P34" s="925" t="s">
        <v>808</v>
      </c>
    </row>
    <row r="35">
      <c r="A35" s="447"/>
      <c r="B35" s="447"/>
      <c r="C35" s="921"/>
      <c r="D35" s="599"/>
      <c r="E35" s="955" t="str">
        <f>$B$3</f>
        <v>RISE</v>
      </c>
      <c r="F35" s="922">
        <f>'Matches | 3 Division 1 (OLD)'!BF10</f>
        <v>0</v>
      </c>
      <c r="G35" s="926">
        <v>0.75</v>
      </c>
      <c r="H35" s="922">
        <f>'Matches | 3 Division 1 (OLD)'!BI10</f>
        <v>0</v>
      </c>
      <c r="I35" s="956" t="str">
        <f>$B$6</f>
        <v>ALTF4</v>
      </c>
      <c r="J35" s="873">
        <v>21.0</v>
      </c>
      <c r="K35" s="603" t="str">
        <f>$B$7</f>
        <v>DEACUERDO</v>
      </c>
      <c r="L35" s="922">
        <f>'Matches | 3 Division 1 (OLD)'!DQ10</f>
        <v>0</v>
      </c>
      <c r="M35" s="926">
        <v>0.75</v>
      </c>
      <c r="N35" s="922">
        <f>'Matches | 3 Division 1 (OLD)'!DT10</f>
        <v>0</v>
      </c>
      <c r="O35" s="603" t="str">
        <f>$B$10</f>
        <v>SAPPIAMO</v>
      </c>
      <c r="P35" s="873">
        <v>49.0</v>
      </c>
    </row>
    <row r="36">
      <c r="A36" s="447"/>
      <c r="B36" s="447"/>
      <c r="C36" s="921"/>
      <c r="D36" s="947"/>
      <c r="E36" s="948" t="str">
        <f>$B$10</f>
        <v>SAPPIAMO</v>
      </c>
      <c r="F36" s="909">
        <f>'Matches | 3 Division 1 (OLD)'!BF20</f>
        <v>0</v>
      </c>
      <c r="G36" s="930">
        <v>0.8125</v>
      </c>
      <c r="H36" s="909">
        <f>'Matches | 3 Division 1 (OLD)'!BI20</f>
        <v>0</v>
      </c>
      <c r="I36" s="947" t="str">
        <f>$B$7</f>
        <v>DEACUERDO</v>
      </c>
      <c r="J36" s="433">
        <v>22.0</v>
      </c>
      <c r="K36" s="947" t="str">
        <f>$B$5</f>
        <v>КОРМ 2</v>
      </c>
      <c r="L36" s="909">
        <f>'Matches | 3 Division 1 (OLD)'!DQ20</f>
        <v>0</v>
      </c>
      <c r="M36" s="930">
        <v>0.8125</v>
      </c>
      <c r="N36" s="909">
        <f>'Matches | 3 Division 1 (OLD)'!DT20</f>
        <v>0</v>
      </c>
      <c r="O36" s="931" t="str">
        <f>$B$4</f>
        <v>BOGATYRI</v>
      </c>
      <c r="P36" s="433">
        <v>50.0</v>
      </c>
    </row>
    <row r="37">
      <c r="A37" s="447"/>
      <c r="B37" s="447"/>
      <c r="C37" s="921"/>
      <c r="D37" s="60"/>
      <c r="E37" s="56" t="str">
        <f>$B$8</f>
        <v>HEAX</v>
      </c>
      <c r="F37" s="909">
        <f>'Matches | 3 Division 1 (OLD)'!BF30</f>
        <v>0</v>
      </c>
      <c r="G37" s="930">
        <v>0.875</v>
      </c>
      <c r="H37" s="909">
        <f>'Matches | 3 Division 1 (OLD)'!BI30</f>
        <v>0</v>
      </c>
      <c r="I37" s="60" t="str">
        <f>$B$9</f>
        <v>ACHIEVERS</v>
      </c>
      <c r="J37" s="433">
        <v>23.0</v>
      </c>
      <c r="K37" s="947" t="str">
        <f>$B$6</f>
        <v>ALTF4</v>
      </c>
      <c r="L37" s="909">
        <f>'Matches | 3 Division 1 (OLD)'!DQ30</f>
        <v>0</v>
      </c>
      <c r="M37" s="930">
        <v>0.875</v>
      </c>
      <c r="N37" s="909">
        <f>'Matches | 3 Division 1 (OLD)'!DT30</f>
        <v>0</v>
      </c>
      <c r="O37" s="947" t="str">
        <f>$B$3</f>
        <v>RISE</v>
      </c>
      <c r="P37" s="433">
        <v>51.0</v>
      </c>
    </row>
    <row r="38">
      <c r="A38" s="447"/>
      <c r="B38" s="447"/>
      <c r="C38" s="921"/>
      <c r="D38" s="950"/>
      <c r="E38" s="951" t="str">
        <f>$B$4</f>
        <v>BOGATYRI</v>
      </c>
      <c r="F38" s="932">
        <f>'Matches | 3 Division 1 (OLD)'!BF40</f>
        <v>0</v>
      </c>
      <c r="G38" s="933">
        <v>0.9375</v>
      </c>
      <c r="H38" s="932">
        <f>'Matches | 3 Division 1 (OLD)'!BI40</f>
        <v>0</v>
      </c>
      <c r="I38" s="63" t="str">
        <f>$B$5</f>
        <v>КОРМ 2</v>
      </c>
      <c r="J38" s="434">
        <v>24.0</v>
      </c>
      <c r="K38" s="63" t="str">
        <f>$B$9</f>
        <v>ACHIEVERS</v>
      </c>
      <c r="L38" s="932">
        <f>'Matches | 3 Division 1 (OLD)'!DQ40</f>
        <v>0</v>
      </c>
      <c r="M38" s="933">
        <v>0.9375</v>
      </c>
      <c r="N38" s="932">
        <f>'Matches | 3 Division 1 (OLD)'!DT40</f>
        <v>0</v>
      </c>
      <c r="O38" s="952" t="str">
        <f>$B$8</f>
        <v>HEAX</v>
      </c>
      <c r="P38" s="434">
        <v>52.0</v>
      </c>
    </row>
    <row r="39">
      <c r="A39" s="447"/>
      <c r="B39" s="447"/>
      <c r="C39" s="921"/>
      <c r="D39" s="918"/>
      <c r="E39" s="919">
        <v>46123.0</v>
      </c>
      <c r="F39" s="22"/>
      <c r="G39" s="22"/>
      <c r="H39" s="22"/>
      <c r="I39" s="22"/>
      <c r="J39" s="144"/>
      <c r="K39" s="919">
        <v>46156.0</v>
      </c>
      <c r="L39" s="22"/>
      <c r="M39" s="22"/>
      <c r="N39" s="22"/>
      <c r="O39" s="22"/>
      <c r="P39" s="144"/>
    </row>
    <row r="40">
      <c r="A40" s="447"/>
      <c r="B40" s="447"/>
      <c r="C40" s="921"/>
      <c r="D40" s="911"/>
      <c r="E40" s="13" t="s">
        <v>258</v>
      </c>
      <c r="F40" s="922" t="s">
        <v>259</v>
      </c>
      <c r="G40" s="438" t="s">
        <v>260</v>
      </c>
      <c r="H40" s="922" t="s">
        <v>259</v>
      </c>
      <c r="I40" s="438" t="s">
        <v>261</v>
      </c>
      <c r="J40" s="873" t="s">
        <v>263</v>
      </c>
      <c r="K40" s="923" t="s">
        <v>805</v>
      </c>
      <c r="L40" s="922" t="s">
        <v>259</v>
      </c>
      <c r="M40" s="924" t="s">
        <v>806</v>
      </c>
      <c r="N40" s="922" t="s">
        <v>259</v>
      </c>
      <c r="O40" s="924" t="s">
        <v>807</v>
      </c>
      <c r="P40" s="925" t="s">
        <v>808</v>
      </c>
    </row>
    <row r="41">
      <c r="A41" s="447"/>
      <c r="B41" s="447"/>
      <c r="C41" s="921"/>
      <c r="D41" s="30"/>
      <c r="E41" s="13" t="str">
        <f>$B$9</f>
        <v>ACHIEVERS</v>
      </c>
      <c r="F41" s="922">
        <f>'Matches | 3 Division 1 (OLD)'!BO10</f>
        <v>0</v>
      </c>
      <c r="G41" s="926">
        <v>0.625</v>
      </c>
      <c r="H41" s="922">
        <f>'Matches | 3 Division 1 (OLD)'!BR10</f>
        <v>0</v>
      </c>
      <c r="I41" s="438" t="str">
        <f>$B$10</f>
        <v>SAPPIAMO</v>
      </c>
      <c r="J41" s="873">
        <v>25.0</v>
      </c>
      <c r="K41" s="13" t="str">
        <f>$B$8</f>
        <v>HEAX</v>
      </c>
      <c r="L41" s="922">
        <f>'Matches | 3 Division 1 (OLD)'!DZ10</f>
        <v>0</v>
      </c>
      <c r="M41" s="926">
        <v>0.75</v>
      </c>
      <c r="N41" s="922">
        <f>'Matches | 3 Division 1 (OLD)'!EC10</f>
        <v>0</v>
      </c>
      <c r="O41" s="438" t="str">
        <f>$B$7</f>
        <v>DEACUERDO</v>
      </c>
      <c r="P41" s="873">
        <v>53.0</v>
      </c>
    </row>
    <row r="42">
      <c r="A42" s="447"/>
      <c r="B42" s="447"/>
      <c r="C42" s="921"/>
      <c r="D42" s="60"/>
      <c r="E42" s="56" t="str">
        <f>$B$3</f>
        <v>RISE</v>
      </c>
      <c r="F42" s="909">
        <f>'Matches | 3 Division 1 (OLD)'!BO20</f>
        <v>0</v>
      </c>
      <c r="G42" s="930">
        <v>0.6875</v>
      </c>
      <c r="H42" s="909">
        <f>'Matches | 3 Division 1 (OLD)'!BR20</f>
        <v>0</v>
      </c>
      <c r="I42" s="931" t="str">
        <f>$B$4</f>
        <v>BOGATYRI</v>
      </c>
      <c r="J42" s="433">
        <v>26.0</v>
      </c>
      <c r="K42" s="56" t="str">
        <f>$B$10</f>
        <v>SAPPIAMO</v>
      </c>
      <c r="L42" s="909">
        <f>'Matches | 3 Division 1 (OLD)'!DZ20</f>
        <v>0</v>
      </c>
      <c r="M42" s="930">
        <v>0.8125</v>
      </c>
      <c r="N42" s="909">
        <f>'Matches | 3 Division 1 (OLD)'!EC20</f>
        <v>0</v>
      </c>
      <c r="O42" s="60" t="str">
        <f>$B$9</f>
        <v>ACHIEVERS</v>
      </c>
      <c r="P42" s="433">
        <v>54.0</v>
      </c>
    </row>
    <row r="43">
      <c r="A43" s="447"/>
      <c r="B43" s="447"/>
      <c r="C43" s="921"/>
      <c r="D43" s="60"/>
      <c r="E43" s="56" t="str">
        <f>$B$5</f>
        <v>КОРМ 2</v>
      </c>
      <c r="F43" s="909">
        <f>'Matches | 3 Division 1 (OLD)'!BO30</f>
        <v>0</v>
      </c>
      <c r="G43" s="930">
        <v>0.75</v>
      </c>
      <c r="H43" s="909">
        <f>'Matches | 3 Division 1 (OLD)'!BR30</f>
        <v>0</v>
      </c>
      <c r="I43" s="60" t="str">
        <f>$B$6</f>
        <v>ALTF4</v>
      </c>
      <c r="J43" s="433">
        <v>27.0</v>
      </c>
      <c r="K43" s="108" t="str">
        <f>$B$4</f>
        <v>BOGATYRI</v>
      </c>
      <c r="L43" s="909">
        <f>'Matches | 3 Division 1 (OLD)'!DZ30</f>
        <v>0</v>
      </c>
      <c r="M43" s="930">
        <v>0.875</v>
      </c>
      <c r="N43" s="909">
        <f>'Matches | 3 Division 1 (OLD)'!EC30</f>
        <v>0</v>
      </c>
      <c r="O43" s="60" t="str">
        <f>$B$3</f>
        <v>RISE</v>
      </c>
      <c r="P43" s="433">
        <v>55.0</v>
      </c>
    </row>
    <row r="44">
      <c r="A44" s="447"/>
      <c r="B44" s="447"/>
      <c r="C44" s="921"/>
      <c r="D44" s="60"/>
      <c r="E44" s="62" t="str">
        <f>$B$7</f>
        <v>DEACUERDO</v>
      </c>
      <c r="F44" s="932">
        <f>'Matches | 3 Division 1 (OLD)'!BO40</f>
        <v>0</v>
      </c>
      <c r="G44" s="933">
        <v>0.8125</v>
      </c>
      <c r="H44" s="932">
        <f>'Matches | 3 Division 1 (OLD)'!BR40</f>
        <v>0</v>
      </c>
      <c r="I44" s="63" t="str">
        <f>$B$8</f>
        <v>HEAX</v>
      </c>
      <c r="J44" s="434">
        <v>28.0</v>
      </c>
      <c r="K44" s="62" t="str">
        <f>$B$6</f>
        <v>ALTF4</v>
      </c>
      <c r="L44" s="932">
        <f>'Matches | 3 Division 1 (OLD)'!DZ40</f>
        <v>0</v>
      </c>
      <c r="M44" s="933">
        <v>0.9375</v>
      </c>
      <c r="N44" s="932">
        <f>'Matches | 3 Division 1 (OLD)'!EC40</f>
        <v>0</v>
      </c>
      <c r="O44" s="63" t="str">
        <f>$B$5</f>
        <v>КОРМ 2</v>
      </c>
      <c r="P44" s="434">
        <v>56.0</v>
      </c>
    </row>
  </sheetData>
  <mergeCells count="17">
    <mergeCell ref="E1:P1"/>
    <mergeCell ref="E2:J2"/>
    <mergeCell ref="K2:P2"/>
    <mergeCell ref="E3:J3"/>
    <mergeCell ref="K3:P3"/>
    <mergeCell ref="E9:J9"/>
    <mergeCell ref="K9:P9"/>
    <mergeCell ref="E33:J33"/>
    <mergeCell ref="E39:J39"/>
    <mergeCell ref="K39:P39"/>
    <mergeCell ref="E15:J15"/>
    <mergeCell ref="K15:P15"/>
    <mergeCell ref="E21:J21"/>
    <mergeCell ref="K21:P21"/>
    <mergeCell ref="E27:J27"/>
    <mergeCell ref="K27:P27"/>
    <mergeCell ref="K33:P3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9" width="15.33"/>
    <col customWidth="1" min="10" max="10" width="3.33"/>
    <col customWidth="1" min="12" max="12" width="19.33"/>
    <col customWidth="1" min="15" max="15" width="17.78"/>
    <col customWidth="1" min="18" max="18" width="19.33"/>
    <col customWidth="1" min="19" max="19" width="3.33"/>
    <col customWidth="1" min="21" max="21" width="19.33"/>
    <col customWidth="1" min="24" max="24" width="17.78"/>
    <col customWidth="1" min="27" max="27" width="19.33"/>
    <col customWidth="1" min="28" max="28" width="3.56"/>
    <col customWidth="1" min="30" max="30" width="19.33"/>
    <col customWidth="1" min="33" max="33" width="17.78"/>
    <col customWidth="1" min="36" max="36" width="19.33"/>
    <col customWidth="1" min="37" max="37" width="3.56"/>
    <col customWidth="1" min="39" max="39" width="19.33"/>
    <col customWidth="1" min="42" max="42" width="17.78"/>
    <col customWidth="1" min="45" max="45" width="19.33"/>
    <col customWidth="1" min="46" max="46" width="3.56"/>
    <col customWidth="1" min="48" max="48" width="19.33"/>
    <col customWidth="1" min="51" max="51" width="17.78"/>
    <col customWidth="1" min="54" max="54" width="19.33"/>
    <col customWidth="1" min="55" max="55" width="3.56"/>
    <col customWidth="1" min="57" max="57" width="19.33"/>
    <col customWidth="1" min="60" max="60" width="17.78"/>
    <col customWidth="1" min="63" max="63" width="19.33"/>
    <col customWidth="1" min="64" max="64" width="3.56"/>
    <col customWidth="1" min="66" max="66" width="19.33"/>
    <col customWidth="1" min="69" max="69" width="17.78"/>
    <col customWidth="1" min="72" max="72" width="19.33"/>
    <col customWidth="1" min="73" max="73" width="3.56"/>
    <col customWidth="1" min="75" max="75" width="19.33"/>
    <col customWidth="1" min="78" max="78" width="17.78"/>
    <col customWidth="1" min="81" max="81" width="19.33"/>
    <col customWidth="1" min="82" max="82" width="3.56"/>
    <col customWidth="1" min="84" max="84" width="19.33"/>
    <col customWidth="1" min="87" max="87" width="17.78"/>
    <col customWidth="1" min="90" max="90" width="19.33"/>
    <col customWidth="1" min="91" max="91" width="3.56"/>
    <col customWidth="1" min="93" max="93" width="19.33"/>
    <col customWidth="1" min="96" max="96" width="17.78"/>
    <col customWidth="1" min="99" max="99" width="19.33"/>
    <col customWidth="1" min="100" max="100" width="3.56"/>
    <col customWidth="1" min="102" max="102" width="19.33"/>
    <col customWidth="1" min="105" max="105" width="17.78"/>
    <col customWidth="1" min="108" max="108" width="19.33"/>
    <col customWidth="1" min="109" max="109" width="3.56"/>
    <col customWidth="1" min="111" max="111" width="19.33"/>
    <col customWidth="1" min="114" max="114" width="17.78"/>
    <col customWidth="1" min="117" max="117" width="19.33"/>
    <col customWidth="1" min="118" max="118" width="3.56"/>
    <col customWidth="1" min="120" max="120" width="19.33"/>
    <col customWidth="1" min="123" max="123" width="17.78"/>
    <col customWidth="1" min="126" max="126" width="19.33"/>
    <col customWidth="1" min="127" max="127" width="3.56"/>
    <col customWidth="1" min="129" max="129" width="19.33"/>
    <col customWidth="1" min="132" max="132" width="17.78"/>
    <col customWidth="1" min="135" max="135" width="19.33"/>
  </cols>
  <sheetData>
    <row r="1" ht="33.0" customHeight="1">
      <c r="A1" s="853" t="s">
        <v>843</v>
      </c>
      <c r="J1" s="957"/>
      <c r="K1" s="855">
        <f>'Schedule | 3 Division (OLD)'!E3</f>
        <v>46101</v>
      </c>
      <c r="L1" s="97"/>
      <c r="M1" s="97"/>
      <c r="N1" s="97"/>
      <c r="O1" s="97"/>
      <c r="P1" s="97"/>
      <c r="Q1" s="97"/>
      <c r="R1" s="100"/>
      <c r="S1" s="957"/>
      <c r="T1" s="855">
        <f>'Schedule | 3 Division (OLD)'!E9</f>
        <v>46102</v>
      </c>
      <c r="U1" s="97"/>
      <c r="V1" s="97"/>
      <c r="W1" s="97"/>
      <c r="X1" s="97"/>
      <c r="Y1" s="97"/>
      <c r="Z1" s="97"/>
      <c r="AA1" s="100"/>
      <c r="AB1" s="958"/>
      <c r="AC1" s="855">
        <f>'Schedule | 3 Division (OLD)'!E15</f>
        <v>46108</v>
      </c>
      <c r="AD1" s="97"/>
      <c r="AE1" s="97"/>
      <c r="AF1" s="97"/>
      <c r="AG1" s="97"/>
      <c r="AH1" s="97"/>
      <c r="AI1" s="97"/>
      <c r="AJ1" s="100"/>
      <c r="AK1" s="958"/>
      <c r="AL1" s="855">
        <f>'Schedule | 3 Division (OLD)'!E21</f>
        <v>46109</v>
      </c>
      <c r="AM1" s="97"/>
      <c r="AN1" s="97"/>
      <c r="AO1" s="97"/>
      <c r="AP1" s="97"/>
      <c r="AQ1" s="97"/>
      <c r="AR1" s="97"/>
      <c r="AS1" s="100"/>
      <c r="AT1" s="958"/>
      <c r="AU1" s="855">
        <f>'Schedule | 3 Division (OLD)'!E27</f>
        <v>46115</v>
      </c>
      <c r="AV1" s="97"/>
      <c r="AW1" s="97"/>
      <c r="AX1" s="97"/>
      <c r="AY1" s="97"/>
      <c r="AZ1" s="97"/>
      <c r="BA1" s="97"/>
      <c r="BB1" s="100"/>
      <c r="BC1" s="958"/>
      <c r="BD1" s="855">
        <f>'Schedule | 3 Division (OLD)'!E33</f>
        <v>46122</v>
      </c>
      <c r="BE1" s="97"/>
      <c r="BF1" s="97"/>
      <c r="BG1" s="97"/>
      <c r="BH1" s="97"/>
      <c r="BI1" s="97"/>
      <c r="BJ1" s="97"/>
      <c r="BK1" s="100"/>
      <c r="BL1" s="958"/>
      <c r="BM1" s="855">
        <f>'Schedule | 3 Division (OLD)'!E39</f>
        <v>46123</v>
      </c>
      <c r="BN1" s="97"/>
      <c r="BO1" s="97"/>
      <c r="BP1" s="97"/>
      <c r="BQ1" s="97"/>
      <c r="BR1" s="97"/>
      <c r="BS1" s="97"/>
      <c r="BT1" s="100"/>
      <c r="BU1" s="958"/>
      <c r="BV1" s="855">
        <f>'Schedule | 3 Division (OLD)'!K3</f>
        <v>46128</v>
      </c>
      <c r="BW1" s="97"/>
      <c r="BX1" s="97"/>
      <c r="BY1" s="97"/>
      <c r="BZ1" s="97"/>
      <c r="CA1" s="97"/>
      <c r="CB1" s="97"/>
      <c r="CC1" s="100"/>
      <c r="CD1" s="958"/>
      <c r="CE1" s="855">
        <f>'Schedule | 3 Division (OLD)'!K9</f>
        <v>46129</v>
      </c>
      <c r="CF1" s="97"/>
      <c r="CG1" s="97"/>
      <c r="CH1" s="97"/>
      <c r="CI1" s="97"/>
      <c r="CJ1" s="97"/>
      <c r="CK1" s="97"/>
      <c r="CL1" s="100"/>
      <c r="CM1" s="958"/>
      <c r="CN1" s="855">
        <f>'Schedule | 3 Division (OLD)'!K15</f>
        <v>46136</v>
      </c>
      <c r="CO1" s="97"/>
      <c r="CP1" s="97"/>
      <c r="CQ1" s="97"/>
      <c r="CR1" s="97"/>
      <c r="CS1" s="97"/>
      <c r="CT1" s="97"/>
      <c r="CU1" s="100"/>
      <c r="CV1" s="958"/>
      <c r="CW1" s="855">
        <f>'Schedule | 3 Division (OLD)'!K21</f>
        <v>46137</v>
      </c>
      <c r="CX1" s="97"/>
      <c r="CY1" s="97"/>
      <c r="CZ1" s="97"/>
      <c r="DA1" s="97"/>
      <c r="DB1" s="97"/>
      <c r="DC1" s="97"/>
      <c r="DD1" s="100"/>
      <c r="DE1" s="958"/>
      <c r="DF1" s="855">
        <f>'Schedule | 3 Division (OLD)'!K27</f>
        <v>46145</v>
      </c>
      <c r="DG1" s="97"/>
      <c r="DH1" s="97"/>
      <c r="DI1" s="97"/>
      <c r="DJ1" s="97"/>
      <c r="DK1" s="97"/>
      <c r="DL1" s="97"/>
      <c r="DM1" s="100"/>
      <c r="DN1" s="958"/>
      <c r="DO1" s="855">
        <f>'Schedule | 3 Division (OLD)'!K33</f>
        <v>46146</v>
      </c>
      <c r="DP1" s="97"/>
      <c r="DQ1" s="97"/>
      <c r="DR1" s="97"/>
      <c r="DS1" s="97"/>
      <c r="DT1" s="97"/>
      <c r="DU1" s="97"/>
      <c r="DV1" s="100"/>
      <c r="DW1" s="958"/>
      <c r="DX1" s="855">
        <f>'Schedule | 3 Division (OLD)'!K39</f>
        <v>46156</v>
      </c>
      <c r="DY1" s="97"/>
      <c r="DZ1" s="97"/>
      <c r="EA1" s="97"/>
      <c r="EB1" s="97"/>
      <c r="EC1" s="97"/>
      <c r="ED1" s="97"/>
      <c r="EE1" s="100"/>
    </row>
    <row r="2">
      <c r="A2" s="959" t="s">
        <v>103</v>
      </c>
      <c r="B2" s="525" t="s">
        <v>258</v>
      </c>
      <c r="C2" s="524" t="s">
        <v>716</v>
      </c>
      <c r="D2" s="528" t="s">
        <v>717</v>
      </c>
      <c r="E2" s="858" t="s">
        <v>820</v>
      </c>
      <c r="F2" s="859" t="s">
        <v>821</v>
      </c>
      <c r="G2" s="860" t="s">
        <v>822</v>
      </c>
      <c r="H2" s="860" t="s">
        <v>823</v>
      </c>
      <c r="I2" s="861" t="s">
        <v>824</v>
      </c>
      <c r="J2" s="960"/>
      <c r="K2" s="863" t="s">
        <v>263</v>
      </c>
      <c r="L2" s="864" t="s">
        <v>258</v>
      </c>
      <c r="M2" s="865" t="s">
        <v>825</v>
      </c>
      <c r="N2" s="866" t="s">
        <v>259</v>
      </c>
      <c r="O2" s="866" t="s">
        <v>307</v>
      </c>
      <c r="P2" s="866" t="s">
        <v>259</v>
      </c>
      <c r="Q2" s="867" t="s">
        <v>826</v>
      </c>
      <c r="R2" s="863" t="s">
        <v>261</v>
      </c>
      <c r="S2" s="961"/>
      <c r="T2" s="863" t="s">
        <v>263</v>
      </c>
      <c r="U2" s="863" t="s">
        <v>258</v>
      </c>
      <c r="V2" s="865" t="s">
        <v>825</v>
      </c>
      <c r="W2" s="866" t="s">
        <v>259</v>
      </c>
      <c r="X2" s="866" t="s">
        <v>307</v>
      </c>
      <c r="Y2" s="866" t="s">
        <v>259</v>
      </c>
      <c r="Z2" s="867" t="s">
        <v>826</v>
      </c>
      <c r="AA2" s="863" t="s">
        <v>261</v>
      </c>
      <c r="AB2" s="960"/>
      <c r="AC2" s="863" t="s">
        <v>263</v>
      </c>
      <c r="AD2" s="863" t="s">
        <v>258</v>
      </c>
      <c r="AE2" s="865" t="s">
        <v>825</v>
      </c>
      <c r="AF2" s="866" t="s">
        <v>259</v>
      </c>
      <c r="AG2" s="866" t="s">
        <v>307</v>
      </c>
      <c r="AH2" s="866" t="s">
        <v>259</v>
      </c>
      <c r="AI2" s="867" t="s">
        <v>826</v>
      </c>
      <c r="AJ2" s="863" t="s">
        <v>261</v>
      </c>
      <c r="AK2" s="960"/>
      <c r="AL2" s="869" t="s">
        <v>263</v>
      </c>
      <c r="AM2" s="869" t="s">
        <v>258</v>
      </c>
      <c r="AN2" s="865" t="s">
        <v>825</v>
      </c>
      <c r="AO2" s="866" t="s">
        <v>259</v>
      </c>
      <c r="AP2" s="866" t="s">
        <v>307</v>
      </c>
      <c r="AQ2" s="866" t="s">
        <v>259</v>
      </c>
      <c r="AR2" s="867" t="s">
        <v>826</v>
      </c>
      <c r="AS2" s="869" t="s">
        <v>261</v>
      </c>
      <c r="AT2" s="962"/>
      <c r="AU2" s="863" t="s">
        <v>263</v>
      </c>
      <c r="AV2" s="863" t="s">
        <v>258</v>
      </c>
      <c r="AW2" s="865" t="s">
        <v>825</v>
      </c>
      <c r="AX2" s="866" t="s">
        <v>259</v>
      </c>
      <c r="AY2" s="866" t="s">
        <v>307</v>
      </c>
      <c r="AZ2" s="866" t="s">
        <v>259</v>
      </c>
      <c r="BA2" s="867" t="s">
        <v>826</v>
      </c>
      <c r="BB2" s="863" t="s">
        <v>261</v>
      </c>
      <c r="BC2" s="962"/>
      <c r="BD2" s="863" t="s">
        <v>263</v>
      </c>
      <c r="BE2" s="863" t="s">
        <v>258</v>
      </c>
      <c r="BF2" s="865" t="s">
        <v>825</v>
      </c>
      <c r="BG2" s="866" t="s">
        <v>259</v>
      </c>
      <c r="BH2" s="866" t="s">
        <v>307</v>
      </c>
      <c r="BI2" s="866" t="s">
        <v>259</v>
      </c>
      <c r="BJ2" s="867" t="s">
        <v>826</v>
      </c>
      <c r="BK2" s="863" t="s">
        <v>261</v>
      </c>
      <c r="BL2" s="962"/>
      <c r="BM2" s="863" t="s">
        <v>263</v>
      </c>
      <c r="BN2" s="863" t="s">
        <v>258</v>
      </c>
      <c r="BO2" s="865" t="s">
        <v>825</v>
      </c>
      <c r="BP2" s="866" t="s">
        <v>259</v>
      </c>
      <c r="BQ2" s="866" t="s">
        <v>307</v>
      </c>
      <c r="BR2" s="866" t="s">
        <v>259</v>
      </c>
      <c r="BS2" s="867" t="s">
        <v>826</v>
      </c>
      <c r="BT2" s="863" t="s">
        <v>261</v>
      </c>
      <c r="BU2" s="962"/>
      <c r="BV2" s="863" t="s">
        <v>263</v>
      </c>
      <c r="BW2" s="863" t="s">
        <v>258</v>
      </c>
      <c r="BX2" s="865" t="s">
        <v>825</v>
      </c>
      <c r="BY2" s="866" t="s">
        <v>259</v>
      </c>
      <c r="BZ2" s="866" t="s">
        <v>307</v>
      </c>
      <c r="CA2" s="866" t="s">
        <v>259</v>
      </c>
      <c r="CB2" s="867" t="s">
        <v>826</v>
      </c>
      <c r="CC2" s="863" t="s">
        <v>261</v>
      </c>
      <c r="CD2" s="962"/>
      <c r="CE2" s="863" t="s">
        <v>263</v>
      </c>
      <c r="CF2" s="863" t="s">
        <v>258</v>
      </c>
      <c r="CG2" s="865" t="s">
        <v>825</v>
      </c>
      <c r="CH2" s="866" t="s">
        <v>259</v>
      </c>
      <c r="CI2" s="866" t="s">
        <v>307</v>
      </c>
      <c r="CJ2" s="866" t="s">
        <v>259</v>
      </c>
      <c r="CK2" s="867" t="s">
        <v>826</v>
      </c>
      <c r="CL2" s="863" t="s">
        <v>261</v>
      </c>
      <c r="CM2" s="962"/>
      <c r="CN2" s="863" t="s">
        <v>263</v>
      </c>
      <c r="CO2" s="863" t="s">
        <v>258</v>
      </c>
      <c r="CP2" s="865" t="s">
        <v>825</v>
      </c>
      <c r="CQ2" s="866" t="s">
        <v>259</v>
      </c>
      <c r="CR2" s="866" t="s">
        <v>307</v>
      </c>
      <c r="CS2" s="866" t="s">
        <v>259</v>
      </c>
      <c r="CT2" s="867" t="s">
        <v>826</v>
      </c>
      <c r="CU2" s="863" t="s">
        <v>261</v>
      </c>
      <c r="CV2" s="962"/>
      <c r="CW2" s="863" t="s">
        <v>263</v>
      </c>
      <c r="CX2" s="863" t="s">
        <v>258</v>
      </c>
      <c r="CY2" s="865" t="s">
        <v>825</v>
      </c>
      <c r="CZ2" s="866" t="s">
        <v>259</v>
      </c>
      <c r="DA2" s="866" t="s">
        <v>307</v>
      </c>
      <c r="DB2" s="866" t="s">
        <v>259</v>
      </c>
      <c r="DC2" s="867" t="s">
        <v>826</v>
      </c>
      <c r="DD2" s="863" t="s">
        <v>261</v>
      </c>
      <c r="DE2" s="962"/>
      <c r="DF2" s="863" t="s">
        <v>263</v>
      </c>
      <c r="DG2" s="863" t="s">
        <v>258</v>
      </c>
      <c r="DH2" s="865" t="s">
        <v>825</v>
      </c>
      <c r="DI2" s="866" t="s">
        <v>259</v>
      </c>
      <c r="DJ2" s="866" t="s">
        <v>307</v>
      </c>
      <c r="DK2" s="866" t="s">
        <v>259</v>
      </c>
      <c r="DL2" s="867" t="s">
        <v>826</v>
      </c>
      <c r="DM2" s="863" t="s">
        <v>261</v>
      </c>
      <c r="DN2" s="962"/>
      <c r="DO2" s="863" t="s">
        <v>263</v>
      </c>
      <c r="DP2" s="863" t="s">
        <v>258</v>
      </c>
      <c r="DQ2" s="865" t="s">
        <v>825</v>
      </c>
      <c r="DR2" s="866" t="s">
        <v>259</v>
      </c>
      <c r="DS2" s="866" t="s">
        <v>307</v>
      </c>
      <c r="DT2" s="866" t="s">
        <v>259</v>
      </c>
      <c r="DU2" s="867" t="s">
        <v>826</v>
      </c>
      <c r="DV2" s="863" t="s">
        <v>261</v>
      </c>
      <c r="DW2" s="962"/>
      <c r="DX2" s="863" t="s">
        <v>263</v>
      </c>
      <c r="DY2" s="863" t="s">
        <v>258</v>
      </c>
      <c r="DZ2" s="865" t="s">
        <v>825</v>
      </c>
      <c r="EA2" s="866" t="s">
        <v>259</v>
      </c>
      <c r="EB2" s="866" t="s">
        <v>307</v>
      </c>
      <c r="EC2" s="866" t="s">
        <v>259</v>
      </c>
      <c r="ED2" s="867" t="s">
        <v>826</v>
      </c>
      <c r="EE2" s="863" t="s">
        <v>261</v>
      </c>
    </row>
    <row r="3">
      <c r="A3" s="963">
        <v>1.0</v>
      </c>
      <c r="B3" s="30" t="str">
        <f>'Schedule | 3 Division (OLD)'!B3</f>
        <v>RISE</v>
      </c>
      <c r="C3" s="872">
        <f t="shared" ref="C3:C10" si="1">E3</f>
        <v>0</v>
      </c>
      <c r="D3" s="438">
        <f t="shared" ref="D3:D10" si="2">SUM(E3:F3)</f>
        <v>0</v>
      </c>
      <c r="E3" s="13">
        <f t="shared" ref="E3:E10" si="3">COUNTIF($F$13:$F$68, B3)</f>
        <v>0</v>
      </c>
      <c r="F3" s="438">
        <f t="shared" ref="F3:F10" si="4">COUNTIF($G$13:$G$68, B3)</f>
        <v>0</v>
      </c>
      <c r="G3" s="13">
        <f t="shared" ref="G3:G10" si="5">SUMIFS($C$13:$C$68,$B$13:$B$68,B3)+SUMIFS($D$13:$D$68,$E$13:$E$68,B3)</f>
        <v>0</v>
      </c>
      <c r="H3" s="873">
        <f t="shared" ref="H3:H10" si="6">SUMIFS($C$13:$C$68,$E$13:$E$68,B3)+SUMIFS($D$13:$D$68,$B$13:$B$68,B3)</f>
        <v>0</v>
      </c>
      <c r="I3" s="873">
        <f t="shared" ref="I3:I10" si="7">G3-H3</f>
        <v>0</v>
      </c>
      <c r="J3" s="964"/>
      <c r="K3" s="456">
        <f>'Schedule | 3 Division (OLD)'!J5</f>
        <v>1</v>
      </c>
      <c r="L3" s="875" t="str">
        <f>'Schedule | 3 Division (OLD)'!E5</f>
        <v>RISE</v>
      </c>
      <c r="M3" s="876"/>
      <c r="N3" s="877"/>
      <c r="O3" s="877"/>
      <c r="P3" s="878">
        <f t="shared" ref="P3:P9" si="8">ifs(N3="W","L",N3="L", "W",N3=0,0)</f>
        <v>0</v>
      </c>
      <c r="Q3" s="879" t="str">
        <f t="shared" ref="Q3:Q9" si="9">ifs(M3="Attack","Defense",M3="Defense", "Attack",N3=0, "-")</f>
        <v>-</v>
      </c>
      <c r="R3" s="880" t="str">
        <f>'Schedule | 3 Division (OLD)'!I5</f>
        <v>SAPPIAMO</v>
      </c>
      <c r="S3" s="965"/>
      <c r="T3" s="456">
        <f>'Schedule | 3 Division (OLD)'!J11</f>
        <v>5</v>
      </c>
      <c r="U3" s="881" t="str">
        <f>'Schedule | 3 Division (OLD)'!E11</f>
        <v>ALTF4</v>
      </c>
      <c r="V3" s="876"/>
      <c r="W3" s="877"/>
      <c r="X3" s="877"/>
      <c r="Y3" s="878">
        <f t="shared" ref="Y3:Y9" si="10">ifs(W3="W","L",W3="L", "W",W3=0,0)</f>
        <v>0</v>
      </c>
      <c r="Z3" s="879" t="str">
        <f t="shared" ref="Z3:Z9" si="11">ifs(V3="Attack","Defense",V3="Defense", "Attack",W3=0, "-")</f>
        <v>-</v>
      </c>
      <c r="AA3" s="882" t="str">
        <f>'Schedule | 3 Division (OLD)'!I11</f>
        <v>HEAX</v>
      </c>
      <c r="AB3" s="964"/>
      <c r="AC3" s="456">
        <f>'Schedule | 3 Division (OLD)'!J17</f>
        <v>9</v>
      </c>
      <c r="AD3" s="875" t="str">
        <f>'Schedule | 3 Division (OLD)'!E17</f>
        <v>КОРМ 2</v>
      </c>
      <c r="AE3" s="876"/>
      <c r="AF3" s="877"/>
      <c r="AG3" s="877"/>
      <c r="AH3" s="878">
        <f t="shared" ref="AH3:AH9" si="12">ifs(AF3="W","L",AF3="L", "W",AF3=0,0)</f>
        <v>0</v>
      </c>
      <c r="AI3" s="879" t="str">
        <f t="shared" ref="AI3:AI9" si="13">ifs(AE3="Attack","Defense",AE3="Defense", "Attack",AF3=0, "-")</f>
        <v>-</v>
      </c>
      <c r="AJ3" s="883" t="str">
        <f>'Schedule | 3 Division (OLD)'!I17</f>
        <v>ACHIEVERS</v>
      </c>
      <c r="AK3" s="964"/>
      <c r="AL3" s="456">
        <f>'Schedule | 3 Division (OLD)'!J23</f>
        <v>13</v>
      </c>
      <c r="AM3" s="875" t="str">
        <f>'Schedule | 3 Division (OLD)'!E23</f>
        <v>DEACUERDO</v>
      </c>
      <c r="AN3" s="876"/>
      <c r="AO3" s="877"/>
      <c r="AP3" s="877"/>
      <c r="AQ3" s="878">
        <f t="shared" ref="AQ3:AQ9" si="14">ifs(AO3="W","L",AO3="L", "W",AO3=0,0)</f>
        <v>0</v>
      </c>
      <c r="AR3" s="879" t="str">
        <f t="shared" ref="AR3:AR9" si="15">ifs(AN3="Attack","Defense",AN3="Defense", "Attack",AO3=0, "-")</f>
        <v>-</v>
      </c>
      <c r="AS3" s="883" t="str">
        <f>'Schedule | 3 Division (OLD)'!I23</f>
        <v>RISE</v>
      </c>
      <c r="AT3" s="966"/>
      <c r="AU3" s="456">
        <f>'Schedule | 3 Division (OLD)'!J29</f>
        <v>17</v>
      </c>
      <c r="AV3" s="875" t="str">
        <f>'Schedule | 3 Division (OLD)'!E29</f>
        <v>DEACUERDO</v>
      </c>
      <c r="AW3" s="876"/>
      <c r="AX3" s="877"/>
      <c r="AY3" s="877"/>
      <c r="AZ3" s="878">
        <f t="shared" ref="AZ3:AZ9" si="16">ifs(AX3="W","L",AX3="L", "W",AX3=0,0)</f>
        <v>0</v>
      </c>
      <c r="BA3" s="879" t="str">
        <f t="shared" ref="BA3:BA9" si="17">ifs(AW3="Attack","Defense",AW3="Defense", "Attack",AX3=0, "-")</f>
        <v>-</v>
      </c>
      <c r="BB3" s="883" t="str">
        <f>'Schedule | 3 Division (OLD)'!I29</f>
        <v>ACHIEVERS</v>
      </c>
      <c r="BC3" s="966"/>
      <c r="BD3" s="456">
        <f>'Schedule | 3 Division (OLD)'!J35</f>
        <v>21</v>
      </c>
      <c r="BE3" s="885" t="str">
        <f>'Schedule | 3 Division (OLD)'!E35</f>
        <v>RISE</v>
      </c>
      <c r="BF3" s="876"/>
      <c r="BG3" s="877"/>
      <c r="BH3" s="877"/>
      <c r="BI3" s="878">
        <f t="shared" ref="BI3:BI9" si="18">ifs(BG3="W","L",BG3="L", "W",BG3=0,0)</f>
        <v>0</v>
      </c>
      <c r="BJ3" s="879" t="str">
        <f t="shared" ref="BJ3:BJ9" si="19">ifs(BF3="Attack","Defense",BF3="Defense", "Attack",BG3=0, "-")</f>
        <v>-</v>
      </c>
      <c r="BK3" s="886" t="str">
        <f>'Schedule | 3 Division (OLD)'!I35</f>
        <v>ALTF4</v>
      </c>
      <c r="BL3" s="966"/>
      <c r="BM3" s="456">
        <f>'Schedule | 3 Division (OLD)'!J41</f>
        <v>25</v>
      </c>
      <c r="BN3" s="887" t="str">
        <f>'Schedule | 3 Division (OLD)'!E41</f>
        <v>ACHIEVERS</v>
      </c>
      <c r="BO3" s="876"/>
      <c r="BP3" s="877"/>
      <c r="BQ3" s="877"/>
      <c r="BR3" s="878">
        <f t="shared" ref="BR3:BR9" si="20">ifs(BP3="W","L",BP3="L", "W",BP3=0,0)</f>
        <v>0</v>
      </c>
      <c r="BS3" s="879" t="str">
        <f t="shared" ref="BS3:BS9" si="21">ifs(BO3="Attack","Defense",BO3="Defense", "Attack",BP3=0, "-")</f>
        <v>-</v>
      </c>
      <c r="BT3" s="883" t="str">
        <f>'Schedule | 3 Division (OLD)'!I41</f>
        <v>SAPPIAMO</v>
      </c>
      <c r="BU3" s="966"/>
      <c r="BV3" s="456">
        <f>'Schedule | 3 Division (OLD)'!P5</f>
        <v>29</v>
      </c>
      <c r="BW3" s="447" t="str">
        <f>'Schedule | 3 Division (OLD)'!K5</f>
        <v>SAPPIAMO</v>
      </c>
      <c r="BX3" s="876"/>
      <c r="BY3" s="877"/>
      <c r="BZ3" s="877"/>
      <c r="CA3" s="878">
        <f t="shared" ref="CA3:CA9" si="22">ifs(BY3="W","L",BY3="L", "W",BY3=0,0)</f>
        <v>0</v>
      </c>
      <c r="CB3" s="879" t="str">
        <f t="shared" ref="CB3:CB9" si="23">ifs(BX3="Attack","Defense",BX3="Defense", "Attack",BY3=0, "-")</f>
        <v>-</v>
      </c>
      <c r="CC3" s="882" t="str">
        <f>'Schedule | 3 Division (OLD)'!O5</f>
        <v>RISE</v>
      </c>
      <c r="CD3" s="966"/>
      <c r="CE3" s="456">
        <f>'Schedule | 3 Division (OLD)'!P11</f>
        <v>33</v>
      </c>
      <c r="CF3" s="447" t="str">
        <f>'Schedule | 3 Division (OLD)'!K11</f>
        <v>HEAX</v>
      </c>
      <c r="CG3" s="876"/>
      <c r="CH3" s="877"/>
      <c r="CI3" s="877"/>
      <c r="CJ3" s="878">
        <f t="shared" ref="CJ3:CJ9" si="24">ifs(CH3="W","L",CH3="L", "W",CH3=0,0)</f>
        <v>0</v>
      </c>
      <c r="CK3" s="879" t="str">
        <f t="shared" ref="CK3:CK9" si="25">ifs(CG3="Attack","Defense",CG3="Defense", "Attack",CH3=0, "-")</f>
        <v>-</v>
      </c>
      <c r="CL3" s="882" t="str">
        <f>'Schedule | 3 Division (OLD)'!O11</f>
        <v>ALTF4</v>
      </c>
      <c r="CM3" s="966"/>
      <c r="CN3" s="456">
        <f>'Schedule | 3 Division (OLD)'!P17</f>
        <v>37</v>
      </c>
      <c r="CO3" s="447" t="str">
        <f>'Schedule | 3 Division (OLD)'!K17</f>
        <v>ACHIEVERS</v>
      </c>
      <c r="CP3" s="876"/>
      <c r="CQ3" s="877"/>
      <c r="CR3" s="877"/>
      <c r="CS3" s="878">
        <f t="shared" ref="CS3:CS9" si="26">ifs(CQ3="W","L",CQ3="L", "W",CQ3=0,0)</f>
        <v>0</v>
      </c>
      <c r="CT3" s="879" t="str">
        <f t="shared" ref="CT3:CT9" si="27">ifs(CP3="Attack","Defense",CP3="Defense", "Attack",CQ3=0, "-")</f>
        <v>-</v>
      </c>
      <c r="CU3" s="882" t="str">
        <f>'Schedule | 3 Division (OLD)'!O17</f>
        <v>КОРМ 2</v>
      </c>
      <c r="CV3" s="966"/>
      <c r="CW3" s="456">
        <f>'Schedule | 3 Division (OLD)'!P23</f>
        <v>41</v>
      </c>
      <c r="CX3" s="447" t="str">
        <f>'Schedule | 3 Division (OLD)'!K23</f>
        <v>КОРМ 2</v>
      </c>
      <c r="CY3" s="876"/>
      <c r="CZ3" s="877"/>
      <c r="DA3" s="877"/>
      <c r="DB3" s="878">
        <f t="shared" ref="DB3:DB9" si="28">ifs(CZ3="W","L",CZ3="L", "W",CZ3=0,0)</f>
        <v>0</v>
      </c>
      <c r="DC3" s="879" t="str">
        <f t="shared" ref="DC3:DC9" si="29">ifs(CY3="Attack","Defense",CY3="Defense", "Attack",CZ3=0, "-")</f>
        <v>-</v>
      </c>
      <c r="DD3" s="882" t="str">
        <f>'Schedule | 3 Division (OLD)'!O23</f>
        <v>SAPPIAMO</v>
      </c>
      <c r="DE3" s="966"/>
      <c r="DF3" s="456">
        <f>'Schedule | 3 Division (OLD)'!P29</f>
        <v>45</v>
      </c>
      <c r="DG3" s="881" t="str">
        <f>'Schedule | 3 Division (OLD)'!K29</f>
        <v>ALTF4</v>
      </c>
      <c r="DH3" s="876"/>
      <c r="DI3" s="877"/>
      <c r="DJ3" s="877"/>
      <c r="DK3" s="878">
        <f t="shared" ref="DK3:DK9" si="30">ifs(DI3="W","L",DI3="L", "W",DI3=0,0)</f>
        <v>0</v>
      </c>
      <c r="DL3" s="879" t="str">
        <f t="shared" ref="DL3:DL9" si="31">ifs(DH3="Attack","Defense",DH3="Defense", "Attack",DI3=0, "-")</f>
        <v>-</v>
      </c>
      <c r="DM3" s="882" t="str">
        <f>'Schedule | 3 Division (OLD)'!O29</f>
        <v>BOGATYRI</v>
      </c>
      <c r="DN3" s="966"/>
      <c r="DO3" s="456">
        <f>'Schedule | 3 Division (OLD)'!P35</f>
        <v>49</v>
      </c>
      <c r="DP3" s="875" t="str">
        <f>'Schedule | 3 Division (OLD)'!K35</f>
        <v>DEACUERDO</v>
      </c>
      <c r="DQ3" s="876"/>
      <c r="DR3" s="877"/>
      <c r="DS3" s="877"/>
      <c r="DT3" s="878">
        <f t="shared" ref="DT3:DT9" si="32">ifs(DR3="W","L",DR3="L", "W",DR3=0,0)</f>
        <v>0</v>
      </c>
      <c r="DU3" s="879" t="str">
        <f t="shared" ref="DU3:DU9" si="33">ifs(DQ3="Attack","Defense",DQ3="Defense", "Attack",DR3=0, "-")</f>
        <v>-</v>
      </c>
      <c r="DV3" s="888" t="str">
        <f>'Schedule | 3 Division (OLD)'!O35</f>
        <v>SAPPIAMO</v>
      </c>
      <c r="DW3" s="966"/>
      <c r="DX3" s="456">
        <f>'Schedule | 3 Division (OLD)'!P41</f>
        <v>53</v>
      </c>
      <c r="DY3" s="875" t="str">
        <f>'Schedule | 3 Division (OLD)'!K41</f>
        <v>HEAX</v>
      </c>
      <c r="DZ3" s="876"/>
      <c r="EA3" s="877"/>
      <c r="EB3" s="877"/>
      <c r="EC3" s="878">
        <f t="shared" ref="EC3:EC9" si="34">ifs(EA3="W","L",EA3="L", "W",EA3=0,0)</f>
        <v>0</v>
      </c>
      <c r="ED3" s="879" t="str">
        <f t="shared" ref="ED3:ED9" si="35">ifs(DZ3="Attack","Defense",DZ3="Defense", "Attack",EA3=0, "-")</f>
        <v>-</v>
      </c>
      <c r="EE3" s="883" t="str">
        <f>'Schedule | 3 Division (OLD)'!O41</f>
        <v>DEACUERDO</v>
      </c>
    </row>
    <row r="4">
      <c r="A4" s="967">
        <v>2.0</v>
      </c>
      <c r="B4" s="30" t="str">
        <f>'Schedule | 3 Division (OLD)'!B4</f>
        <v>BOGATYRI</v>
      </c>
      <c r="C4" s="538">
        <f t="shared" si="1"/>
        <v>0</v>
      </c>
      <c r="D4" s="30">
        <f t="shared" si="2"/>
        <v>0</v>
      </c>
      <c r="E4" s="33">
        <f t="shared" si="3"/>
        <v>0</v>
      </c>
      <c r="F4" s="30">
        <f t="shared" si="4"/>
        <v>0</v>
      </c>
      <c r="G4" s="33">
        <f t="shared" si="5"/>
        <v>0</v>
      </c>
      <c r="H4" s="433">
        <f t="shared" si="6"/>
        <v>0</v>
      </c>
      <c r="I4" s="433">
        <f t="shared" si="7"/>
        <v>0</v>
      </c>
      <c r="J4" s="964"/>
      <c r="K4" s="66"/>
      <c r="L4" s="55"/>
      <c r="M4" s="876"/>
      <c r="N4" s="890"/>
      <c r="O4" s="890"/>
      <c r="P4" s="891">
        <f t="shared" si="8"/>
        <v>0</v>
      </c>
      <c r="Q4" s="892" t="str">
        <f t="shared" si="9"/>
        <v>-</v>
      </c>
      <c r="S4" s="965"/>
      <c r="T4" s="66"/>
      <c r="V4" s="876"/>
      <c r="W4" s="890"/>
      <c r="X4" s="890"/>
      <c r="Y4" s="891">
        <f t="shared" si="10"/>
        <v>0</v>
      </c>
      <c r="Z4" s="892" t="str">
        <f t="shared" si="11"/>
        <v>-</v>
      </c>
      <c r="AA4" s="92"/>
      <c r="AB4" s="964"/>
      <c r="AC4" s="66"/>
      <c r="AD4" s="55"/>
      <c r="AE4" s="876"/>
      <c r="AF4" s="890"/>
      <c r="AG4" s="890"/>
      <c r="AH4" s="891">
        <f t="shared" si="12"/>
        <v>0</v>
      </c>
      <c r="AI4" s="892" t="str">
        <f t="shared" si="13"/>
        <v>-</v>
      </c>
      <c r="AJ4" s="92"/>
      <c r="AK4" s="964"/>
      <c r="AL4" s="66"/>
      <c r="AM4" s="55"/>
      <c r="AN4" s="876"/>
      <c r="AO4" s="890"/>
      <c r="AP4" s="890"/>
      <c r="AQ4" s="891">
        <f t="shared" si="14"/>
        <v>0</v>
      </c>
      <c r="AR4" s="892" t="str">
        <f t="shared" si="15"/>
        <v>-</v>
      </c>
      <c r="AS4" s="92"/>
      <c r="AT4" s="966"/>
      <c r="AU4" s="66"/>
      <c r="AV4" s="55"/>
      <c r="AW4" s="876"/>
      <c r="AX4" s="890"/>
      <c r="AY4" s="890"/>
      <c r="AZ4" s="891">
        <f t="shared" si="16"/>
        <v>0</v>
      </c>
      <c r="BA4" s="892" t="str">
        <f t="shared" si="17"/>
        <v>-</v>
      </c>
      <c r="BB4" s="92"/>
      <c r="BC4" s="966"/>
      <c r="BD4" s="66"/>
      <c r="BE4" s="55"/>
      <c r="BF4" s="876"/>
      <c r="BG4" s="890"/>
      <c r="BH4" s="890"/>
      <c r="BI4" s="891">
        <f t="shared" si="18"/>
        <v>0</v>
      </c>
      <c r="BJ4" s="892" t="str">
        <f t="shared" si="19"/>
        <v>-</v>
      </c>
      <c r="BK4" s="92"/>
      <c r="BL4" s="966"/>
      <c r="BM4" s="66"/>
      <c r="BN4" s="55"/>
      <c r="BO4" s="876"/>
      <c r="BP4" s="890"/>
      <c r="BQ4" s="890"/>
      <c r="BR4" s="891">
        <f t="shared" si="20"/>
        <v>0</v>
      </c>
      <c r="BS4" s="892" t="str">
        <f t="shared" si="21"/>
        <v>-</v>
      </c>
      <c r="BT4" s="92"/>
      <c r="BU4" s="966"/>
      <c r="BV4" s="66"/>
      <c r="BX4" s="876"/>
      <c r="BY4" s="890"/>
      <c r="BZ4" s="890"/>
      <c r="CA4" s="891">
        <f t="shared" si="22"/>
        <v>0</v>
      </c>
      <c r="CB4" s="892" t="str">
        <f t="shared" si="23"/>
        <v>-</v>
      </c>
      <c r="CC4" s="92"/>
      <c r="CD4" s="966"/>
      <c r="CE4" s="66"/>
      <c r="CG4" s="876"/>
      <c r="CH4" s="890"/>
      <c r="CI4" s="890"/>
      <c r="CJ4" s="891">
        <f t="shared" si="24"/>
        <v>0</v>
      </c>
      <c r="CK4" s="892" t="str">
        <f t="shared" si="25"/>
        <v>-</v>
      </c>
      <c r="CL4" s="92"/>
      <c r="CM4" s="966"/>
      <c r="CN4" s="66"/>
      <c r="CP4" s="876"/>
      <c r="CQ4" s="890"/>
      <c r="CR4" s="890"/>
      <c r="CS4" s="891">
        <f t="shared" si="26"/>
        <v>0</v>
      </c>
      <c r="CT4" s="892" t="str">
        <f t="shared" si="27"/>
        <v>-</v>
      </c>
      <c r="CU4" s="92"/>
      <c r="CV4" s="966"/>
      <c r="CW4" s="66"/>
      <c r="CY4" s="876"/>
      <c r="CZ4" s="890"/>
      <c r="DA4" s="890"/>
      <c r="DB4" s="891">
        <f t="shared" si="28"/>
        <v>0</v>
      </c>
      <c r="DC4" s="892" t="str">
        <f t="shared" si="29"/>
        <v>-</v>
      </c>
      <c r="DD4" s="92"/>
      <c r="DE4" s="966"/>
      <c r="DF4" s="66"/>
      <c r="DH4" s="876"/>
      <c r="DI4" s="890"/>
      <c r="DJ4" s="890"/>
      <c r="DK4" s="891">
        <f t="shared" si="30"/>
        <v>0</v>
      </c>
      <c r="DL4" s="892" t="str">
        <f t="shared" si="31"/>
        <v>-</v>
      </c>
      <c r="DM4" s="92"/>
      <c r="DN4" s="966"/>
      <c r="DO4" s="66"/>
      <c r="DP4" s="55"/>
      <c r="DQ4" s="876"/>
      <c r="DR4" s="890"/>
      <c r="DS4" s="890"/>
      <c r="DT4" s="891">
        <f t="shared" si="32"/>
        <v>0</v>
      </c>
      <c r="DU4" s="892" t="str">
        <f t="shared" si="33"/>
        <v>-</v>
      </c>
      <c r="DV4" s="92"/>
      <c r="DW4" s="966"/>
      <c r="DX4" s="66"/>
      <c r="DY4" s="55"/>
      <c r="DZ4" s="876"/>
      <c r="EA4" s="890"/>
      <c r="EB4" s="890"/>
      <c r="EC4" s="891">
        <f t="shared" si="34"/>
        <v>0</v>
      </c>
      <c r="ED4" s="892" t="str">
        <f t="shared" si="35"/>
        <v>-</v>
      </c>
      <c r="EE4" s="92"/>
    </row>
    <row r="5">
      <c r="A5" s="967">
        <v>3.0</v>
      </c>
      <c r="B5" s="30" t="str">
        <f>'Schedule | 3 Division (OLD)'!B5</f>
        <v>КОРМ 2</v>
      </c>
      <c r="C5" s="538">
        <f t="shared" si="1"/>
        <v>0</v>
      </c>
      <c r="D5" s="30">
        <f t="shared" si="2"/>
        <v>0</v>
      </c>
      <c r="E5" s="33">
        <f t="shared" si="3"/>
        <v>0</v>
      </c>
      <c r="F5" s="30">
        <f t="shared" si="4"/>
        <v>0</v>
      </c>
      <c r="G5" s="33">
        <f t="shared" si="5"/>
        <v>0</v>
      </c>
      <c r="H5" s="433">
        <f t="shared" si="6"/>
        <v>0</v>
      </c>
      <c r="I5" s="433">
        <f t="shared" si="7"/>
        <v>0</v>
      </c>
      <c r="J5" s="964"/>
      <c r="K5" s="66"/>
      <c r="L5" s="55"/>
      <c r="M5" s="876"/>
      <c r="N5" s="890"/>
      <c r="O5" s="890"/>
      <c r="P5" s="891">
        <f t="shared" si="8"/>
        <v>0</v>
      </c>
      <c r="Q5" s="892" t="str">
        <f t="shared" si="9"/>
        <v>-</v>
      </c>
      <c r="S5" s="965"/>
      <c r="T5" s="66"/>
      <c r="V5" s="876"/>
      <c r="W5" s="890"/>
      <c r="X5" s="890"/>
      <c r="Y5" s="891">
        <f t="shared" si="10"/>
        <v>0</v>
      </c>
      <c r="Z5" s="892" t="str">
        <f t="shared" si="11"/>
        <v>-</v>
      </c>
      <c r="AA5" s="92"/>
      <c r="AB5" s="964"/>
      <c r="AC5" s="66"/>
      <c r="AD5" s="55"/>
      <c r="AE5" s="876"/>
      <c r="AF5" s="890"/>
      <c r="AG5" s="890"/>
      <c r="AH5" s="891">
        <f t="shared" si="12"/>
        <v>0</v>
      </c>
      <c r="AI5" s="892" t="str">
        <f t="shared" si="13"/>
        <v>-</v>
      </c>
      <c r="AJ5" s="92"/>
      <c r="AK5" s="964"/>
      <c r="AL5" s="66"/>
      <c r="AM5" s="55"/>
      <c r="AN5" s="876"/>
      <c r="AO5" s="890"/>
      <c r="AP5" s="890"/>
      <c r="AQ5" s="891">
        <f t="shared" si="14"/>
        <v>0</v>
      </c>
      <c r="AR5" s="892" t="str">
        <f t="shared" si="15"/>
        <v>-</v>
      </c>
      <c r="AS5" s="92"/>
      <c r="AT5" s="966"/>
      <c r="AU5" s="66"/>
      <c r="AV5" s="55"/>
      <c r="AW5" s="876"/>
      <c r="AX5" s="890"/>
      <c r="AY5" s="890"/>
      <c r="AZ5" s="891">
        <f t="shared" si="16"/>
        <v>0</v>
      </c>
      <c r="BA5" s="892" t="str">
        <f t="shared" si="17"/>
        <v>-</v>
      </c>
      <c r="BB5" s="92"/>
      <c r="BC5" s="966"/>
      <c r="BD5" s="66"/>
      <c r="BE5" s="55"/>
      <c r="BF5" s="876"/>
      <c r="BG5" s="890"/>
      <c r="BH5" s="890"/>
      <c r="BI5" s="891">
        <f t="shared" si="18"/>
        <v>0</v>
      </c>
      <c r="BJ5" s="892" t="str">
        <f t="shared" si="19"/>
        <v>-</v>
      </c>
      <c r="BK5" s="92"/>
      <c r="BL5" s="966"/>
      <c r="BM5" s="66"/>
      <c r="BN5" s="55"/>
      <c r="BO5" s="876"/>
      <c r="BP5" s="890"/>
      <c r="BQ5" s="890"/>
      <c r="BR5" s="891">
        <f t="shared" si="20"/>
        <v>0</v>
      </c>
      <c r="BS5" s="892" t="str">
        <f t="shared" si="21"/>
        <v>-</v>
      </c>
      <c r="BT5" s="92"/>
      <c r="BU5" s="966"/>
      <c r="BV5" s="66"/>
      <c r="BX5" s="876"/>
      <c r="BY5" s="890"/>
      <c r="BZ5" s="890"/>
      <c r="CA5" s="891">
        <f t="shared" si="22"/>
        <v>0</v>
      </c>
      <c r="CB5" s="892" t="str">
        <f t="shared" si="23"/>
        <v>-</v>
      </c>
      <c r="CC5" s="92"/>
      <c r="CD5" s="966"/>
      <c r="CE5" s="66"/>
      <c r="CG5" s="876"/>
      <c r="CH5" s="890"/>
      <c r="CI5" s="890"/>
      <c r="CJ5" s="891">
        <f t="shared" si="24"/>
        <v>0</v>
      </c>
      <c r="CK5" s="892" t="str">
        <f t="shared" si="25"/>
        <v>-</v>
      </c>
      <c r="CL5" s="92"/>
      <c r="CM5" s="966"/>
      <c r="CN5" s="66"/>
      <c r="CP5" s="876"/>
      <c r="CQ5" s="890"/>
      <c r="CR5" s="890"/>
      <c r="CS5" s="891">
        <f t="shared" si="26"/>
        <v>0</v>
      </c>
      <c r="CT5" s="892" t="str">
        <f t="shared" si="27"/>
        <v>-</v>
      </c>
      <c r="CU5" s="92"/>
      <c r="CV5" s="966"/>
      <c r="CW5" s="66"/>
      <c r="CY5" s="876"/>
      <c r="CZ5" s="890"/>
      <c r="DA5" s="890"/>
      <c r="DB5" s="891">
        <f t="shared" si="28"/>
        <v>0</v>
      </c>
      <c r="DC5" s="892" t="str">
        <f t="shared" si="29"/>
        <v>-</v>
      </c>
      <c r="DD5" s="92"/>
      <c r="DE5" s="966"/>
      <c r="DF5" s="66"/>
      <c r="DH5" s="876"/>
      <c r="DI5" s="890"/>
      <c r="DJ5" s="890"/>
      <c r="DK5" s="891">
        <f t="shared" si="30"/>
        <v>0</v>
      </c>
      <c r="DL5" s="892" t="str">
        <f t="shared" si="31"/>
        <v>-</v>
      </c>
      <c r="DM5" s="92"/>
      <c r="DN5" s="966"/>
      <c r="DO5" s="66"/>
      <c r="DP5" s="55"/>
      <c r="DQ5" s="876"/>
      <c r="DR5" s="890"/>
      <c r="DS5" s="890"/>
      <c r="DT5" s="891">
        <f t="shared" si="32"/>
        <v>0</v>
      </c>
      <c r="DU5" s="892" t="str">
        <f t="shared" si="33"/>
        <v>-</v>
      </c>
      <c r="DV5" s="92"/>
      <c r="DW5" s="966"/>
      <c r="DX5" s="66"/>
      <c r="DY5" s="55"/>
      <c r="DZ5" s="876"/>
      <c r="EA5" s="890"/>
      <c r="EB5" s="890"/>
      <c r="EC5" s="891">
        <f t="shared" si="34"/>
        <v>0</v>
      </c>
      <c r="ED5" s="892" t="str">
        <f t="shared" si="35"/>
        <v>-</v>
      </c>
      <c r="EE5" s="92"/>
    </row>
    <row r="6">
      <c r="A6" s="967">
        <v>4.0</v>
      </c>
      <c r="B6" s="30" t="str">
        <f>'Schedule | 3 Division (OLD)'!B6</f>
        <v>ALTF4</v>
      </c>
      <c r="C6" s="538">
        <f t="shared" si="1"/>
        <v>0</v>
      </c>
      <c r="D6" s="30">
        <f t="shared" si="2"/>
        <v>0</v>
      </c>
      <c r="E6" s="33">
        <f t="shared" si="3"/>
        <v>0</v>
      </c>
      <c r="F6" s="30">
        <f t="shared" si="4"/>
        <v>0</v>
      </c>
      <c r="G6" s="33">
        <f t="shared" si="5"/>
        <v>0</v>
      </c>
      <c r="H6" s="433">
        <f t="shared" si="6"/>
        <v>0</v>
      </c>
      <c r="I6" s="433">
        <f t="shared" si="7"/>
        <v>0</v>
      </c>
      <c r="J6" s="964"/>
      <c r="K6" s="66"/>
      <c r="L6" s="55"/>
      <c r="M6" s="876"/>
      <c r="N6" s="890"/>
      <c r="O6" s="890"/>
      <c r="P6" s="891">
        <f t="shared" si="8"/>
        <v>0</v>
      </c>
      <c r="Q6" s="892" t="str">
        <f t="shared" si="9"/>
        <v>-</v>
      </c>
      <c r="S6" s="965"/>
      <c r="T6" s="66"/>
      <c r="V6" s="876"/>
      <c r="W6" s="890"/>
      <c r="X6" s="890"/>
      <c r="Y6" s="891">
        <f t="shared" si="10"/>
        <v>0</v>
      </c>
      <c r="Z6" s="892" t="str">
        <f t="shared" si="11"/>
        <v>-</v>
      </c>
      <c r="AA6" s="92"/>
      <c r="AB6" s="964"/>
      <c r="AC6" s="66"/>
      <c r="AD6" s="55"/>
      <c r="AE6" s="876"/>
      <c r="AF6" s="890"/>
      <c r="AG6" s="890"/>
      <c r="AH6" s="891">
        <f t="shared" si="12"/>
        <v>0</v>
      </c>
      <c r="AI6" s="892" t="str">
        <f t="shared" si="13"/>
        <v>-</v>
      </c>
      <c r="AJ6" s="92"/>
      <c r="AK6" s="964"/>
      <c r="AL6" s="66"/>
      <c r="AM6" s="55"/>
      <c r="AN6" s="876"/>
      <c r="AO6" s="890"/>
      <c r="AP6" s="890"/>
      <c r="AQ6" s="891">
        <f t="shared" si="14"/>
        <v>0</v>
      </c>
      <c r="AR6" s="892" t="str">
        <f t="shared" si="15"/>
        <v>-</v>
      </c>
      <c r="AS6" s="92"/>
      <c r="AT6" s="966"/>
      <c r="AU6" s="66"/>
      <c r="AV6" s="55"/>
      <c r="AW6" s="876"/>
      <c r="AX6" s="890"/>
      <c r="AY6" s="890"/>
      <c r="AZ6" s="891">
        <f t="shared" si="16"/>
        <v>0</v>
      </c>
      <c r="BA6" s="892" t="str">
        <f t="shared" si="17"/>
        <v>-</v>
      </c>
      <c r="BB6" s="92"/>
      <c r="BC6" s="966"/>
      <c r="BD6" s="66"/>
      <c r="BE6" s="55"/>
      <c r="BF6" s="876"/>
      <c r="BG6" s="890"/>
      <c r="BH6" s="890"/>
      <c r="BI6" s="891">
        <f t="shared" si="18"/>
        <v>0</v>
      </c>
      <c r="BJ6" s="892" t="str">
        <f t="shared" si="19"/>
        <v>-</v>
      </c>
      <c r="BK6" s="92"/>
      <c r="BL6" s="966"/>
      <c r="BM6" s="66"/>
      <c r="BN6" s="55"/>
      <c r="BO6" s="876"/>
      <c r="BP6" s="890"/>
      <c r="BQ6" s="890"/>
      <c r="BR6" s="891">
        <f t="shared" si="20"/>
        <v>0</v>
      </c>
      <c r="BS6" s="892" t="str">
        <f t="shared" si="21"/>
        <v>-</v>
      </c>
      <c r="BT6" s="92"/>
      <c r="BU6" s="966"/>
      <c r="BV6" s="66"/>
      <c r="BX6" s="876"/>
      <c r="BY6" s="890"/>
      <c r="BZ6" s="890"/>
      <c r="CA6" s="891">
        <f t="shared" si="22"/>
        <v>0</v>
      </c>
      <c r="CB6" s="892" t="str">
        <f t="shared" si="23"/>
        <v>-</v>
      </c>
      <c r="CC6" s="92"/>
      <c r="CD6" s="966"/>
      <c r="CE6" s="66"/>
      <c r="CG6" s="876"/>
      <c r="CH6" s="890"/>
      <c r="CI6" s="890"/>
      <c r="CJ6" s="891">
        <f t="shared" si="24"/>
        <v>0</v>
      </c>
      <c r="CK6" s="892" t="str">
        <f t="shared" si="25"/>
        <v>-</v>
      </c>
      <c r="CL6" s="92"/>
      <c r="CM6" s="966"/>
      <c r="CN6" s="66"/>
      <c r="CP6" s="876"/>
      <c r="CQ6" s="890"/>
      <c r="CR6" s="890"/>
      <c r="CS6" s="891">
        <f t="shared" si="26"/>
        <v>0</v>
      </c>
      <c r="CT6" s="892" t="str">
        <f t="shared" si="27"/>
        <v>-</v>
      </c>
      <c r="CU6" s="92"/>
      <c r="CV6" s="966"/>
      <c r="CW6" s="66"/>
      <c r="CY6" s="876"/>
      <c r="CZ6" s="890"/>
      <c r="DA6" s="890"/>
      <c r="DB6" s="891">
        <f t="shared" si="28"/>
        <v>0</v>
      </c>
      <c r="DC6" s="892" t="str">
        <f t="shared" si="29"/>
        <v>-</v>
      </c>
      <c r="DD6" s="92"/>
      <c r="DE6" s="966"/>
      <c r="DF6" s="66"/>
      <c r="DH6" s="876"/>
      <c r="DI6" s="890"/>
      <c r="DJ6" s="890"/>
      <c r="DK6" s="891">
        <f t="shared" si="30"/>
        <v>0</v>
      </c>
      <c r="DL6" s="892" t="str">
        <f t="shared" si="31"/>
        <v>-</v>
      </c>
      <c r="DM6" s="92"/>
      <c r="DN6" s="966"/>
      <c r="DO6" s="66"/>
      <c r="DP6" s="55"/>
      <c r="DQ6" s="876"/>
      <c r="DR6" s="890"/>
      <c r="DS6" s="890"/>
      <c r="DT6" s="891">
        <f t="shared" si="32"/>
        <v>0</v>
      </c>
      <c r="DU6" s="892" t="str">
        <f t="shared" si="33"/>
        <v>-</v>
      </c>
      <c r="DV6" s="92"/>
      <c r="DW6" s="966"/>
      <c r="DX6" s="66"/>
      <c r="DY6" s="55"/>
      <c r="DZ6" s="876"/>
      <c r="EA6" s="890"/>
      <c r="EB6" s="890"/>
      <c r="EC6" s="891">
        <f t="shared" si="34"/>
        <v>0</v>
      </c>
      <c r="ED6" s="892" t="str">
        <f t="shared" si="35"/>
        <v>-</v>
      </c>
      <c r="EE6" s="92"/>
    </row>
    <row r="7">
      <c r="A7" s="967">
        <v>5.0</v>
      </c>
      <c r="B7" s="30" t="str">
        <f>'Schedule | 3 Division (OLD)'!B7</f>
        <v>DEACUERDO</v>
      </c>
      <c r="C7" s="538">
        <f t="shared" si="1"/>
        <v>0</v>
      </c>
      <c r="D7" s="30">
        <f t="shared" si="2"/>
        <v>0</v>
      </c>
      <c r="E7" s="33">
        <f t="shared" si="3"/>
        <v>0</v>
      </c>
      <c r="F7" s="30">
        <f t="shared" si="4"/>
        <v>0</v>
      </c>
      <c r="G7" s="33">
        <f t="shared" si="5"/>
        <v>0</v>
      </c>
      <c r="H7" s="433">
        <f t="shared" si="6"/>
        <v>0</v>
      </c>
      <c r="I7" s="433">
        <f t="shared" si="7"/>
        <v>0</v>
      </c>
      <c r="J7" s="964"/>
      <c r="K7" s="66"/>
      <c r="L7" s="55"/>
      <c r="M7" s="876"/>
      <c r="N7" s="890"/>
      <c r="O7" s="890"/>
      <c r="P7" s="891">
        <f t="shared" si="8"/>
        <v>0</v>
      </c>
      <c r="Q7" s="892" t="str">
        <f t="shared" si="9"/>
        <v>-</v>
      </c>
      <c r="S7" s="965"/>
      <c r="T7" s="66"/>
      <c r="V7" s="876"/>
      <c r="W7" s="890"/>
      <c r="X7" s="890"/>
      <c r="Y7" s="891">
        <f t="shared" si="10"/>
        <v>0</v>
      </c>
      <c r="Z7" s="892" t="str">
        <f t="shared" si="11"/>
        <v>-</v>
      </c>
      <c r="AA7" s="92"/>
      <c r="AB7" s="964"/>
      <c r="AC7" s="66"/>
      <c r="AD7" s="55"/>
      <c r="AE7" s="876"/>
      <c r="AF7" s="890"/>
      <c r="AG7" s="890"/>
      <c r="AH7" s="891">
        <f t="shared" si="12"/>
        <v>0</v>
      </c>
      <c r="AI7" s="892" t="str">
        <f t="shared" si="13"/>
        <v>-</v>
      </c>
      <c r="AJ7" s="92"/>
      <c r="AK7" s="964"/>
      <c r="AL7" s="66"/>
      <c r="AM7" s="55"/>
      <c r="AN7" s="876"/>
      <c r="AO7" s="890"/>
      <c r="AP7" s="890"/>
      <c r="AQ7" s="891">
        <f t="shared" si="14"/>
        <v>0</v>
      </c>
      <c r="AR7" s="892" t="str">
        <f t="shared" si="15"/>
        <v>-</v>
      </c>
      <c r="AS7" s="92"/>
      <c r="AT7" s="966"/>
      <c r="AU7" s="66"/>
      <c r="AV7" s="55"/>
      <c r="AW7" s="876"/>
      <c r="AX7" s="890"/>
      <c r="AY7" s="890"/>
      <c r="AZ7" s="891">
        <f t="shared" si="16"/>
        <v>0</v>
      </c>
      <c r="BA7" s="892" t="str">
        <f t="shared" si="17"/>
        <v>-</v>
      </c>
      <c r="BB7" s="92"/>
      <c r="BC7" s="966"/>
      <c r="BD7" s="66"/>
      <c r="BE7" s="55"/>
      <c r="BF7" s="876"/>
      <c r="BG7" s="890"/>
      <c r="BH7" s="890"/>
      <c r="BI7" s="891">
        <f t="shared" si="18"/>
        <v>0</v>
      </c>
      <c r="BJ7" s="892" t="str">
        <f t="shared" si="19"/>
        <v>-</v>
      </c>
      <c r="BK7" s="92"/>
      <c r="BL7" s="966"/>
      <c r="BM7" s="66"/>
      <c r="BN7" s="55"/>
      <c r="BO7" s="876"/>
      <c r="BP7" s="890"/>
      <c r="BQ7" s="890"/>
      <c r="BR7" s="891">
        <f t="shared" si="20"/>
        <v>0</v>
      </c>
      <c r="BS7" s="892" t="str">
        <f t="shared" si="21"/>
        <v>-</v>
      </c>
      <c r="BT7" s="92"/>
      <c r="BU7" s="966"/>
      <c r="BV7" s="66"/>
      <c r="BX7" s="876"/>
      <c r="BY7" s="890"/>
      <c r="BZ7" s="890"/>
      <c r="CA7" s="891">
        <f t="shared" si="22"/>
        <v>0</v>
      </c>
      <c r="CB7" s="892" t="str">
        <f t="shared" si="23"/>
        <v>-</v>
      </c>
      <c r="CC7" s="92"/>
      <c r="CD7" s="966"/>
      <c r="CE7" s="66"/>
      <c r="CG7" s="876"/>
      <c r="CH7" s="890"/>
      <c r="CI7" s="890"/>
      <c r="CJ7" s="891">
        <f t="shared" si="24"/>
        <v>0</v>
      </c>
      <c r="CK7" s="892" t="str">
        <f t="shared" si="25"/>
        <v>-</v>
      </c>
      <c r="CL7" s="92"/>
      <c r="CM7" s="966"/>
      <c r="CN7" s="66"/>
      <c r="CP7" s="876"/>
      <c r="CQ7" s="890"/>
      <c r="CR7" s="890"/>
      <c r="CS7" s="891">
        <f t="shared" si="26"/>
        <v>0</v>
      </c>
      <c r="CT7" s="892" t="str">
        <f t="shared" si="27"/>
        <v>-</v>
      </c>
      <c r="CU7" s="92"/>
      <c r="CV7" s="966"/>
      <c r="CW7" s="66"/>
      <c r="CY7" s="876"/>
      <c r="CZ7" s="890"/>
      <c r="DA7" s="890"/>
      <c r="DB7" s="891">
        <f t="shared" si="28"/>
        <v>0</v>
      </c>
      <c r="DC7" s="892" t="str">
        <f t="shared" si="29"/>
        <v>-</v>
      </c>
      <c r="DD7" s="92"/>
      <c r="DE7" s="966"/>
      <c r="DF7" s="66"/>
      <c r="DH7" s="876"/>
      <c r="DI7" s="890"/>
      <c r="DJ7" s="890"/>
      <c r="DK7" s="891">
        <f t="shared" si="30"/>
        <v>0</v>
      </c>
      <c r="DL7" s="892" t="str">
        <f t="shared" si="31"/>
        <v>-</v>
      </c>
      <c r="DM7" s="92"/>
      <c r="DN7" s="966"/>
      <c r="DO7" s="66"/>
      <c r="DP7" s="55"/>
      <c r="DQ7" s="876"/>
      <c r="DR7" s="890"/>
      <c r="DS7" s="890"/>
      <c r="DT7" s="891">
        <f t="shared" si="32"/>
        <v>0</v>
      </c>
      <c r="DU7" s="892" t="str">
        <f t="shared" si="33"/>
        <v>-</v>
      </c>
      <c r="DV7" s="92"/>
      <c r="DW7" s="966"/>
      <c r="DX7" s="66"/>
      <c r="DY7" s="55"/>
      <c r="DZ7" s="876"/>
      <c r="EA7" s="890"/>
      <c r="EB7" s="890"/>
      <c r="EC7" s="891">
        <f t="shared" si="34"/>
        <v>0</v>
      </c>
      <c r="ED7" s="892" t="str">
        <f t="shared" si="35"/>
        <v>-</v>
      </c>
      <c r="EE7" s="92"/>
    </row>
    <row r="8">
      <c r="A8" s="967">
        <v>6.0</v>
      </c>
      <c r="B8" s="30" t="str">
        <f>'Schedule | 3 Division (OLD)'!B8</f>
        <v>HEAX</v>
      </c>
      <c r="C8" s="538">
        <f t="shared" si="1"/>
        <v>0</v>
      </c>
      <c r="D8" s="30">
        <f t="shared" si="2"/>
        <v>0</v>
      </c>
      <c r="E8" s="33">
        <f t="shared" si="3"/>
        <v>0</v>
      </c>
      <c r="F8" s="30">
        <f t="shared" si="4"/>
        <v>0</v>
      </c>
      <c r="G8" s="33">
        <f t="shared" si="5"/>
        <v>0</v>
      </c>
      <c r="H8" s="433">
        <f t="shared" si="6"/>
        <v>0</v>
      </c>
      <c r="I8" s="433">
        <f t="shared" si="7"/>
        <v>0</v>
      </c>
      <c r="J8" s="964"/>
      <c r="K8" s="66"/>
      <c r="L8" s="55"/>
      <c r="M8" s="876"/>
      <c r="N8" s="890"/>
      <c r="O8" s="890"/>
      <c r="P8" s="891">
        <f t="shared" si="8"/>
        <v>0</v>
      </c>
      <c r="Q8" s="892" t="str">
        <f t="shared" si="9"/>
        <v>-</v>
      </c>
      <c r="S8" s="965"/>
      <c r="T8" s="66"/>
      <c r="V8" s="876"/>
      <c r="W8" s="890"/>
      <c r="X8" s="890"/>
      <c r="Y8" s="891">
        <f t="shared" si="10"/>
        <v>0</v>
      </c>
      <c r="Z8" s="892" t="str">
        <f t="shared" si="11"/>
        <v>-</v>
      </c>
      <c r="AA8" s="92"/>
      <c r="AB8" s="964"/>
      <c r="AC8" s="66"/>
      <c r="AD8" s="55"/>
      <c r="AE8" s="876"/>
      <c r="AF8" s="890"/>
      <c r="AG8" s="890"/>
      <c r="AH8" s="891">
        <f t="shared" si="12"/>
        <v>0</v>
      </c>
      <c r="AI8" s="892" t="str">
        <f t="shared" si="13"/>
        <v>-</v>
      </c>
      <c r="AJ8" s="92"/>
      <c r="AK8" s="964"/>
      <c r="AL8" s="66"/>
      <c r="AM8" s="55"/>
      <c r="AN8" s="876"/>
      <c r="AO8" s="890"/>
      <c r="AP8" s="890"/>
      <c r="AQ8" s="891">
        <f t="shared" si="14"/>
        <v>0</v>
      </c>
      <c r="AR8" s="892" t="str">
        <f t="shared" si="15"/>
        <v>-</v>
      </c>
      <c r="AS8" s="92"/>
      <c r="AT8" s="966"/>
      <c r="AU8" s="66"/>
      <c r="AV8" s="55"/>
      <c r="AW8" s="876"/>
      <c r="AX8" s="890"/>
      <c r="AY8" s="890"/>
      <c r="AZ8" s="891">
        <f t="shared" si="16"/>
        <v>0</v>
      </c>
      <c r="BA8" s="892" t="str">
        <f t="shared" si="17"/>
        <v>-</v>
      </c>
      <c r="BB8" s="92"/>
      <c r="BC8" s="966"/>
      <c r="BD8" s="66"/>
      <c r="BE8" s="55"/>
      <c r="BF8" s="876"/>
      <c r="BG8" s="890"/>
      <c r="BH8" s="890"/>
      <c r="BI8" s="891">
        <f t="shared" si="18"/>
        <v>0</v>
      </c>
      <c r="BJ8" s="892" t="str">
        <f t="shared" si="19"/>
        <v>-</v>
      </c>
      <c r="BK8" s="92"/>
      <c r="BL8" s="966"/>
      <c r="BM8" s="66"/>
      <c r="BN8" s="55"/>
      <c r="BO8" s="876"/>
      <c r="BP8" s="890"/>
      <c r="BQ8" s="890"/>
      <c r="BR8" s="891">
        <f t="shared" si="20"/>
        <v>0</v>
      </c>
      <c r="BS8" s="892" t="str">
        <f t="shared" si="21"/>
        <v>-</v>
      </c>
      <c r="BT8" s="92"/>
      <c r="BU8" s="966"/>
      <c r="BV8" s="66"/>
      <c r="BX8" s="876"/>
      <c r="BY8" s="890"/>
      <c r="BZ8" s="890"/>
      <c r="CA8" s="891">
        <f t="shared" si="22"/>
        <v>0</v>
      </c>
      <c r="CB8" s="892" t="str">
        <f t="shared" si="23"/>
        <v>-</v>
      </c>
      <c r="CC8" s="92"/>
      <c r="CD8" s="966"/>
      <c r="CE8" s="66"/>
      <c r="CG8" s="876"/>
      <c r="CH8" s="890"/>
      <c r="CI8" s="890"/>
      <c r="CJ8" s="891">
        <f t="shared" si="24"/>
        <v>0</v>
      </c>
      <c r="CK8" s="892" t="str">
        <f t="shared" si="25"/>
        <v>-</v>
      </c>
      <c r="CL8" s="92"/>
      <c r="CM8" s="966"/>
      <c r="CN8" s="66"/>
      <c r="CP8" s="876"/>
      <c r="CQ8" s="890"/>
      <c r="CR8" s="890"/>
      <c r="CS8" s="891">
        <f t="shared" si="26"/>
        <v>0</v>
      </c>
      <c r="CT8" s="892" t="str">
        <f t="shared" si="27"/>
        <v>-</v>
      </c>
      <c r="CU8" s="92"/>
      <c r="CV8" s="966"/>
      <c r="CW8" s="66"/>
      <c r="CY8" s="876"/>
      <c r="CZ8" s="890"/>
      <c r="DA8" s="890"/>
      <c r="DB8" s="891">
        <f t="shared" si="28"/>
        <v>0</v>
      </c>
      <c r="DC8" s="892" t="str">
        <f t="shared" si="29"/>
        <v>-</v>
      </c>
      <c r="DD8" s="92"/>
      <c r="DE8" s="966"/>
      <c r="DF8" s="66"/>
      <c r="DH8" s="876"/>
      <c r="DI8" s="890"/>
      <c r="DJ8" s="890"/>
      <c r="DK8" s="891">
        <f t="shared" si="30"/>
        <v>0</v>
      </c>
      <c r="DL8" s="892" t="str">
        <f t="shared" si="31"/>
        <v>-</v>
      </c>
      <c r="DM8" s="92"/>
      <c r="DN8" s="966"/>
      <c r="DO8" s="66"/>
      <c r="DP8" s="55"/>
      <c r="DQ8" s="876"/>
      <c r="DR8" s="890"/>
      <c r="DS8" s="890"/>
      <c r="DT8" s="891">
        <f t="shared" si="32"/>
        <v>0</v>
      </c>
      <c r="DU8" s="892" t="str">
        <f t="shared" si="33"/>
        <v>-</v>
      </c>
      <c r="DV8" s="92"/>
      <c r="DW8" s="966"/>
      <c r="DX8" s="66"/>
      <c r="DY8" s="55"/>
      <c r="DZ8" s="876"/>
      <c r="EA8" s="890"/>
      <c r="EB8" s="890"/>
      <c r="EC8" s="891">
        <f t="shared" si="34"/>
        <v>0</v>
      </c>
      <c r="ED8" s="892" t="str">
        <f t="shared" si="35"/>
        <v>-</v>
      </c>
      <c r="EE8" s="92"/>
    </row>
    <row r="9">
      <c r="A9" s="967">
        <v>7.0</v>
      </c>
      <c r="B9" s="30" t="str">
        <f>'Schedule | 3 Division (OLD)'!B9</f>
        <v>ACHIEVERS</v>
      </c>
      <c r="C9" s="538">
        <f t="shared" si="1"/>
        <v>0</v>
      </c>
      <c r="D9" s="30">
        <f t="shared" si="2"/>
        <v>0</v>
      </c>
      <c r="E9" s="33">
        <f t="shared" si="3"/>
        <v>0</v>
      </c>
      <c r="F9" s="30">
        <f t="shared" si="4"/>
        <v>0</v>
      </c>
      <c r="G9" s="33">
        <f t="shared" si="5"/>
        <v>0</v>
      </c>
      <c r="H9" s="433">
        <f t="shared" si="6"/>
        <v>0</v>
      </c>
      <c r="I9" s="433">
        <f t="shared" si="7"/>
        <v>0</v>
      </c>
      <c r="J9" s="964"/>
      <c r="K9" s="66"/>
      <c r="L9" s="55"/>
      <c r="M9" s="893"/>
      <c r="N9" s="894"/>
      <c r="O9" s="894"/>
      <c r="P9" s="895">
        <f t="shared" si="8"/>
        <v>0</v>
      </c>
      <c r="Q9" s="896" t="str">
        <f t="shared" si="9"/>
        <v>-</v>
      </c>
      <c r="S9" s="965"/>
      <c r="T9" s="66"/>
      <c r="V9" s="893"/>
      <c r="W9" s="894"/>
      <c r="X9" s="894"/>
      <c r="Y9" s="895">
        <f t="shared" si="10"/>
        <v>0</v>
      </c>
      <c r="Z9" s="896" t="str">
        <f t="shared" si="11"/>
        <v>-</v>
      </c>
      <c r="AA9" s="92"/>
      <c r="AB9" s="964"/>
      <c r="AC9" s="66"/>
      <c r="AD9" s="55"/>
      <c r="AE9" s="893"/>
      <c r="AF9" s="894"/>
      <c r="AG9" s="894"/>
      <c r="AH9" s="895">
        <f t="shared" si="12"/>
        <v>0</v>
      </c>
      <c r="AI9" s="896" t="str">
        <f t="shared" si="13"/>
        <v>-</v>
      </c>
      <c r="AJ9" s="92"/>
      <c r="AK9" s="964"/>
      <c r="AL9" s="66"/>
      <c r="AM9" s="55"/>
      <c r="AN9" s="893"/>
      <c r="AO9" s="894"/>
      <c r="AP9" s="894"/>
      <c r="AQ9" s="895">
        <f t="shared" si="14"/>
        <v>0</v>
      </c>
      <c r="AR9" s="896" t="str">
        <f t="shared" si="15"/>
        <v>-</v>
      </c>
      <c r="AS9" s="92"/>
      <c r="AT9" s="966"/>
      <c r="AU9" s="66"/>
      <c r="AV9" s="55"/>
      <c r="AW9" s="893"/>
      <c r="AX9" s="894"/>
      <c r="AY9" s="894"/>
      <c r="AZ9" s="895">
        <f t="shared" si="16"/>
        <v>0</v>
      </c>
      <c r="BA9" s="896" t="str">
        <f t="shared" si="17"/>
        <v>-</v>
      </c>
      <c r="BB9" s="92"/>
      <c r="BC9" s="966"/>
      <c r="BD9" s="66"/>
      <c r="BE9" s="55"/>
      <c r="BF9" s="893"/>
      <c r="BG9" s="894"/>
      <c r="BH9" s="894"/>
      <c r="BI9" s="895">
        <f t="shared" si="18"/>
        <v>0</v>
      </c>
      <c r="BJ9" s="896" t="str">
        <f t="shared" si="19"/>
        <v>-</v>
      </c>
      <c r="BK9" s="92"/>
      <c r="BL9" s="966"/>
      <c r="BM9" s="66"/>
      <c r="BN9" s="55"/>
      <c r="BO9" s="893"/>
      <c r="BP9" s="894"/>
      <c r="BQ9" s="894"/>
      <c r="BR9" s="895">
        <f t="shared" si="20"/>
        <v>0</v>
      </c>
      <c r="BS9" s="896" t="str">
        <f t="shared" si="21"/>
        <v>-</v>
      </c>
      <c r="BT9" s="92"/>
      <c r="BU9" s="966"/>
      <c r="BV9" s="66"/>
      <c r="BX9" s="893"/>
      <c r="BY9" s="894"/>
      <c r="BZ9" s="894"/>
      <c r="CA9" s="895">
        <f t="shared" si="22"/>
        <v>0</v>
      </c>
      <c r="CB9" s="896" t="str">
        <f t="shared" si="23"/>
        <v>-</v>
      </c>
      <c r="CC9" s="92"/>
      <c r="CD9" s="966"/>
      <c r="CE9" s="66"/>
      <c r="CG9" s="893"/>
      <c r="CH9" s="894"/>
      <c r="CI9" s="894"/>
      <c r="CJ9" s="895">
        <f t="shared" si="24"/>
        <v>0</v>
      </c>
      <c r="CK9" s="896" t="str">
        <f t="shared" si="25"/>
        <v>-</v>
      </c>
      <c r="CL9" s="92"/>
      <c r="CM9" s="966"/>
      <c r="CN9" s="66"/>
      <c r="CP9" s="893"/>
      <c r="CQ9" s="894"/>
      <c r="CR9" s="894"/>
      <c r="CS9" s="895">
        <f t="shared" si="26"/>
        <v>0</v>
      </c>
      <c r="CT9" s="896" t="str">
        <f t="shared" si="27"/>
        <v>-</v>
      </c>
      <c r="CU9" s="92"/>
      <c r="CV9" s="966"/>
      <c r="CW9" s="66"/>
      <c r="CY9" s="893"/>
      <c r="CZ9" s="894"/>
      <c r="DA9" s="894"/>
      <c r="DB9" s="895">
        <f t="shared" si="28"/>
        <v>0</v>
      </c>
      <c r="DC9" s="896" t="str">
        <f t="shared" si="29"/>
        <v>-</v>
      </c>
      <c r="DD9" s="92"/>
      <c r="DE9" s="966"/>
      <c r="DF9" s="66"/>
      <c r="DH9" s="893"/>
      <c r="DI9" s="894"/>
      <c r="DJ9" s="894"/>
      <c r="DK9" s="895">
        <f t="shared" si="30"/>
        <v>0</v>
      </c>
      <c r="DL9" s="896" t="str">
        <f t="shared" si="31"/>
        <v>-</v>
      </c>
      <c r="DM9" s="92"/>
      <c r="DN9" s="966"/>
      <c r="DO9" s="66"/>
      <c r="DP9" s="55"/>
      <c r="DQ9" s="893"/>
      <c r="DR9" s="894"/>
      <c r="DS9" s="894"/>
      <c r="DT9" s="895">
        <f t="shared" si="32"/>
        <v>0</v>
      </c>
      <c r="DU9" s="896" t="str">
        <f t="shared" si="33"/>
        <v>-</v>
      </c>
      <c r="DV9" s="92"/>
      <c r="DW9" s="966"/>
      <c r="DX9" s="66"/>
      <c r="DY9" s="55"/>
      <c r="DZ9" s="893"/>
      <c r="EA9" s="894"/>
      <c r="EB9" s="894"/>
      <c r="EC9" s="895">
        <f t="shared" si="34"/>
        <v>0</v>
      </c>
      <c r="ED9" s="896" t="str">
        <f t="shared" si="35"/>
        <v>-</v>
      </c>
      <c r="EE9" s="92"/>
    </row>
    <row r="10">
      <c r="A10" s="968">
        <v>8.0</v>
      </c>
      <c r="B10" s="431" t="str">
        <f>'Schedule | 3 Division (OLD)'!B10</f>
        <v>SAPPIAMO</v>
      </c>
      <c r="C10" s="548">
        <f t="shared" si="1"/>
        <v>0</v>
      </c>
      <c r="D10" s="431">
        <f t="shared" si="2"/>
        <v>0</v>
      </c>
      <c r="E10" s="40">
        <f t="shared" si="3"/>
        <v>0</v>
      </c>
      <c r="F10" s="431">
        <f t="shared" si="4"/>
        <v>0</v>
      </c>
      <c r="G10" s="40">
        <f t="shared" si="5"/>
        <v>0</v>
      </c>
      <c r="H10" s="434">
        <f t="shared" si="6"/>
        <v>0</v>
      </c>
      <c r="I10" s="434">
        <f t="shared" si="7"/>
        <v>0</v>
      </c>
      <c r="J10" s="964"/>
      <c r="K10" s="94"/>
      <c r="L10" s="61"/>
      <c r="M10" s="898">
        <f>COUNTIF(N3:N9, "W")</f>
        <v>0</v>
      </c>
      <c r="N10" s="144"/>
      <c r="O10" s="894" t="s">
        <v>816</v>
      </c>
      <c r="P10" s="899">
        <f>COUNTIF(P3:P9, "W")</f>
        <v>0</v>
      </c>
      <c r="Q10" s="93"/>
      <c r="R10" s="22"/>
      <c r="S10" s="965"/>
      <c r="T10" s="94"/>
      <c r="V10" s="898">
        <f>COUNTIF(W3:W9, "W")</f>
        <v>0</v>
      </c>
      <c r="W10" s="144"/>
      <c r="X10" s="894" t="s">
        <v>816</v>
      </c>
      <c r="Y10" s="899">
        <f>COUNTIF(Y3:Y9, "W")</f>
        <v>0</v>
      </c>
      <c r="Z10" s="93"/>
      <c r="AA10" s="92"/>
      <c r="AB10" s="964"/>
      <c r="AC10" s="94"/>
      <c r="AD10" s="61"/>
      <c r="AE10" s="898">
        <f>COUNTIF(AF3:AF9, "W")</f>
        <v>0</v>
      </c>
      <c r="AF10" s="144"/>
      <c r="AG10" s="894" t="s">
        <v>816</v>
      </c>
      <c r="AH10" s="899">
        <f>COUNTIF(AH3:AH9, "W")</f>
        <v>0</v>
      </c>
      <c r="AI10" s="93"/>
      <c r="AJ10" s="93"/>
      <c r="AK10" s="964"/>
      <c r="AL10" s="94"/>
      <c r="AM10" s="61"/>
      <c r="AN10" s="898">
        <f>COUNTIF(AO3:AO9, "W")</f>
        <v>0</v>
      </c>
      <c r="AO10" s="144"/>
      <c r="AP10" s="894" t="s">
        <v>816</v>
      </c>
      <c r="AQ10" s="899">
        <f>COUNTIF(AQ3:AQ9, "W")</f>
        <v>0</v>
      </c>
      <c r="AR10" s="93"/>
      <c r="AS10" s="93"/>
      <c r="AT10" s="966"/>
      <c r="AU10" s="94"/>
      <c r="AV10" s="61"/>
      <c r="AW10" s="898">
        <f>COUNTIF(AX3:AX9, "W")</f>
        <v>0</v>
      </c>
      <c r="AX10" s="144"/>
      <c r="AY10" s="894" t="s">
        <v>816</v>
      </c>
      <c r="AZ10" s="899">
        <f>COUNTIF(AZ3:AZ9, "W")</f>
        <v>0</v>
      </c>
      <c r="BA10" s="93"/>
      <c r="BB10" s="93"/>
      <c r="BC10" s="966"/>
      <c r="BD10" s="94"/>
      <c r="BE10" s="61"/>
      <c r="BF10" s="898">
        <f>COUNTIF(BG3:BG9, "W")</f>
        <v>0</v>
      </c>
      <c r="BG10" s="144"/>
      <c r="BH10" s="894" t="s">
        <v>816</v>
      </c>
      <c r="BI10" s="899">
        <f>COUNTIF(BI3:BI9, "W")</f>
        <v>0</v>
      </c>
      <c r="BJ10" s="93"/>
      <c r="BK10" s="93"/>
      <c r="BL10" s="966"/>
      <c r="BM10" s="94"/>
      <c r="BN10" s="61"/>
      <c r="BO10" s="898">
        <f>COUNTIF(BP3:BP9, "W")</f>
        <v>0</v>
      </c>
      <c r="BP10" s="144"/>
      <c r="BQ10" s="894" t="s">
        <v>816</v>
      </c>
      <c r="BR10" s="899">
        <f>COUNTIF(BR3:BR9, "W")</f>
        <v>0</v>
      </c>
      <c r="BS10" s="93"/>
      <c r="BT10" s="93"/>
      <c r="BU10" s="966"/>
      <c r="BV10" s="94"/>
      <c r="BX10" s="898">
        <f>COUNTIF(BY3:BY9, "W")</f>
        <v>0</v>
      </c>
      <c r="BY10" s="144"/>
      <c r="BZ10" s="894" t="s">
        <v>816</v>
      </c>
      <c r="CA10" s="899">
        <f>COUNTIF(CA3:CA9, "W")</f>
        <v>0</v>
      </c>
      <c r="CB10" s="93"/>
      <c r="CC10" s="92"/>
      <c r="CD10" s="966"/>
      <c r="CE10" s="94"/>
      <c r="CG10" s="898">
        <f>COUNTIF(CH3:CH9, "W")</f>
        <v>0</v>
      </c>
      <c r="CH10" s="144"/>
      <c r="CI10" s="894" t="s">
        <v>816</v>
      </c>
      <c r="CJ10" s="899">
        <f>COUNTIF(CJ3:CJ9, "W")</f>
        <v>0</v>
      </c>
      <c r="CK10" s="93"/>
      <c r="CL10" s="92"/>
      <c r="CM10" s="966"/>
      <c r="CN10" s="94"/>
      <c r="CP10" s="898">
        <f>COUNTIF(CQ3:CQ9, "W")</f>
        <v>0</v>
      </c>
      <c r="CQ10" s="144"/>
      <c r="CR10" s="894" t="s">
        <v>816</v>
      </c>
      <c r="CS10" s="899">
        <f>COUNTIF(CS3:CS9, "W")</f>
        <v>0</v>
      </c>
      <c r="CT10" s="93"/>
      <c r="CU10" s="92"/>
      <c r="CV10" s="966"/>
      <c r="CW10" s="94"/>
      <c r="CY10" s="898">
        <f>COUNTIF(CZ3:CZ9, "W")</f>
        <v>0</v>
      </c>
      <c r="CZ10" s="144"/>
      <c r="DA10" s="894" t="s">
        <v>816</v>
      </c>
      <c r="DB10" s="899">
        <f>COUNTIF(DB3:DB9, "W")</f>
        <v>0</v>
      </c>
      <c r="DC10" s="93"/>
      <c r="DD10" s="92"/>
      <c r="DE10" s="966"/>
      <c r="DF10" s="94"/>
      <c r="DH10" s="898">
        <f>COUNTIF(DI3:DI9, "W")</f>
        <v>0</v>
      </c>
      <c r="DI10" s="144"/>
      <c r="DJ10" s="894" t="s">
        <v>816</v>
      </c>
      <c r="DK10" s="899">
        <f>COUNTIF(DK3:DK9, "W")</f>
        <v>0</v>
      </c>
      <c r="DL10" s="93"/>
      <c r="DM10" s="92"/>
      <c r="DN10" s="966"/>
      <c r="DO10" s="94"/>
      <c r="DP10" s="61"/>
      <c r="DQ10" s="898">
        <f>COUNTIF(DR3:DR9, "W")</f>
        <v>0</v>
      </c>
      <c r="DR10" s="144"/>
      <c r="DS10" s="894" t="s">
        <v>816</v>
      </c>
      <c r="DT10" s="899">
        <f>COUNTIF(DT3:DT9, "W")</f>
        <v>0</v>
      </c>
      <c r="DU10" s="93"/>
      <c r="DV10" s="93"/>
      <c r="DW10" s="966"/>
      <c r="DX10" s="94"/>
      <c r="DY10" s="61"/>
      <c r="DZ10" s="898">
        <f>COUNTIF(EA3:EA9, "W")</f>
        <v>0</v>
      </c>
      <c r="EA10" s="144"/>
      <c r="EB10" s="894" t="s">
        <v>816</v>
      </c>
      <c r="EC10" s="899">
        <f>COUNTIF(EC3:EC9, "W")</f>
        <v>0</v>
      </c>
      <c r="ED10" s="93"/>
      <c r="EE10" s="93"/>
    </row>
    <row r="11" ht="18.0" customHeight="1">
      <c r="A11" s="900" t="s">
        <v>827</v>
      </c>
      <c r="B11" s="8"/>
      <c r="C11" s="8"/>
      <c r="D11" s="8"/>
      <c r="E11" s="8"/>
      <c r="F11" s="8"/>
      <c r="G11" s="68"/>
      <c r="H11" s="969"/>
      <c r="I11" s="969"/>
      <c r="J11" s="960"/>
      <c r="K11" s="970"/>
      <c r="L11" s="971"/>
      <c r="M11" s="971"/>
      <c r="N11" s="971"/>
      <c r="O11" s="971"/>
      <c r="P11" s="971"/>
      <c r="Q11" s="971"/>
      <c r="R11" s="971"/>
      <c r="S11" s="960"/>
      <c r="T11" s="970"/>
      <c r="U11" s="971"/>
      <c r="V11" s="971"/>
      <c r="W11" s="971"/>
      <c r="X11" s="971"/>
      <c r="Y11" s="971"/>
      <c r="Z11" s="971"/>
      <c r="AA11" s="971"/>
      <c r="AB11" s="960"/>
      <c r="AC11" s="970"/>
      <c r="AD11" s="971"/>
      <c r="AE11" s="971"/>
      <c r="AF11" s="971"/>
      <c r="AG11" s="971"/>
      <c r="AH11" s="971"/>
      <c r="AI11" s="971"/>
      <c r="AJ11" s="971"/>
      <c r="AK11" s="960"/>
      <c r="AL11" s="970"/>
      <c r="AM11" s="971"/>
      <c r="AN11" s="971"/>
      <c r="AO11" s="971"/>
      <c r="AP11" s="971"/>
      <c r="AQ11" s="971"/>
      <c r="AR11" s="971"/>
      <c r="AS11" s="971"/>
      <c r="AT11" s="962"/>
      <c r="AU11" s="970"/>
      <c r="AV11" s="971"/>
      <c r="AW11" s="971"/>
      <c r="AX11" s="971"/>
      <c r="AY11" s="971"/>
      <c r="AZ11" s="971"/>
      <c r="BA11" s="971"/>
      <c r="BB11" s="971"/>
      <c r="BC11" s="962"/>
      <c r="BD11" s="970"/>
      <c r="BE11" s="971"/>
      <c r="BF11" s="971"/>
      <c r="BG11" s="971"/>
      <c r="BH11" s="971"/>
      <c r="BI11" s="971"/>
      <c r="BJ11" s="971"/>
      <c r="BK11" s="971"/>
      <c r="BL11" s="962"/>
      <c r="BM11" s="970"/>
      <c r="BN11" s="971"/>
      <c r="BO11" s="971"/>
      <c r="BP11" s="971"/>
      <c r="BQ11" s="971"/>
      <c r="BR11" s="971"/>
      <c r="BS11" s="971"/>
      <c r="BT11" s="971"/>
      <c r="BU11" s="962"/>
      <c r="BV11" s="970"/>
      <c r="BW11" s="971"/>
      <c r="BX11" s="971"/>
      <c r="BY11" s="971"/>
      <c r="BZ11" s="971"/>
      <c r="CA11" s="971"/>
      <c r="CB11" s="971"/>
      <c r="CC11" s="971"/>
      <c r="CD11" s="962"/>
      <c r="CE11" s="970"/>
      <c r="CF11" s="971"/>
      <c r="CG11" s="971"/>
      <c r="CH11" s="971"/>
      <c r="CI11" s="971"/>
      <c r="CJ11" s="971"/>
      <c r="CK11" s="971"/>
      <c r="CL11" s="971"/>
      <c r="CM11" s="962"/>
      <c r="CN11" s="970"/>
      <c r="CO11" s="971"/>
      <c r="CP11" s="971"/>
      <c r="CQ11" s="971"/>
      <c r="CR11" s="971"/>
      <c r="CS11" s="971"/>
      <c r="CT11" s="971"/>
      <c r="CU11" s="971"/>
      <c r="CV11" s="962"/>
      <c r="CW11" s="970"/>
      <c r="CX11" s="971"/>
      <c r="CY11" s="971"/>
      <c r="CZ11" s="971"/>
      <c r="DA11" s="971"/>
      <c r="DB11" s="971"/>
      <c r="DC11" s="971"/>
      <c r="DD11" s="971"/>
      <c r="DE11" s="962"/>
      <c r="DF11" s="970"/>
      <c r="DG11" s="971"/>
      <c r="DH11" s="971"/>
      <c r="DI11" s="971"/>
      <c r="DJ11" s="971"/>
      <c r="DK11" s="971"/>
      <c r="DL11" s="971"/>
      <c r="DM11" s="971"/>
      <c r="DN11" s="962"/>
      <c r="DO11" s="970"/>
      <c r="DP11" s="971"/>
      <c r="DQ11" s="971"/>
      <c r="DR11" s="971"/>
      <c r="DS11" s="971"/>
      <c r="DT11" s="971"/>
      <c r="DU11" s="971"/>
      <c r="DV11" s="971"/>
      <c r="DW11" s="962"/>
      <c r="DX11" s="970"/>
      <c r="DY11" s="971"/>
      <c r="DZ11" s="971"/>
      <c r="EA11" s="971"/>
      <c r="EB11" s="971"/>
      <c r="EC11" s="971"/>
      <c r="ED11" s="971"/>
      <c r="EE11" s="971"/>
    </row>
    <row r="12">
      <c r="A12" s="525" t="s">
        <v>263</v>
      </c>
      <c r="B12" s="528" t="s">
        <v>258</v>
      </c>
      <c r="C12" s="528" t="s">
        <v>828</v>
      </c>
      <c r="D12" s="528" t="s">
        <v>829</v>
      </c>
      <c r="E12" s="528" t="s">
        <v>261</v>
      </c>
      <c r="F12" s="904" t="s">
        <v>830</v>
      </c>
      <c r="G12" s="330" t="s">
        <v>831</v>
      </c>
      <c r="H12" s="966"/>
      <c r="I12" s="966"/>
      <c r="J12" s="960"/>
      <c r="K12" s="869" t="s">
        <v>263</v>
      </c>
      <c r="L12" s="869" t="s">
        <v>258</v>
      </c>
      <c r="M12" s="865" t="s">
        <v>825</v>
      </c>
      <c r="N12" s="866" t="s">
        <v>259</v>
      </c>
      <c r="O12" s="866" t="s">
        <v>307</v>
      </c>
      <c r="P12" s="866" t="s">
        <v>259</v>
      </c>
      <c r="Q12" s="867" t="s">
        <v>826</v>
      </c>
      <c r="R12" s="905" t="s">
        <v>261</v>
      </c>
      <c r="S12" s="961"/>
      <c r="T12" s="869" t="s">
        <v>263</v>
      </c>
      <c r="U12" s="869" t="s">
        <v>258</v>
      </c>
      <c r="V12" s="865" t="s">
        <v>825</v>
      </c>
      <c r="W12" s="866" t="s">
        <v>259</v>
      </c>
      <c r="X12" s="866" t="s">
        <v>307</v>
      </c>
      <c r="Y12" s="866" t="s">
        <v>259</v>
      </c>
      <c r="Z12" s="867" t="s">
        <v>826</v>
      </c>
      <c r="AA12" s="869" t="s">
        <v>261</v>
      </c>
      <c r="AB12" s="960"/>
      <c r="AC12" s="869" t="s">
        <v>263</v>
      </c>
      <c r="AD12" s="869" t="s">
        <v>258</v>
      </c>
      <c r="AE12" s="865" t="s">
        <v>825</v>
      </c>
      <c r="AF12" s="866" t="s">
        <v>259</v>
      </c>
      <c r="AG12" s="866" t="s">
        <v>307</v>
      </c>
      <c r="AH12" s="866" t="s">
        <v>259</v>
      </c>
      <c r="AI12" s="867" t="s">
        <v>826</v>
      </c>
      <c r="AJ12" s="869" t="s">
        <v>261</v>
      </c>
      <c r="AK12" s="960"/>
      <c r="AL12" s="869" t="s">
        <v>263</v>
      </c>
      <c r="AM12" s="869" t="s">
        <v>258</v>
      </c>
      <c r="AN12" s="865" t="s">
        <v>825</v>
      </c>
      <c r="AO12" s="866" t="s">
        <v>259</v>
      </c>
      <c r="AP12" s="866" t="s">
        <v>307</v>
      </c>
      <c r="AQ12" s="866" t="s">
        <v>259</v>
      </c>
      <c r="AR12" s="867" t="s">
        <v>826</v>
      </c>
      <c r="AS12" s="869" t="s">
        <v>261</v>
      </c>
      <c r="AT12" s="962"/>
      <c r="AU12" s="869" t="s">
        <v>263</v>
      </c>
      <c r="AV12" s="869" t="s">
        <v>258</v>
      </c>
      <c r="AW12" s="865" t="s">
        <v>825</v>
      </c>
      <c r="AX12" s="866" t="s">
        <v>259</v>
      </c>
      <c r="AY12" s="866" t="s">
        <v>307</v>
      </c>
      <c r="AZ12" s="866" t="s">
        <v>259</v>
      </c>
      <c r="BA12" s="867" t="s">
        <v>826</v>
      </c>
      <c r="BB12" s="869" t="s">
        <v>261</v>
      </c>
      <c r="BC12" s="962"/>
      <c r="BD12" s="869" t="s">
        <v>263</v>
      </c>
      <c r="BE12" s="869" t="s">
        <v>258</v>
      </c>
      <c r="BF12" s="865" t="s">
        <v>825</v>
      </c>
      <c r="BG12" s="866" t="s">
        <v>259</v>
      </c>
      <c r="BH12" s="866" t="s">
        <v>307</v>
      </c>
      <c r="BI12" s="866" t="s">
        <v>259</v>
      </c>
      <c r="BJ12" s="867" t="s">
        <v>826</v>
      </c>
      <c r="BK12" s="869" t="s">
        <v>261</v>
      </c>
      <c r="BL12" s="962"/>
      <c r="BM12" s="869" t="s">
        <v>263</v>
      </c>
      <c r="BN12" s="869" t="s">
        <v>258</v>
      </c>
      <c r="BO12" s="865" t="s">
        <v>825</v>
      </c>
      <c r="BP12" s="866" t="s">
        <v>259</v>
      </c>
      <c r="BQ12" s="866" t="s">
        <v>307</v>
      </c>
      <c r="BR12" s="866" t="s">
        <v>259</v>
      </c>
      <c r="BS12" s="867" t="s">
        <v>826</v>
      </c>
      <c r="BT12" s="869" t="s">
        <v>261</v>
      </c>
      <c r="BU12" s="962"/>
      <c r="BV12" s="869" t="s">
        <v>263</v>
      </c>
      <c r="BW12" s="869" t="s">
        <v>258</v>
      </c>
      <c r="BX12" s="865" t="s">
        <v>825</v>
      </c>
      <c r="BY12" s="866" t="s">
        <v>259</v>
      </c>
      <c r="BZ12" s="866" t="s">
        <v>307</v>
      </c>
      <c r="CA12" s="866" t="s">
        <v>259</v>
      </c>
      <c r="CB12" s="867" t="s">
        <v>826</v>
      </c>
      <c r="CC12" s="869" t="s">
        <v>261</v>
      </c>
      <c r="CD12" s="962"/>
      <c r="CE12" s="869" t="s">
        <v>263</v>
      </c>
      <c r="CF12" s="869" t="s">
        <v>258</v>
      </c>
      <c r="CG12" s="865" t="s">
        <v>825</v>
      </c>
      <c r="CH12" s="866" t="s">
        <v>259</v>
      </c>
      <c r="CI12" s="866" t="s">
        <v>307</v>
      </c>
      <c r="CJ12" s="866" t="s">
        <v>259</v>
      </c>
      <c r="CK12" s="867" t="s">
        <v>826</v>
      </c>
      <c r="CL12" s="869" t="s">
        <v>261</v>
      </c>
      <c r="CM12" s="962"/>
      <c r="CN12" s="869" t="s">
        <v>263</v>
      </c>
      <c r="CO12" s="869" t="s">
        <v>258</v>
      </c>
      <c r="CP12" s="865" t="s">
        <v>825</v>
      </c>
      <c r="CQ12" s="866" t="s">
        <v>259</v>
      </c>
      <c r="CR12" s="866" t="s">
        <v>307</v>
      </c>
      <c r="CS12" s="866" t="s">
        <v>259</v>
      </c>
      <c r="CT12" s="867" t="s">
        <v>826</v>
      </c>
      <c r="CU12" s="869" t="s">
        <v>261</v>
      </c>
      <c r="CV12" s="962"/>
      <c r="CW12" s="869" t="s">
        <v>263</v>
      </c>
      <c r="CX12" s="869" t="s">
        <v>258</v>
      </c>
      <c r="CY12" s="865" t="s">
        <v>825</v>
      </c>
      <c r="CZ12" s="866" t="s">
        <v>259</v>
      </c>
      <c r="DA12" s="866" t="s">
        <v>307</v>
      </c>
      <c r="DB12" s="866" t="s">
        <v>259</v>
      </c>
      <c r="DC12" s="867" t="s">
        <v>826</v>
      </c>
      <c r="DD12" s="869" t="s">
        <v>261</v>
      </c>
      <c r="DE12" s="962"/>
      <c r="DF12" s="869" t="s">
        <v>263</v>
      </c>
      <c r="DG12" s="869" t="s">
        <v>258</v>
      </c>
      <c r="DH12" s="865" t="s">
        <v>825</v>
      </c>
      <c r="DI12" s="866" t="s">
        <v>259</v>
      </c>
      <c r="DJ12" s="866" t="s">
        <v>307</v>
      </c>
      <c r="DK12" s="866" t="s">
        <v>259</v>
      </c>
      <c r="DL12" s="867" t="s">
        <v>826</v>
      </c>
      <c r="DM12" s="869" t="s">
        <v>261</v>
      </c>
      <c r="DN12" s="962"/>
      <c r="DO12" s="869" t="s">
        <v>263</v>
      </c>
      <c r="DP12" s="869" t="s">
        <v>258</v>
      </c>
      <c r="DQ12" s="865" t="s">
        <v>825</v>
      </c>
      <c r="DR12" s="866" t="s">
        <v>259</v>
      </c>
      <c r="DS12" s="866" t="s">
        <v>307</v>
      </c>
      <c r="DT12" s="866" t="s">
        <v>259</v>
      </c>
      <c r="DU12" s="867" t="s">
        <v>826</v>
      </c>
      <c r="DV12" s="869" t="s">
        <v>261</v>
      </c>
      <c r="DW12" s="962"/>
      <c r="DX12" s="869" t="s">
        <v>263</v>
      </c>
      <c r="DY12" s="869" t="s">
        <v>258</v>
      </c>
      <c r="DZ12" s="865" t="s">
        <v>825</v>
      </c>
      <c r="EA12" s="866" t="s">
        <v>259</v>
      </c>
      <c r="EB12" s="866" t="s">
        <v>307</v>
      </c>
      <c r="EC12" s="866" t="s">
        <v>259</v>
      </c>
      <c r="ED12" s="867" t="s">
        <v>826</v>
      </c>
      <c r="EE12" s="869" t="s">
        <v>261</v>
      </c>
    </row>
    <row r="13">
      <c r="A13" s="33">
        <f>'Schedule | 3 Division (OLD)'!J5</f>
        <v>1</v>
      </c>
      <c r="B13" s="30" t="str">
        <f>'Schedule | 3 Division (OLD)'!E5</f>
        <v>RISE</v>
      </c>
      <c r="C13" s="906">
        <f>'Schedule | 3 Division (OLD)'!F5</f>
        <v>0</v>
      </c>
      <c r="D13" s="906">
        <f>'Schedule | 3 Division (OLD)'!H5</f>
        <v>0</v>
      </c>
      <c r="E13" s="30" t="str">
        <f>'Schedule | 3 Division (OLD)'!I5</f>
        <v>SAPPIAMO</v>
      </c>
      <c r="F13" s="30" t="str">
        <f t="shared" ref="F13:F68" si="36">IFERROR(IFS(C13&gt;D13, B13, C13&lt;D13, E13),"")</f>
        <v/>
      </c>
      <c r="G13" s="433" t="str">
        <f t="shared" ref="G13:G68" si="37">IFERROR(IFS(C13&gt;D13, E13, C13&lt;D13, B13),"")</f>
        <v/>
      </c>
      <c r="H13" s="966"/>
      <c r="I13" s="966"/>
      <c r="J13" s="964"/>
      <c r="K13" s="456">
        <f>'Schedule | 3 Division (OLD)'!J6</f>
        <v>2</v>
      </c>
      <c r="L13" s="875" t="str">
        <f>'Schedule | 3 Division (OLD)'!E6</f>
        <v>BOGATYRI</v>
      </c>
      <c r="M13" s="876"/>
      <c r="N13" s="877"/>
      <c r="O13" s="877"/>
      <c r="P13" s="878">
        <f t="shared" ref="P13:P19" si="38">ifs(N13="W","L",N13="L", "W",N13=0,0)</f>
        <v>0</v>
      </c>
      <c r="Q13" s="879" t="str">
        <f t="shared" ref="Q13:Q19" si="39">ifs(M13="Attack","Defense",M13="Defense", "Attack",N13=0, "-")</f>
        <v>-</v>
      </c>
      <c r="R13" s="907" t="str">
        <f>'Schedule | 3 Division (OLD)'!I6</f>
        <v>ACHIEVERS</v>
      </c>
      <c r="S13" s="965"/>
      <c r="T13" s="456">
        <f>'Schedule | 3 Division (OLD)'!J12</f>
        <v>6</v>
      </c>
      <c r="U13" s="447" t="str">
        <f>'Schedule | 3 Division (OLD)'!E12</f>
        <v>КОРМ 2</v>
      </c>
      <c r="V13" s="876"/>
      <c r="W13" s="877"/>
      <c r="X13" s="877"/>
      <c r="Y13" s="878">
        <f t="shared" ref="Y13:Y19" si="40">ifs(W13="W","L",W13="L", "W",W13=0,0)</f>
        <v>0</v>
      </c>
      <c r="Z13" s="879" t="str">
        <f t="shared" ref="Z13:Z19" si="41">ifs(V13="Attack","Defense",V13="Defense", "Attack",W13=0, "-")</f>
        <v>-</v>
      </c>
      <c r="AA13" s="883" t="str">
        <f>'Schedule | 3 Division (OLD)'!I12</f>
        <v>DEACUERDO</v>
      </c>
      <c r="AB13" s="964"/>
      <c r="AC13" s="456">
        <f>'Schedule | 3 Division (OLD)'!J18</f>
        <v>10</v>
      </c>
      <c r="AD13" s="875" t="str">
        <f>'Schedule | 3 Division (OLD)'!E18</f>
        <v>ALTF4</v>
      </c>
      <c r="AE13" s="876"/>
      <c r="AF13" s="877"/>
      <c r="AG13" s="877"/>
      <c r="AH13" s="878">
        <f t="shared" ref="AH13:AH19" si="42">ifs(AF13="W","L",AF13="L", "W",AF13=0,0)</f>
        <v>0</v>
      </c>
      <c r="AI13" s="879" t="str">
        <f t="shared" ref="AI13:AI19" si="43">ifs(AE13="Attack","Defense",AE13="Defense", "Attack",AF13=0, "-")</f>
        <v>-</v>
      </c>
      <c r="AJ13" s="883" t="str">
        <f>'Schedule | 3 Division (OLD)'!I18</f>
        <v>SAPPIAMO</v>
      </c>
      <c r="AK13" s="964"/>
      <c r="AL13" s="456">
        <f>'Schedule | 3 Division (OLD)'!J24</f>
        <v>14</v>
      </c>
      <c r="AM13" s="875" t="str">
        <f>'Schedule | 3 Division (OLD)'!E24</f>
        <v>ALTF4</v>
      </c>
      <c r="AN13" s="876"/>
      <c r="AO13" s="877"/>
      <c r="AP13" s="877"/>
      <c r="AQ13" s="878">
        <f t="shared" ref="AQ13:AQ19" si="44">ifs(AO13="W","L",AO13="L", "W",AO13=0,0)</f>
        <v>0</v>
      </c>
      <c r="AR13" s="879" t="str">
        <f t="shared" ref="AR13:AR19" si="45">ifs(AN13="Attack","Defense",AN13="Defense", "Attack",AO13=0, "-")</f>
        <v>-</v>
      </c>
      <c r="AS13" s="883" t="str">
        <f>'Schedule | 3 Division (OLD)'!I24</f>
        <v>ACHIEVERS</v>
      </c>
      <c r="AT13" s="966"/>
      <c r="AU13" s="456">
        <f>'Schedule | 3 Division (OLD)'!J30</f>
        <v>18</v>
      </c>
      <c r="AV13" s="875" t="str">
        <f>'Schedule | 3 Division (OLD)'!E30</f>
        <v>HEAX</v>
      </c>
      <c r="AW13" s="876"/>
      <c r="AX13" s="877"/>
      <c r="AY13" s="877"/>
      <c r="AZ13" s="878">
        <f t="shared" ref="AZ13:AZ19" si="46">ifs(AX13="W","L",AX13="L", "W",AX13=0,0)</f>
        <v>0</v>
      </c>
      <c r="BA13" s="879" t="str">
        <f t="shared" ref="BA13:BA19" si="47">ifs(AW13="Attack","Defense",AW13="Defense", "Attack",AX13=0, "-")</f>
        <v>-</v>
      </c>
      <c r="BB13" s="883" t="str">
        <f>'Schedule | 3 Division (OLD)'!I30</f>
        <v>SAPPIAMO</v>
      </c>
      <c r="BC13" s="966"/>
      <c r="BD13" s="456">
        <f>'Schedule | 3 Division (OLD)'!J36</f>
        <v>22</v>
      </c>
      <c r="BE13" s="875" t="str">
        <f>'Schedule | 3 Division (OLD)'!E36</f>
        <v>SAPPIAMO</v>
      </c>
      <c r="BF13" s="876"/>
      <c r="BG13" s="877"/>
      <c r="BH13" s="877"/>
      <c r="BI13" s="878">
        <f t="shared" ref="BI13:BI19" si="48">ifs(BG13="W","L",BG13="L", "W",BG13=0,0)</f>
        <v>0</v>
      </c>
      <c r="BJ13" s="879" t="str">
        <f t="shared" ref="BJ13:BJ19" si="49">ifs(BF13="Attack","Defense",BF13="Defense", "Attack",BG13=0, "-")</f>
        <v>-</v>
      </c>
      <c r="BK13" s="883" t="str">
        <f>'Schedule | 3 Division (OLD)'!I36</f>
        <v>DEACUERDO</v>
      </c>
      <c r="BL13" s="966"/>
      <c r="BM13" s="456">
        <f>'Schedule | 3 Division (OLD)'!J42</f>
        <v>26</v>
      </c>
      <c r="BN13" s="908" t="str">
        <f>'Schedule | 3 Division (OLD)'!E42</f>
        <v>RISE</v>
      </c>
      <c r="BO13" s="876"/>
      <c r="BP13" s="877"/>
      <c r="BQ13" s="877"/>
      <c r="BR13" s="878">
        <f t="shared" ref="BR13:BR19" si="50">ifs(BP13="W","L",BP13="L", "W",BP13=0,0)</f>
        <v>0</v>
      </c>
      <c r="BS13" s="879" t="str">
        <f t="shared" ref="BS13:BS19" si="51">ifs(BO13="Attack","Defense",BO13="Defense", "Attack",BP13=0, "-")</f>
        <v>-</v>
      </c>
      <c r="BT13" s="883" t="str">
        <f>'Schedule | 3 Division (OLD)'!I42</f>
        <v>BOGATYRI</v>
      </c>
      <c r="BU13" s="966"/>
      <c r="BV13" s="456">
        <f>'Schedule | 3 Division (OLD)'!P6</f>
        <v>30</v>
      </c>
      <c r="BW13" s="447" t="str">
        <f>'Schedule | 3 Division (OLD)'!K6</f>
        <v>ACHIEVERS</v>
      </c>
      <c r="BX13" s="876"/>
      <c r="BY13" s="877"/>
      <c r="BZ13" s="877"/>
      <c r="CA13" s="878">
        <f t="shared" ref="CA13:CA19" si="52">ifs(BY13="W","L",BY13="L", "W",BY13=0,0)</f>
        <v>0</v>
      </c>
      <c r="CB13" s="879" t="str">
        <f t="shared" ref="CB13:CB19" si="53">ifs(BX13="Attack","Defense",BX13="Defense", "Attack",BY13=0, "-")</f>
        <v>-</v>
      </c>
      <c r="CC13" s="882" t="str">
        <f>'Schedule | 3 Division (OLD)'!O6</f>
        <v>BOGATYRI</v>
      </c>
      <c r="CD13" s="966"/>
      <c r="CE13" s="456">
        <f>'Schedule | 3 Division (OLD)'!P12</f>
        <v>34</v>
      </c>
      <c r="CF13" s="881" t="str">
        <f>'Schedule | 3 Division (OLD)'!K12</f>
        <v>RISE</v>
      </c>
      <c r="CG13" s="876"/>
      <c r="CH13" s="877"/>
      <c r="CI13" s="877"/>
      <c r="CJ13" s="878">
        <f t="shared" ref="CJ13:CJ19" si="54">ifs(CH13="W","L",CH13="L", "W",CH13=0,0)</f>
        <v>0</v>
      </c>
      <c r="CK13" s="879" t="str">
        <f t="shared" ref="CK13:CK19" si="55">ifs(CG13="Attack","Defense",CG13="Defense", "Attack",CH13=0, "-")</f>
        <v>-</v>
      </c>
      <c r="CL13" s="882" t="str">
        <f>'Schedule | 3 Division (OLD)'!O12</f>
        <v>ACHIEVERS</v>
      </c>
      <c r="CM13" s="966"/>
      <c r="CN13" s="456">
        <f>'Schedule | 3 Division (OLD)'!P18</f>
        <v>38</v>
      </c>
      <c r="CO13" s="881" t="str">
        <f>'Schedule | 3 Division (OLD)'!K18</f>
        <v>BOGATYRI</v>
      </c>
      <c r="CP13" s="876"/>
      <c r="CQ13" s="877"/>
      <c r="CR13" s="877"/>
      <c r="CS13" s="878">
        <f t="shared" ref="CS13:CS19" si="56">ifs(CQ13="W","L",CQ13="L", "W",CQ13=0,0)</f>
        <v>0</v>
      </c>
      <c r="CT13" s="879" t="str">
        <f t="shared" ref="CT13:CT19" si="57">ifs(CP13="Attack","Defense",CP13="Defense", "Attack",CQ13=0, "-")</f>
        <v>-</v>
      </c>
      <c r="CU13" s="882" t="str">
        <f>'Schedule | 3 Division (OLD)'!O18</f>
        <v>DEACUERDO</v>
      </c>
      <c r="CV13" s="966"/>
      <c r="CW13" s="456">
        <f>'Schedule | 3 Division (OLD)'!P24</f>
        <v>42</v>
      </c>
      <c r="CX13" s="447" t="str">
        <f>'Schedule | 3 Division (OLD)'!K24</f>
        <v>RISE</v>
      </c>
      <c r="CY13" s="876"/>
      <c r="CZ13" s="877"/>
      <c r="DA13" s="877"/>
      <c r="DB13" s="878">
        <f t="shared" ref="DB13:DB19" si="58">ifs(CZ13="W","L",CZ13="L", "W",CZ13=0,0)</f>
        <v>0</v>
      </c>
      <c r="DC13" s="879" t="str">
        <f t="shared" ref="DC13:DC19" si="59">ifs(CY13="Attack","Defense",CY13="Defense", "Attack",CZ13=0, "-")</f>
        <v>-</v>
      </c>
      <c r="DD13" s="882" t="str">
        <f>'Schedule | 3 Division (OLD)'!O24</f>
        <v>DEACUERDO</v>
      </c>
      <c r="DE13" s="966"/>
      <c r="DF13" s="456">
        <f>'Schedule | 3 Division (OLD)'!P30</f>
        <v>46</v>
      </c>
      <c r="DG13" s="447" t="str">
        <f>'Schedule | 3 Division (OLD)'!K30</f>
        <v>ACHIEVERS</v>
      </c>
      <c r="DH13" s="876"/>
      <c r="DI13" s="877"/>
      <c r="DJ13" s="877"/>
      <c r="DK13" s="878">
        <f t="shared" ref="DK13:DK19" si="60">ifs(DI13="W","L",DI13="L", "W",DI13=0,0)</f>
        <v>0</v>
      </c>
      <c r="DL13" s="879" t="str">
        <f t="shared" ref="DL13:DL19" si="61">ifs(DH13="Attack","Defense",DH13="Defense", "Attack",DI13=0, "-")</f>
        <v>-</v>
      </c>
      <c r="DM13" s="882" t="str">
        <f>'Schedule | 3 Division (OLD)'!O30</f>
        <v>DEACUERDO</v>
      </c>
      <c r="DN13" s="966"/>
      <c r="DO13" s="456">
        <f>'Schedule | 3 Division (OLD)'!P36</f>
        <v>50</v>
      </c>
      <c r="DP13" s="875" t="str">
        <f>'Schedule | 3 Division (OLD)'!K36</f>
        <v>КОРМ 2</v>
      </c>
      <c r="DQ13" s="876"/>
      <c r="DR13" s="877"/>
      <c r="DS13" s="877"/>
      <c r="DT13" s="878">
        <f t="shared" ref="DT13:DT19" si="62">ifs(DR13="W","L",DR13="L", "W",DR13=0,0)</f>
        <v>0</v>
      </c>
      <c r="DU13" s="879" t="str">
        <f t="shared" ref="DU13:DU19" si="63">ifs(DQ13="Attack","Defense",DQ13="Defense", "Attack",DR13=0, "-")</f>
        <v>-</v>
      </c>
      <c r="DV13" s="883" t="str">
        <f>'Schedule | 3 Division (OLD)'!O36</f>
        <v>BOGATYRI</v>
      </c>
      <c r="DW13" s="966"/>
      <c r="DX13" s="456">
        <f>'Schedule | 3 Division (OLD)'!P42</f>
        <v>54</v>
      </c>
      <c r="DY13" s="875" t="str">
        <f>'Schedule | 3 Division (OLD)'!K42</f>
        <v>SAPPIAMO</v>
      </c>
      <c r="DZ13" s="876"/>
      <c r="EA13" s="877"/>
      <c r="EB13" s="877"/>
      <c r="EC13" s="878">
        <f t="shared" ref="EC13:EC19" si="64">ifs(EA13="W","L",EA13="L", "W",EA13=0,0)</f>
        <v>0</v>
      </c>
      <c r="ED13" s="879" t="str">
        <f t="shared" ref="ED13:ED19" si="65">ifs(DZ13="Attack","Defense",DZ13="Defense", "Attack",EA13=0, "-")</f>
        <v>-</v>
      </c>
      <c r="EE13" s="883" t="str">
        <f>'Schedule | 3 Division (OLD)'!O42</f>
        <v>ACHIEVERS</v>
      </c>
    </row>
    <row r="14">
      <c r="A14" s="33">
        <f>'Schedule | 3 Division (OLD)'!J6</f>
        <v>2</v>
      </c>
      <c r="B14" s="30" t="str">
        <f>'Schedule | 3 Division (OLD)'!E6</f>
        <v>BOGATYRI</v>
      </c>
      <c r="C14" s="906">
        <f>'Schedule | 3 Division (OLD)'!F6</f>
        <v>0</v>
      </c>
      <c r="D14" s="906">
        <f>'Schedule | 3 Division (OLD)'!H6</f>
        <v>0</v>
      </c>
      <c r="E14" s="909" t="str">
        <f>'Schedule | 3 Division (OLD)'!I6</f>
        <v>ACHIEVERS</v>
      </c>
      <c r="F14" s="30" t="str">
        <f t="shared" si="36"/>
        <v/>
      </c>
      <c r="G14" s="433" t="str">
        <f t="shared" si="37"/>
        <v/>
      </c>
      <c r="H14" s="966"/>
      <c r="I14" s="966"/>
      <c r="J14" s="964"/>
      <c r="K14" s="66"/>
      <c r="L14" s="55"/>
      <c r="M14" s="876"/>
      <c r="N14" s="890"/>
      <c r="O14" s="890"/>
      <c r="P14" s="891">
        <f t="shared" si="38"/>
        <v>0</v>
      </c>
      <c r="Q14" s="892" t="str">
        <f t="shared" si="39"/>
        <v>-</v>
      </c>
      <c r="S14" s="965"/>
      <c r="T14" s="66"/>
      <c r="V14" s="876"/>
      <c r="W14" s="890"/>
      <c r="X14" s="890"/>
      <c r="Y14" s="891">
        <f t="shared" si="40"/>
        <v>0</v>
      </c>
      <c r="Z14" s="892" t="str">
        <f t="shared" si="41"/>
        <v>-</v>
      </c>
      <c r="AA14" s="92"/>
      <c r="AB14" s="964"/>
      <c r="AC14" s="66"/>
      <c r="AD14" s="55"/>
      <c r="AE14" s="876"/>
      <c r="AF14" s="890"/>
      <c r="AG14" s="890"/>
      <c r="AH14" s="891">
        <f t="shared" si="42"/>
        <v>0</v>
      </c>
      <c r="AI14" s="892" t="str">
        <f t="shared" si="43"/>
        <v>-</v>
      </c>
      <c r="AJ14" s="92"/>
      <c r="AK14" s="964"/>
      <c r="AL14" s="66"/>
      <c r="AM14" s="55"/>
      <c r="AN14" s="876"/>
      <c r="AO14" s="890"/>
      <c r="AP14" s="890"/>
      <c r="AQ14" s="891">
        <f t="shared" si="44"/>
        <v>0</v>
      </c>
      <c r="AR14" s="892" t="str">
        <f t="shared" si="45"/>
        <v>-</v>
      </c>
      <c r="AS14" s="92"/>
      <c r="AT14" s="966"/>
      <c r="AU14" s="66"/>
      <c r="AV14" s="55"/>
      <c r="AW14" s="876"/>
      <c r="AX14" s="890"/>
      <c r="AY14" s="890"/>
      <c r="AZ14" s="891">
        <f t="shared" si="46"/>
        <v>0</v>
      </c>
      <c r="BA14" s="892" t="str">
        <f t="shared" si="47"/>
        <v>-</v>
      </c>
      <c r="BB14" s="92"/>
      <c r="BC14" s="966"/>
      <c r="BD14" s="66"/>
      <c r="BE14" s="55"/>
      <c r="BF14" s="876"/>
      <c r="BG14" s="890"/>
      <c r="BH14" s="890"/>
      <c r="BI14" s="891">
        <f t="shared" si="48"/>
        <v>0</v>
      </c>
      <c r="BJ14" s="892" t="str">
        <f t="shared" si="49"/>
        <v>-</v>
      </c>
      <c r="BK14" s="92"/>
      <c r="BL14" s="966"/>
      <c r="BM14" s="66"/>
      <c r="BN14" s="55"/>
      <c r="BO14" s="876"/>
      <c r="BP14" s="890"/>
      <c r="BQ14" s="890"/>
      <c r="BR14" s="891">
        <f t="shared" si="50"/>
        <v>0</v>
      </c>
      <c r="BS14" s="892" t="str">
        <f t="shared" si="51"/>
        <v>-</v>
      </c>
      <c r="BT14" s="92"/>
      <c r="BU14" s="966"/>
      <c r="BV14" s="66"/>
      <c r="BX14" s="876"/>
      <c r="BY14" s="890"/>
      <c r="BZ14" s="890"/>
      <c r="CA14" s="891">
        <f t="shared" si="52"/>
        <v>0</v>
      </c>
      <c r="CB14" s="892" t="str">
        <f t="shared" si="53"/>
        <v>-</v>
      </c>
      <c r="CC14" s="92"/>
      <c r="CD14" s="966"/>
      <c r="CE14" s="66"/>
      <c r="CG14" s="876"/>
      <c r="CH14" s="890"/>
      <c r="CI14" s="890"/>
      <c r="CJ14" s="891">
        <f t="shared" si="54"/>
        <v>0</v>
      </c>
      <c r="CK14" s="892" t="str">
        <f t="shared" si="55"/>
        <v>-</v>
      </c>
      <c r="CL14" s="92"/>
      <c r="CM14" s="966"/>
      <c r="CN14" s="66"/>
      <c r="CP14" s="876"/>
      <c r="CQ14" s="890"/>
      <c r="CR14" s="890"/>
      <c r="CS14" s="891">
        <f t="shared" si="56"/>
        <v>0</v>
      </c>
      <c r="CT14" s="892" t="str">
        <f t="shared" si="57"/>
        <v>-</v>
      </c>
      <c r="CU14" s="92"/>
      <c r="CV14" s="966"/>
      <c r="CW14" s="66"/>
      <c r="CY14" s="876"/>
      <c r="CZ14" s="890"/>
      <c r="DA14" s="890"/>
      <c r="DB14" s="891">
        <f t="shared" si="58"/>
        <v>0</v>
      </c>
      <c r="DC14" s="892" t="str">
        <f t="shared" si="59"/>
        <v>-</v>
      </c>
      <c r="DD14" s="92"/>
      <c r="DE14" s="966"/>
      <c r="DF14" s="66"/>
      <c r="DH14" s="876"/>
      <c r="DI14" s="890"/>
      <c r="DJ14" s="890"/>
      <c r="DK14" s="891">
        <f t="shared" si="60"/>
        <v>0</v>
      </c>
      <c r="DL14" s="892" t="str">
        <f t="shared" si="61"/>
        <v>-</v>
      </c>
      <c r="DM14" s="92"/>
      <c r="DN14" s="966"/>
      <c r="DO14" s="66"/>
      <c r="DP14" s="55"/>
      <c r="DQ14" s="876"/>
      <c r="DR14" s="890"/>
      <c r="DS14" s="890"/>
      <c r="DT14" s="891">
        <f t="shared" si="62"/>
        <v>0</v>
      </c>
      <c r="DU14" s="892" t="str">
        <f t="shared" si="63"/>
        <v>-</v>
      </c>
      <c r="DV14" s="92"/>
      <c r="DW14" s="966"/>
      <c r="DX14" s="66"/>
      <c r="DY14" s="55"/>
      <c r="DZ14" s="876"/>
      <c r="EA14" s="890"/>
      <c r="EB14" s="890"/>
      <c r="EC14" s="891">
        <f t="shared" si="64"/>
        <v>0</v>
      </c>
      <c r="ED14" s="892" t="str">
        <f t="shared" si="65"/>
        <v>-</v>
      </c>
      <c r="EE14" s="92"/>
    </row>
    <row r="15">
      <c r="A15" s="33">
        <f>'Schedule | 3 Division (OLD)'!J7</f>
        <v>3</v>
      </c>
      <c r="B15" s="30" t="str">
        <f>'Schedule | 3 Division (OLD)'!E7</f>
        <v>КОРМ 2</v>
      </c>
      <c r="C15" s="906">
        <f>'Schedule | 3 Division (OLD)'!F7</f>
        <v>0</v>
      </c>
      <c r="D15" s="906">
        <f>'Schedule | 3 Division (OLD)'!H7</f>
        <v>0</v>
      </c>
      <c r="E15" s="909" t="str">
        <f>'Schedule | 3 Division (OLD)'!I7</f>
        <v>HEAX</v>
      </c>
      <c r="F15" s="30" t="str">
        <f t="shared" si="36"/>
        <v/>
      </c>
      <c r="G15" s="433" t="str">
        <f t="shared" si="37"/>
        <v/>
      </c>
      <c r="H15" s="966"/>
      <c r="I15" s="966"/>
      <c r="J15" s="964"/>
      <c r="K15" s="66"/>
      <c r="L15" s="55"/>
      <c r="M15" s="876"/>
      <c r="N15" s="890"/>
      <c r="O15" s="890"/>
      <c r="P15" s="891">
        <f t="shared" si="38"/>
        <v>0</v>
      </c>
      <c r="Q15" s="892" t="str">
        <f t="shared" si="39"/>
        <v>-</v>
      </c>
      <c r="S15" s="965"/>
      <c r="T15" s="66"/>
      <c r="V15" s="876"/>
      <c r="W15" s="890"/>
      <c r="X15" s="890"/>
      <c r="Y15" s="891">
        <f t="shared" si="40"/>
        <v>0</v>
      </c>
      <c r="Z15" s="892" t="str">
        <f t="shared" si="41"/>
        <v>-</v>
      </c>
      <c r="AA15" s="92"/>
      <c r="AB15" s="964"/>
      <c r="AC15" s="66"/>
      <c r="AD15" s="55"/>
      <c r="AE15" s="876"/>
      <c r="AF15" s="890"/>
      <c r="AG15" s="890"/>
      <c r="AH15" s="891">
        <f t="shared" si="42"/>
        <v>0</v>
      </c>
      <c r="AI15" s="892" t="str">
        <f t="shared" si="43"/>
        <v>-</v>
      </c>
      <c r="AJ15" s="92"/>
      <c r="AK15" s="964"/>
      <c r="AL15" s="66"/>
      <c r="AM15" s="55"/>
      <c r="AN15" s="876"/>
      <c r="AO15" s="890"/>
      <c r="AP15" s="890"/>
      <c r="AQ15" s="891">
        <f t="shared" si="44"/>
        <v>0</v>
      </c>
      <c r="AR15" s="892" t="str">
        <f t="shared" si="45"/>
        <v>-</v>
      </c>
      <c r="AS15" s="92"/>
      <c r="AT15" s="966"/>
      <c r="AU15" s="66"/>
      <c r="AV15" s="55"/>
      <c r="AW15" s="876"/>
      <c r="AX15" s="890"/>
      <c r="AY15" s="890"/>
      <c r="AZ15" s="891">
        <f t="shared" si="46"/>
        <v>0</v>
      </c>
      <c r="BA15" s="892" t="str">
        <f t="shared" si="47"/>
        <v>-</v>
      </c>
      <c r="BB15" s="92"/>
      <c r="BC15" s="966"/>
      <c r="BD15" s="66"/>
      <c r="BE15" s="55"/>
      <c r="BF15" s="876"/>
      <c r="BG15" s="890"/>
      <c r="BH15" s="890"/>
      <c r="BI15" s="891">
        <f t="shared" si="48"/>
        <v>0</v>
      </c>
      <c r="BJ15" s="892" t="str">
        <f t="shared" si="49"/>
        <v>-</v>
      </c>
      <c r="BK15" s="92"/>
      <c r="BL15" s="966"/>
      <c r="BM15" s="66"/>
      <c r="BN15" s="55"/>
      <c r="BO15" s="876"/>
      <c r="BP15" s="890"/>
      <c r="BQ15" s="890"/>
      <c r="BR15" s="891">
        <f t="shared" si="50"/>
        <v>0</v>
      </c>
      <c r="BS15" s="892" t="str">
        <f t="shared" si="51"/>
        <v>-</v>
      </c>
      <c r="BT15" s="92"/>
      <c r="BU15" s="966"/>
      <c r="BV15" s="66"/>
      <c r="BX15" s="876"/>
      <c r="BY15" s="890"/>
      <c r="BZ15" s="890"/>
      <c r="CA15" s="891">
        <f t="shared" si="52"/>
        <v>0</v>
      </c>
      <c r="CB15" s="892" t="str">
        <f t="shared" si="53"/>
        <v>-</v>
      </c>
      <c r="CC15" s="92"/>
      <c r="CD15" s="966"/>
      <c r="CE15" s="66"/>
      <c r="CG15" s="876"/>
      <c r="CH15" s="890"/>
      <c r="CI15" s="890"/>
      <c r="CJ15" s="891">
        <f t="shared" si="54"/>
        <v>0</v>
      </c>
      <c r="CK15" s="892" t="str">
        <f t="shared" si="55"/>
        <v>-</v>
      </c>
      <c r="CL15" s="92"/>
      <c r="CM15" s="966"/>
      <c r="CN15" s="66"/>
      <c r="CP15" s="876"/>
      <c r="CQ15" s="890"/>
      <c r="CR15" s="890"/>
      <c r="CS15" s="891">
        <f t="shared" si="56"/>
        <v>0</v>
      </c>
      <c r="CT15" s="892" t="str">
        <f t="shared" si="57"/>
        <v>-</v>
      </c>
      <c r="CU15" s="92"/>
      <c r="CV15" s="966"/>
      <c r="CW15" s="66"/>
      <c r="CY15" s="876"/>
      <c r="CZ15" s="890"/>
      <c r="DA15" s="890"/>
      <c r="DB15" s="891">
        <f t="shared" si="58"/>
        <v>0</v>
      </c>
      <c r="DC15" s="892" t="str">
        <f t="shared" si="59"/>
        <v>-</v>
      </c>
      <c r="DD15" s="92"/>
      <c r="DE15" s="966"/>
      <c r="DF15" s="66"/>
      <c r="DH15" s="876"/>
      <c r="DI15" s="890"/>
      <c r="DJ15" s="890"/>
      <c r="DK15" s="891">
        <f t="shared" si="60"/>
        <v>0</v>
      </c>
      <c r="DL15" s="892" t="str">
        <f t="shared" si="61"/>
        <v>-</v>
      </c>
      <c r="DM15" s="92"/>
      <c r="DN15" s="966"/>
      <c r="DO15" s="66"/>
      <c r="DP15" s="55"/>
      <c r="DQ15" s="876"/>
      <c r="DR15" s="890"/>
      <c r="DS15" s="890"/>
      <c r="DT15" s="891">
        <f t="shared" si="62"/>
        <v>0</v>
      </c>
      <c r="DU15" s="892" t="str">
        <f t="shared" si="63"/>
        <v>-</v>
      </c>
      <c r="DV15" s="92"/>
      <c r="DW15" s="966"/>
      <c r="DX15" s="66"/>
      <c r="DY15" s="55"/>
      <c r="DZ15" s="876"/>
      <c r="EA15" s="890"/>
      <c r="EB15" s="890"/>
      <c r="EC15" s="891">
        <f t="shared" si="64"/>
        <v>0</v>
      </c>
      <c r="ED15" s="892" t="str">
        <f t="shared" si="65"/>
        <v>-</v>
      </c>
      <c r="EE15" s="92"/>
    </row>
    <row r="16">
      <c r="A16" s="33">
        <f>'Schedule | 3 Division (OLD)'!J8</f>
        <v>4</v>
      </c>
      <c r="B16" s="30" t="str">
        <f>'Schedule | 3 Division (OLD)'!E8</f>
        <v>ALTF4</v>
      </c>
      <c r="C16" s="906">
        <f>'Schedule | 3 Division (OLD)'!F8</f>
        <v>0</v>
      </c>
      <c r="D16" s="906">
        <f>'Schedule | 3 Division (OLD)'!H8</f>
        <v>0</v>
      </c>
      <c r="E16" s="909" t="str">
        <f>'Schedule | 3 Division (OLD)'!I8</f>
        <v>DEACUERDO</v>
      </c>
      <c r="F16" s="30" t="str">
        <f t="shared" si="36"/>
        <v/>
      </c>
      <c r="G16" s="433" t="str">
        <f t="shared" si="37"/>
        <v/>
      </c>
      <c r="H16" s="966"/>
      <c r="I16" s="966"/>
      <c r="J16" s="964"/>
      <c r="K16" s="66"/>
      <c r="L16" s="55"/>
      <c r="M16" s="876"/>
      <c r="N16" s="890"/>
      <c r="O16" s="890"/>
      <c r="P16" s="891">
        <f t="shared" si="38"/>
        <v>0</v>
      </c>
      <c r="Q16" s="892" t="str">
        <f t="shared" si="39"/>
        <v>-</v>
      </c>
      <c r="S16" s="965"/>
      <c r="T16" s="66"/>
      <c r="V16" s="876"/>
      <c r="W16" s="890"/>
      <c r="X16" s="890"/>
      <c r="Y16" s="891">
        <f t="shared" si="40"/>
        <v>0</v>
      </c>
      <c r="Z16" s="892" t="str">
        <f t="shared" si="41"/>
        <v>-</v>
      </c>
      <c r="AA16" s="92"/>
      <c r="AB16" s="964"/>
      <c r="AC16" s="66"/>
      <c r="AD16" s="55"/>
      <c r="AE16" s="876"/>
      <c r="AF16" s="890"/>
      <c r="AG16" s="890"/>
      <c r="AH16" s="891">
        <f t="shared" si="42"/>
        <v>0</v>
      </c>
      <c r="AI16" s="892" t="str">
        <f t="shared" si="43"/>
        <v>-</v>
      </c>
      <c r="AJ16" s="92"/>
      <c r="AK16" s="964"/>
      <c r="AL16" s="66"/>
      <c r="AM16" s="55"/>
      <c r="AN16" s="876"/>
      <c r="AO16" s="890"/>
      <c r="AP16" s="890"/>
      <c r="AQ16" s="891">
        <f t="shared" si="44"/>
        <v>0</v>
      </c>
      <c r="AR16" s="892" t="str">
        <f t="shared" si="45"/>
        <v>-</v>
      </c>
      <c r="AS16" s="92"/>
      <c r="AT16" s="966"/>
      <c r="AU16" s="66"/>
      <c r="AV16" s="55"/>
      <c r="AW16" s="876"/>
      <c r="AX16" s="890"/>
      <c r="AY16" s="890"/>
      <c r="AZ16" s="891">
        <f t="shared" si="46"/>
        <v>0</v>
      </c>
      <c r="BA16" s="892" t="str">
        <f t="shared" si="47"/>
        <v>-</v>
      </c>
      <c r="BB16" s="92"/>
      <c r="BC16" s="966"/>
      <c r="BD16" s="66"/>
      <c r="BE16" s="55"/>
      <c r="BF16" s="876"/>
      <c r="BG16" s="890"/>
      <c r="BH16" s="890"/>
      <c r="BI16" s="891">
        <f t="shared" si="48"/>
        <v>0</v>
      </c>
      <c r="BJ16" s="892" t="str">
        <f t="shared" si="49"/>
        <v>-</v>
      </c>
      <c r="BK16" s="92"/>
      <c r="BL16" s="966"/>
      <c r="BM16" s="66"/>
      <c r="BN16" s="55"/>
      <c r="BO16" s="876"/>
      <c r="BP16" s="890"/>
      <c r="BQ16" s="890"/>
      <c r="BR16" s="891">
        <f t="shared" si="50"/>
        <v>0</v>
      </c>
      <c r="BS16" s="892" t="str">
        <f t="shared" si="51"/>
        <v>-</v>
      </c>
      <c r="BT16" s="92"/>
      <c r="BU16" s="966"/>
      <c r="BV16" s="66"/>
      <c r="BX16" s="876"/>
      <c r="BY16" s="890"/>
      <c r="BZ16" s="890"/>
      <c r="CA16" s="891">
        <f t="shared" si="52"/>
        <v>0</v>
      </c>
      <c r="CB16" s="892" t="str">
        <f t="shared" si="53"/>
        <v>-</v>
      </c>
      <c r="CC16" s="92"/>
      <c r="CD16" s="966"/>
      <c r="CE16" s="66"/>
      <c r="CG16" s="876"/>
      <c r="CH16" s="890"/>
      <c r="CI16" s="890"/>
      <c r="CJ16" s="891">
        <f t="shared" si="54"/>
        <v>0</v>
      </c>
      <c r="CK16" s="892" t="str">
        <f t="shared" si="55"/>
        <v>-</v>
      </c>
      <c r="CL16" s="92"/>
      <c r="CM16" s="966"/>
      <c r="CN16" s="66"/>
      <c r="CP16" s="876"/>
      <c r="CQ16" s="890"/>
      <c r="CR16" s="890"/>
      <c r="CS16" s="891">
        <f t="shared" si="56"/>
        <v>0</v>
      </c>
      <c r="CT16" s="892" t="str">
        <f t="shared" si="57"/>
        <v>-</v>
      </c>
      <c r="CU16" s="92"/>
      <c r="CV16" s="966"/>
      <c r="CW16" s="66"/>
      <c r="CY16" s="876"/>
      <c r="CZ16" s="890"/>
      <c r="DA16" s="890"/>
      <c r="DB16" s="891">
        <f t="shared" si="58"/>
        <v>0</v>
      </c>
      <c r="DC16" s="892" t="str">
        <f t="shared" si="59"/>
        <v>-</v>
      </c>
      <c r="DD16" s="92"/>
      <c r="DE16" s="966"/>
      <c r="DF16" s="66"/>
      <c r="DH16" s="876"/>
      <c r="DI16" s="890"/>
      <c r="DJ16" s="890"/>
      <c r="DK16" s="891">
        <f t="shared" si="60"/>
        <v>0</v>
      </c>
      <c r="DL16" s="892" t="str">
        <f t="shared" si="61"/>
        <v>-</v>
      </c>
      <c r="DM16" s="92"/>
      <c r="DN16" s="966"/>
      <c r="DO16" s="66"/>
      <c r="DP16" s="55"/>
      <c r="DQ16" s="876"/>
      <c r="DR16" s="890"/>
      <c r="DS16" s="890"/>
      <c r="DT16" s="891">
        <f t="shared" si="62"/>
        <v>0</v>
      </c>
      <c r="DU16" s="892" t="str">
        <f t="shared" si="63"/>
        <v>-</v>
      </c>
      <c r="DV16" s="92"/>
      <c r="DW16" s="966"/>
      <c r="DX16" s="66"/>
      <c r="DY16" s="55"/>
      <c r="DZ16" s="876"/>
      <c r="EA16" s="890"/>
      <c r="EB16" s="890"/>
      <c r="EC16" s="891">
        <f t="shared" si="64"/>
        <v>0</v>
      </c>
      <c r="ED16" s="892" t="str">
        <f t="shared" si="65"/>
        <v>-</v>
      </c>
      <c r="EE16" s="92"/>
    </row>
    <row r="17">
      <c r="A17" s="33">
        <f>'Schedule | 3 Division (OLD)'!J11</f>
        <v>5</v>
      </c>
      <c r="B17" s="30" t="str">
        <f>'Schedule | 3 Division (OLD)'!E11</f>
        <v>ALTF4</v>
      </c>
      <c r="C17" s="906">
        <f>'Schedule | 3 Division (OLD)'!F11</f>
        <v>0</v>
      </c>
      <c r="D17" s="906">
        <f>'Schedule | 3 Division (OLD)'!H11</f>
        <v>0</v>
      </c>
      <c r="E17" s="30" t="str">
        <f>'Schedule | 3 Division (OLD)'!I11</f>
        <v>HEAX</v>
      </c>
      <c r="F17" s="30" t="str">
        <f t="shared" si="36"/>
        <v/>
      </c>
      <c r="G17" s="433" t="str">
        <f t="shared" si="37"/>
        <v/>
      </c>
      <c r="H17" s="966"/>
      <c r="I17" s="966"/>
      <c r="J17" s="964"/>
      <c r="K17" s="66"/>
      <c r="L17" s="55"/>
      <c r="M17" s="876"/>
      <c r="N17" s="890"/>
      <c r="O17" s="890"/>
      <c r="P17" s="891">
        <f t="shared" si="38"/>
        <v>0</v>
      </c>
      <c r="Q17" s="892" t="str">
        <f t="shared" si="39"/>
        <v>-</v>
      </c>
      <c r="S17" s="965"/>
      <c r="T17" s="66"/>
      <c r="V17" s="876"/>
      <c r="W17" s="890"/>
      <c r="X17" s="890"/>
      <c r="Y17" s="891">
        <f t="shared" si="40"/>
        <v>0</v>
      </c>
      <c r="Z17" s="892" t="str">
        <f t="shared" si="41"/>
        <v>-</v>
      </c>
      <c r="AA17" s="92"/>
      <c r="AB17" s="964"/>
      <c r="AC17" s="66"/>
      <c r="AD17" s="55"/>
      <c r="AE17" s="876"/>
      <c r="AF17" s="890"/>
      <c r="AG17" s="890"/>
      <c r="AH17" s="891">
        <f t="shared" si="42"/>
        <v>0</v>
      </c>
      <c r="AI17" s="892" t="str">
        <f t="shared" si="43"/>
        <v>-</v>
      </c>
      <c r="AJ17" s="92"/>
      <c r="AK17" s="964"/>
      <c r="AL17" s="66"/>
      <c r="AM17" s="55"/>
      <c r="AN17" s="876"/>
      <c r="AO17" s="890"/>
      <c r="AP17" s="890"/>
      <c r="AQ17" s="891">
        <f t="shared" si="44"/>
        <v>0</v>
      </c>
      <c r="AR17" s="892" t="str">
        <f t="shared" si="45"/>
        <v>-</v>
      </c>
      <c r="AS17" s="92"/>
      <c r="AT17" s="966"/>
      <c r="AU17" s="66"/>
      <c r="AV17" s="55"/>
      <c r="AW17" s="876"/>
      <c r="AX17" s="890"/>
      <c r="AY17" s="890"/>
      <c r="AZ17" s="891">
        <f t="shared" si="46"/>
        <v>0</v>
      </c>
      <c r="BA17" s="892" t="str">
        <f t="shared" si="47"/>
        <v>-</v>
      </c>
      <c r="BB17" s="92"/>
      <c r="BC17" s="966"/>
      <c r="BD17" s="66"/>
      <c r="BE17" s="55"/>
      <c r="BF17" s="876"/>
      <c r="BG17" s="890"/>
      <c r="BH17" s="890"/>
      <c r="BI17" s="891">
        <f t="shared" si="48"/>
        <v>0</v>
      </c>
      <c r="BJ17" s="892" t="str">
        <f t="shared" si="49"/>
        <v>-</v>
      </c>
      <c r="BK17" s="92"/>
      <c r="BL17" s="966"/>
      <c r="BM17" s="66"/>
      <c r="BN17" s="55"/>
      <c r="BO17" s="876"/>
      <c r="BP17" s="890"/>
      <c r="BQ17" s="890"/>
      <c r="BR17" s="891">
        <f t="shared" si="50"/>
        <v>0</v>
      </c>
      <c r="BS17" s="892" t="str">
        <f t="shared" si="51"/>
        <v>-</v>
      </c>
      <c r="BT17" s="92"/>
      <c r="BU17" s="966"/>
      <c r="BV17" s="66"/>
      <c r="BX17" s="876"/>
      <c r="BY17" s="890"/>
      <c r="BZ17" s="890"/>
      <c r="CA17" s="891">
        <f t="shared" si="52"/>
        <v>0</v>
      </c>
      <c r="CB17" s="892" t="str">
        <f t="shared" si="53"/>
        <v>-</v>
      </c>
      <c r="CC17" s="92"/>
      <c r="CD17" s="966"/>
      <c r="CE17" s="66"/>
      <c r="CG17" s="876"/>
      <c r="CH17" s="890"/>
      <c r="CI17" s="890"/>
      <c r="CJ17" s="891">
        <f t="shared" si="54"/>
        <v>0</v>
      </c>
      <c r="CK17" s="892" t="str">
        <f t="shared" si="55"/>
        <v>-</v>
      </c>
      <c r="CL17" s="92"/>
      <c r="CM17" s="966"/>
      <c r="CN17" s="66"/>
      <c r="CP17" s="876"/>
      <c r="CQ17" s="890"/>
      <c r="CR17" s="890"/>
      <c r="CS17" s="891">
        <f t="shared" si="56"/>
        <v>0</v>
      </c>
      <c r="CT17" s="892" t="str">
        <f t="shared" si="57"/>
        <v>-</v>
      </c>
      <c r="CU17" s="92"/>
      <c r="CV17" s="966"/>
      <c r="CW17" s="66"/>
      <c r="CY17" s="876"/>
      <c r="CZ17" s="890"/>
      <c r="DA17" s="890"/>
      <c r="DB17" s="891">
        <f t="shared" si="58"/>
        <v>0</v>
      </c>
      <c r="DC17" s="892" t="str">
        <f t="shared" si="59"/>
        <v>-</v>
      </c>
      <c r="DD17" s="92"/>
      <c r="DE17" s="966"/>
      <c r="DF17" s="66"/>
      <c r="DH17" s="876"/>
      <c r="DI17" s="890"/>
      <c r="DJ17" s="890"/>
      <c r="DK17" s="891">
        <f t="shared" si="60"/>
        <v>0</v>
      </c>
      <c r="DL17" s="892" t="str">
        <f t="shared" si="61"/>
        <v>-</v>
      </c>
      <c r="DM17" s="92"/>
      <c r="DN17" s="966"/>
      <c r="DO17" s="66"/>
      <c r="DP17" s="55"/>
      <c r="DQ17" s="876"/>
      <c r="DR17" s="890"/>
      <c r="DS17" s="890"/>
      <c r="DT17" s="891">
        <f t="shared" si="62"/>
        <v>0</v>
      </c>
      <c r="DU17" s="892" t="str">
        <f t="shared" si="63"/>
        <v>-</v>
      </c>
      <c r="DV17" s="92"/>
      <c r="DW17" s="966"/>
      <c r="DX17" s="66"/>
      <c r="DY17" s="55"/>
      <c r="DZ17" s="876"/>
      <c r="EA17" s="890"/>
      <c r="EB17" s="890"/>
      <c r="EC17" s="891">
        <f t="shared" si="64"/>
        <v>0</v>
      </c>
      <c r="ED17" s="892" t="str">
        <f t="shared" si="65"/>
        <v>-</v>
      </c>
      <c r="EE17" s="92"/>
    </row>
    <row r="18">
      <c r="A18" s="33">
        <f>'Schedule | 3 Division (OLD)'!J12</f>
        <v>6</v>
      </c>
      <c r="B18" s="30" t="str">
        <f>'Schedule | 3 Division (OLD)'!E12</f>
        <v>КОРМ 2</v>
      </c>
      <c r="C18" s="906">
        <f>'Schedule | 3 Division (OLD)'!F12</f>
        <v>0</v>
      </c>
      <c r="D18" s="906">
        <f>'Schedule | 3 Division (OLD)'!H12</f>
        <v>0</v>
      </c>
      <c r="E18" s="30" t="str">
        <f>'Schedule | 3 Division (OLD)'!I12</f>
        <v>DEACUERDO</v>
      </c>
      <c r="F18" s="30" t="str">
        <f t="shared" si="36"/>
        <v/>
      </c>
      <c r="G18" s="433" t="str">
        <f t="shared" si="37"/>
        <v/>
      </c>
      <c r="H18" s="966"/>
      <c r="I18" s="966"/>
      <c r="J18" s="964"/>
      <c r="K18" s="66"/>
      <c r="L18" s="55"/>
      <c r="M18" s="876"/>
      <c r="N18" s="890"/>
      <c r="O18" s="890"/>
      <c r="P18" s="891">
        <f t="shared" si="38"/>
        <v>0</v>
      </c>
      <c r="Q18" s="892" t="str">
        <f t="shared" si="39"/>
        <v>-</v>
      </c>
      <c r="S18" s="965"/>
      <c r="T18" s="66"/>
      <c r="V18" s="876"/>
      <c r="W18" s="890"/>
      <c r="X18" s="890"/>
      <c r="Y18" s="891">
        <f t="shared" si="40"/>
        <v>0</v>
      </c>
      <c r="Z18" s="892" t="str">
        <f t="shared" si="41"/>
        <v>-</v>
      </c>
      <c r="AA18" s="92"/>
      <c r="AB18" s="964"/>
      <c r="AC18" s="66"/>
      <c r="AD18" s="55"/>
      <c r="AE18" s="876"/>
      <c r="AF18" s="890"/>
      <c r="AG18" s="890"/>
      <c r="AH18" s="891">
        <f t="shared" si="42"/>
        <v>0</v>
      </c>
      <c r="AI18" s="892" t="str">
        <f t="shared" si="43"/>
        <v>-</v>
      </c>
      <c r="AJ18" s="92"/>
      <c r="AK18" s="964"/>
      <c r="AL18" s="66"/>
      <c r="AM18" s="55"/>
      <c r="AN18" s="876"/>
      <c r="AO18" s="890"/>
      <c r="AP18" s="890"/>
      <c r="AQ18" s="891">
        <f t="shared" si="44"/>
        <v>0</v>
      </c>
      <c r="AR18" s="892" t="str">
        <f t="shared" si="45"/>
        <v>-</v>
      </c>
      <c r="AS18" s="92"/>
      <c r="AT18" s="966"/>
      <c r="AU18" s="66"/>
      <c r="AV18" s="55"/>
      <c r="AW18" s="876"/>
      <c r="AX18" s="890"/>
      <c r="AY18" s="890"/>
      <c r="AZ18" s="891">
        <f t="shared" si="46"/>
        <v>0</v>
      </c>
      <c r="BA18" s="892" t="str">
        <f t="shared" si="47"/>
        <v>-</v>
      </c>
      <c r="BB18" s="92"/>
      <c r="BC18" s="966"/>
      <c r="BD18" s="66"/>
      <c r="BE18" s="55"/>
      <c r="BF18" s="876"/>
      <c r="BG18" s="890"/>
      <c r="BH18" s="890"/>
      <c r="BI18" s="891">
        <f t="shared" si="48"/>
        <v>0</v>
      </c>
      <c r="BJ18" s="892" t="str">
        <f t="shared" si="49"/>
        <v>-</v>
      </c>
      <c r="BK18" s="92"/>
      <c r="BL18" s="966"/>
      <c r="BM18" s="66"/>
      <c r="BN18" s="55"/>
      <c r="BO18" s="876"/>
      <c r="BP18" s="890"/>
      <c r="BQ18" s="890"/>
      <c r="BR18" s="891">
        <f t="shared" si="50"/>
        <v>0</v>
      </c>
      <c r="BS18" s="892" t="str">
        <f t="shared" si="51"/>
        <v>-</v>
      </c>
      <c r="BT18" s="92"/>
      <c r="BU18" s="966"/>
      <c r="BV18" s="66"/>
      <c r="BX18" s="876"/>
      <c r="BY18" s="890"/>
      <c r="BZ18" s="890"/>
      <c r="CA18" s="891">
        <f t="shared" si="52"/>
        <v>0</v>
      </c>
      <c r="CB18" s="892" t="str">
        <f t="shared" si="53"/>
        <v>-</v>
      </c>
      <c r="CC18" s="92"/>
      <c r="CD18" s="966"/>
      <c r="CE18" s="66"/>
      <c r="CG18" s="876"/>
      <c r="CH18" s="890"/>
      <c r="CI18" s="890"/>
      <c r="CJ18" s="891">
        <f t="shared" si="54"/>
        <v>0</v>
      </c>
      <c r="CK18" s="892" t="str">
        <f t="shared" si="55"/>
        <v>-</v>
      </c>
      <c r="CL18" s="92"/>
      <c r="CM18" s="966"/>
      <c r="CN18" s="66"/>
      <c r="CP18" s="876"/>
      <c r="CQ18" s="890"/>
      <c r="CR18" s="890"/>
      <c r="CS18" s="891">
        <f t="shared" si="56"/>
        <v>0</v>
      </c>
      <c r="CT18" s="892" t="str">
        <f t="shared" si="57"/>
        <v>-</v>
      </c>
      <c r="CU18" s="92"/>
      <c r="CV18" s="966"/>
      <c r="CW18" s="66"/>
      <c r="CY18" s="876"/>
      <c r="CZ18" s="890"/>
      <c r="DA18" s="890"/>
      <c r="DB18" s="891">
        <f t="shared" si="58"/>
        <v>0</v>
      </c>
      <c r="DC18" s="892" t="str">
        <f t="shared" si="59"/>
        <v>-</v>
      </c>
      <c r="DD18" s="92"/>
      <c r="DE18" s="966"/>
      <c r="DF18" s="66"/>
      <c r="DH18" s="876"/>
      <c r="DI18" s="890"/>
      <c r="DJ18" s="890"/>
      <c r="DK18" s="891">
        <f t="shared" si="60"/>
        <v>0</v>
      </c>
      <c r="DL18" s="892" t="str">
        <f t="shared" si="61"/>
        <v>-</v>
      </c>
      <c r="DM18" s="92"/>
      <c r="DN18" s="966"/>
      <c r="DO18" s="66"/>
      <c r="DP18" s="55"/>
      <c r="DQ18" s="876"/>
      <c r="DR18" s="890"/>
      <c r="DS18" s="890"/>
      <c r="DT18" s="891">
        <f t="shared" si="62"/>
        <v>0</v>
      </c>
      <c r="DU18" s="892" t="str">
        <f t="shared" si="63"/>
        <v>-</v>
      </c>
      <c r="DV18" s="92"/>
      <c r="DW18" s="966"/>
      <c r="DX18" s="66"/>
      <c r="DY18" s="55"/>
      <c r="DZ18" s="876"/>
      <c r="EA18" s="890"/>
      <c r="EB18" s="890"/>
      <c r="EC18" s="891">
        <f t="shared" si="64"/>
        <v>0</v>
      </c>
      <c r="ED18" s="892" t="str">
        <f t="shared" si="65"/>
        <v>-</v>
      </c>
      <c r="EE18" s="92"/>
    </row>
    <row r="19">
      <c r="A19" s="33">
        <f>'Schedule | 3 Division (OLD)'!J13</f>
        <v>7</v>
      </c>
      <c r="B19" s="30" t="str">
        <f>'Schedule | 3 Division (OLD)'!E13</f>
        <v>BOGATYRI</v>
      </c>
      <c r="C19" s="906">
        <f>'Schedule | 3 Division (OLD)'!F13</f>
        <v>0</v>
      </c>
      <c r="D19" s="906">
        <f>'Schedule | 3 Division (OLD)'!H13</f>
        <v>0</v>
      </c>
      <c r="E19" s="30" t="str">
        <f>'Schedule | 3 Division (OLD)'!I13</f>
        <v>SAPPIAMO</v>
      </c>
      <c r="F19" s="30" t="str">
        <f t="shared" si="36"/>
        <v/>
      </c>
      <c r="G19" s="433" t="str">
        <f t="shared" si="37"/>
        <v/>
      </c>
      <c r="H19" s="966"/>
      <c r="I19" s="966"/>
      <c r="J19" s="964"/>
      <c r="K19" s="66"/>
      <c r="L19" s="55"/>
      <c r="M19" s="893"/>
      <c r="N19" s="894"/>
      <c r="O19" s="894"/>
      <c r="P19" s="895">
        <f t="shared" si="38"/>
        <v>0</v>
      </c>
      <c r="Q19" s="896" t="str">
        <f t="shared" si="39"/>
        <v>-</v>
      </c>
      <c r="S19" s="965"/>
      <c r="T19" s="66"/>
      <c r="V19" s="893"/>
      <c r="W19" s="894"/>
      <c r="X19" s="894"/>
      <c r="Y19" s="895">
        <f t="shared" si="40"/>
        <v>0</v>
      </c>
      <c r="Z19" s="896" t="str">
        <f t="shared" si="41"/>
        <v>-</v>
      </c>
      <c r="AA19" s="92"/>
      <c r="AB19" s="964"/>
      <c r="AC19" s="66"/>
      <c r="AD19" s="55"/>
      <c r="AE19" s="893"/>
      <c r="AF19" s="894"/>
      <c r="AG19" s="894"/>
      <c r="AH19" s="895">
        <f t="shared" si="42"/>
        <v>0</v>
      </c>
      <c r="AI19" s="896" t="str">
        <f t="shared" si="43"/>
        <v>-</v>
      </c>
      <c r="AJ19" s="92"/>
      <c r="AK19" s="964"/>
      <c r="AL19" s="66"/>
      <c r="AM19" s="55"/>
      <c r="AN19" s="893"/>
      <c r="AO19" s="894"/>
      <c r="AP19" s="894"/>
      <c r="AQ19" s="895">
        <f t="shared" si="44"/>
        <v>0</v>
      </c>
      <c r="AR19" s="896" t="str">
        <f t="shared" si="45"/>
        <v>-</v>
      </c>
      <c r="AS19" s="92"/>
      <c r="AT19" s="966"/>
      <c r="AU19" s="66"/>
      <c r="AV19" s="55"/>
      <c r="AW19" s="893"/>
      <c r="AX19" s="894"/>
      <c r="AY19" s="894"/>
      <c r="AZ19" s="895">
        <f t="shared" si="46"/>
        <v>0</v>
      </c>
      <c r="BA19" s="896" t="str">
        <f t="shared" si="47"/>
        <v>-</v>
      </c>
      <c r="BB19" s="92"/>
      <c r="BC19" s="966"/>
      <c r="BD19" s="66"/>
      <c r="BE19" s="55"/>
      <c r="BF19" s="893"/>
      <c r="BG19" s="894"/>
      <c r="BH19" s="894"/>
      <c r="BI19" s="895">
        <f t="shared" si="48"/>
        <v>0</v>
      </c>
      <c r="BJ19" s="896" t="str">
        <f t="shared" si="49"/>
        <v>-</v>
      </c>
      <c r="BK19" s="92"/>
      <c r="BL19" s="966"/>
      <c r="BM19" s="66"/>
      <c r="BN19" s="55"/>
      <c r="BO19" s="893"/>
      <c r="BP19" s="894"/>
      <c r="BQ19" s="894"/>
      <c r="BR19" s="895">
        <f t="shared" si="50"/>
        <v>0</v>
      </c>
      <c r="BS19" s="896" t="str">
        <f t="shared" si="51"/>
        <v>-</v>
      </c>
      <c r="BT19" s="92"/>
      <c r="BU19" s="966"/>
      <c r="BV19" s="66"/>
      <c r="BX19" s="893"/>
      <c r="BY19" s="894"/>
      <c r="BZ19" s="894"/>
      <c r="CA19" s="895">
        <f t="shared" si="52"/>
        <v>0</v>
      </c>
      <c r="CB19" s="896" t="str">
        <f t="shared" si="53"/>
        <v>-</v>
      </c>
      <c r="CC19" s="92"/>
      <c r="CD19" s="966"/>
      <c r="CE19" s="66"/>
      <c r="CG19" s="893"/>
      <c r="CH19" s="894"/>
      <c r="CI19" s="894"/>
      <c r="CJ19" s="895">
        <f t="shared" si="54"/>
        <v>0</v>
      </c>
      <c r="CK19" s="896" t="str">
        <f t="shared" si="55"/>
        <v>-</v>
      </c>
      <c r="CL19" s="92"/>
      <c r="CM19" s="966"/>
      <c r="CN19" s="66"/>
      <c r="CP19" s="893"/>
      <c r="CQ19" s="894"/>
      <c r="CR19" s="894"/>
      <c r="CS19" s="895">
        <f t="shared" si="56"/>
        <v>0</v>
      </c>
      <c r="CT19" s="896" t="str">
        <f t="shared" si="57"/>
        <v>-</v>
      </c>
      <c r="CU19" s="92"/>
      <c r="CV19" s="966"/>
      <c r="CW19" s="66"/>
      <c r="CY19" s="893"/>
      <c r="CZ19" s="894"/>
      <c r="DA19" s="894"/>
      <c r="DB19" s="895">
        <f t="shared" si="58"/>
        <v>0</v>
      </c>
      <c r="DC19" s="896" t="str">
        <f t="shared" si="59"/>
        <v>-</v>
      </c>
      <c r="DD19" s="92"/>
      <c r="DE19" s="966"/>
      <c r="DF19" s="66"/>
      <c r="DH19" s="893"/>
      <c r="DI19" s="894"/>
      <c r="DJ19" s="894"/>
      <c r="DK19" s="895">
        <f t="shared" si="60"/>
        <v>0</v>
      </c>
      <c r="DL19" s="896" t="str">
        <f t="shared" si="61"/>
        <v>-</v>
      </c>
      <c r="DM19" s="92"/>
      <c r="DN19" s="966"/>
      <c r="DO19" s="66"/>
      <c r="DP19" s="55"/>
      <c r="DQ19" s="893"/>
      <c r="DR19" s="894"/>
      <c r="DS19" s="894"/>
      <c r="DT19" s="895">
        <f t="shared" si="62"/>
        <v>0</v>
      </c>
      <c r="DU19" s="896" t="str">
        <f t="shared" si="63"/>
        <v>-</v>
      </c>
      <c r="DV19" s="92"/>
      <c r="DW19" s="966"/>
      <c r="DX19" s="66"/>
      <c r="DY19" s="55"/>
      <c r="DZ19" s="893"/>
      <c r="EA19" s="894"/>
      <c r="EB19" s="894"/>
      <c r="EC19" s="895">
        <f t="shared" si="64"/>
        <v>0</v>
      </c>
      <c r="ED19" s="896" t="str">
        <f t="shared" si="65"/>
        <v>-</v>
      </c>
      <c r="EE19" s="92"/>
    </row>
    <row r="20">
      <c r="A20" s="33">
        <f>'Schedule | 3 Division (OLD)'!J14</f>
        <v>8</v>
      </c>
      <c r="B20" s="30" t="str">
        <f>'Schedule | 3 Division (OLD)'!E14</f>
        <v>ACHIEVERS</v>
      </c>
      <c r="C20" s="906">
        <f>'Schedule | 3 Division (OLD)'!F14</f>
        <v>0</v>
      </c>
      <c r="D20" s="906">
        <f>'Schedule | 3 Division (OLD)'!H14</f>
        <v>0</v>
      </c>
      <c r="E20" s="30" t="str">
        <f>'Schedule | 3 Division (OLD)'!I14</f>
        <v>RISE</v>
      </c>
      <c r="F20" s="30" t="str">
        <f t="shared" si="36"/>
        <v/>
      </c>
      <c r="G20" s="433" t="str">
        <f t="shared" si="37"/>
        <v/>
      </c>
      <c r="H20" s="966"/>
      <c r="I20" s="966"/>
      <c r="J20" s="964"/>
      <c r="K20" s="94"/>
      <c r="L20" s="61"/>
      <c r="M20" s="898">
        <f>COUNTIF(N13:N19, "W")</f>
        <v>0</v>
      </c>
      <c r="N20" s="144"/>
      <c r="O20" s="894" t="s">
        <v>816</v>
      </c>
      <c r="P20" s="899">
        <f>COUNTIF(P13:P19, "W")</f>
        <v>0</v>
      </c>
      <c r="Q20" s="93"/>
      <c r="R20" s="22"/>
      <c r="S20" s="965"/>
      <c r="T20" s="94"/>
      <c r="V20" s="898">
        <f>COUNTIF(W13:W19, "W")</f>
        <v>0</v>
      </c>
      <c r="W20" s="144"/>
      <c r="X20" s="894" t="s">
        <v>816</v>
      </c>
      <c r="Y20" s="899">
        <f>COUNTIF(Y13:Y19, "W")</f>
        <v>0</v>
      </c>
      <c r="Z20" s="93"/>
      <c r="AA20" s="93"/>
      <c r="AB20" s="964"/>
      <c r="AC20" s="94"/>
      <c r="AD20" s="61"/>
      <c r="AE20" s="898">
        <f>COUNTIF(AF13:AF19, "W")</f>
        <v>0</v>
      </c>
      <c r="AF20" s="144"/>
      <c r="AG20" s="894" t="s">
        <v>816</v>
      </c>
      <c r="AH20" s="899">
        <f>COUNTIF(AH13:AH19, "W")</f>
        <v>0</v>
      </c>
      <c r="AI20" s="93"/>
      <c r="AJ20" s="93"/>
      <c r="AK20" s="964"/>
      <c r="AL20" s="94"/>
      <c r="AM20" s="61"/>
      <c r="AN20" s="898">
        <f>COUNTIF(AO13:AO19, "W")</f>
        <v>0</v>
      </c>
      <c r="AO20" s="144"/>
      <c r="AP20" s="894" t="s">
        <v>816</v>
      </c>
      <c r="AQ20" s="899">
        <f>COUNTIF(AQ13:AQ19, "W")</f>
        <v>0</v>
      </c>
      <c r="AR20" s="93"/>
      <c r="AS20" s="93"/>
      <c r="AT20" s="966"/>
      <c r="AU20" s="94"/>
      <c r="AV20" s="61"/>
      <c r="AW20" s="898">
        <f>COUNTIF(AX13:AX19, "W")</f>
        <v>0</v>
      </c>
      <c r="AX20" s="144"/>
      <c r="AY20" s="894" t="s">
        <v>816</v>
      </c>
      <c r="AZ20" s="899">
        <f>COUNTIF(AZ13:AZ19, "W")</f>
        <v>0</v>
      </c>
      <c r="BA20" s="93"/>
      <c r="BB20" s="93"/>
      <c r="BC20" s="966"/>
      <c r="BD20" s="94"/>
      <c r="BE20" s="61"/>
      <c r="BF20" s="898">
        <f>COUNTIF(BG13:BG19, "W")</f>
        <v>0</v>
      </c>
      <c r="BG20" s="144"/>
      <c r="BH20" s="894" t="s">
        <v>816</v>
      </c>
      <c r="BI20" s="899">
        <f>COUNTIF(BI13:BI19, "W")</f>
        <v>0</v>
      </c>
      <c r="BJ20" s="93"/>
      <c r="BK20" s="93"/>
      <c r="BL20" s="966"/>
      <c r="BM20" s="94"/>
      <c r="BN20" s="61"/>
      <c r="BO20" s="898">
        <f>COUNTIF(BP13:BP19, "W")</f>
        <v>0</v>
      </c>
      <c r="BP20" s="144"/>
      <c r="BQ20" s="894" t="s">
        <v>816</v>
      </c>
      <c r="BR20" s="899">
        <f>COUNTIF(BR13:BR19, "W")</f>
        <v>0</v>
      </c>
      <c r="BS20" s="93"/>
      <c r="BT20" s="93"/>
      <c r="BU20" s="966"/>
      <c r="BV20" s="94"/>
      <c r="BX20" s="898">
        <f>COUNTIF(BY13:BY19, "W")</f>
        <v>0</v>
      </c>
      <c r="BY20" s="144"/>
      <c r="BZ20" s="894" t="s">
        <v>816</v>
      </c>
      <c r="CA20" s="899">
        <f>COUNTIF(CA13:CA19, "W")</f>
        <v>0</v>
      </c>
      <c r="CB20" s="93"/>
      <c r="CC20" s="92"/>
      <c r="CD20" s="966"/>
      <c r="CE20" s="94"/>
      <c r="CG20" s="898">
        <f>COUNTIF(CH13:CH19, "W")</f>
        <v>0</v>
      </c>
      <c r="CH20" s="144"/>
      <c r="CI20" s="894" t="s">
        <v>816</v>
      </c>
      <c r="CJ20" s="899">
        <f>COUNTIF(CJ13:CJ19, "W")</f>
        <v>0</v>
      </c>
      <c r="CK20" s="93"/>
      <c r="CL20" s="92"/>
      <c r="CM20" s="966"/>
      <c r="CN20" s="94"/>
      <c r="CP20" s="898">
        <f>COUNTIF(CQ13:CQ19, "W")</f>
        <v>0</v>
      </c>
      <c r="CQ20" s="144"/>
      <c r="CR20" s="894" t="s">
        <v>816</v>
      </c>
      <c r="CS20" s="899">
        <f>COUNTIF(CS13:CS19, "W")</f>
        <v>0</v>
      </c>
      <c r="CT20" s="93"/>
      <c r="CU20" s="92"/>
      <c r="CV20" s="966"/>
      <c r="CW20" s="94"/>
      <c r="CY20" s="898">
        <f>COUNTIF(CZ13:CZ19, "W")</f>
        <v>0</v>
      </c>
      <c r="CZ20" s="144"/>
      <c r="DA20" s="894" t="s">
        <v>816</v>
      </c>
      <c r="DB20" s="899">
        <f>COUNTIF(DB13:DB19, "W")</f>
        <v>0</v>
      </c>
      <c r="DC20" s="93"/>
      <c r="DD20" s="92"/>
      <c r="DE20" s="966"/>
      <c r="DF20" s="94"/>
      <c r="DH20" s="898">
        <f>COUNTIF(DI13:DI19, "W")</f>
        <v>0</v>
      </c>
      <c r="DI20" s="144"/>
      <c r="DJ20" s="894" t="s">
        <v>816</v>
      </c>
      <c r="DK20" s="899">
        <f>COUNTIF(DK13:DK19, "W")</f>
        <v>0</v>
      </c>
      <c r="DL20" s="93"/>
      <c r="DM20" s="92"/>
      <c r="DN20" s="966"/>
      <c r="DO20" s="94"/>
      <c r="DP20" s="61"/>
      <c r="DQ20" s="898">
        <f>COUNTIF(DR13:DR19, "W")</f>
        <v>0</v>
      </c>
      <c r="DR20" s="144"/>
      <c r="DS20" s="894" t="s">
        <v>816</v>
      </c>
      <c r="DT20" s="899">
        <f>COUNTIF(DT13:DT19, "W")</f>
        <v>0</v>
      </c>
      <c r="DU20" s="93"/>
      <c r="DV20" s="93"/>
      <c r="DW20" s="966"/>
      <c r="DX20" s="94"/>
      <c r="DY20" s="61"/>
      <c r="DZ20" s="898">
        <f>COUNTIF(EA13:EA19, "W")</f>
        <v>0</v>
      </c>
      <c r="EA20" s="144"/>
      <c r="EB20" s="894" t="s">
        <v>816</v>
      </c>
      <c r="EC20" s="899">
        <f>COUNTIF(EC13:EC19, "W")</f>
        <v>0</v>
      </c>
      <c r="ED20" s="93"/>
      <c r="EE20" s="93"/>
    </row>
    <row r="21" ht="18.0" customHeight="1">
      <c r="A21" s="33">
        <f>'Schedule | 3 Division (OLD)'!J17</f>
        <v>9</v>
      </c>
      <c r="B21" s="30" t="str">
        <f>'Schedule | 3 Division (OLD)'!E17</f>
        <v>КОРМ 2</v>
      </c>
      <c r="C21" s="906">
        <f>'Schedule | 3 Division (OLD)'!F17</f>
        <v>0</v>
      </c>
      <c r="D21" s="906">
        <f>'Schedule | 3 Division (OLD)'!H17</f>
        <v>0</v>
      </c>
      <c r="E21" s="30" t="str">
        <f>'Schedule | 3 Division (OLD)'!I17</f>
        <v>ACHIEVERS</v>
      </c>
      <c r="F21" s="30" t="str">
        <f t="shared" si="36"/>
        <v/>
      </c>
      <c r="G21" s="433" t="str">
        <f t="shared" si="37"/>
        <v/>
      </c>
      <c r="H21" s="966"/>
      <c r="I21" s="966"/>
      <c r="J21" s="960"/>
      <c r="K21" s="970"/>
      <c r="L21" s="971"/>
      <c r="M21" s="971"/>
      <c r="N21" s="971"/>
      <c r="O21" s="971"/>
      <c r="P21" s="971"/>
      <c r="Q21" s="971"/>
      <c r="R21" s="971"/>
      <c r="S21" s="960"/>
      <c r="T21" s="970"/>
      <c r="U21" s="971"/>
      <c r="V21" s="971"/>
      <c r="W21" s="971"/>
      <c r="X21" s="971"/>
      <c r="Y21" s="971"/>
      <c r="Z21" s="971"/>
      <c r="AA21" s="971"/>
      <c r="AB21" s="960"/>
      <c r="AC21" s="970"/>
      <c r="AD21" s="971"/>
      <c r="AE21" s="971"/>
      <c r="AF21" s="971"/>
      <c r="AG21" s="971"/>
      <c r="AH21" s="971"/>
      <c r="AI21" s="971"/>
      <c r="AJ21" s="971"/>
      <c r="AK21" s="960"/>
      <c r="AL21" s="970"/>
      <c r="AM21" s="971"/>
      <c r="AN21" s="971"/>
      <c r="AO21" s="971"/>
      <c r="AP21" s="971"/>
      <c r="AQ21" s="971"/>
      <c r="AR21" s="971"/>
      <c r="AS21" s="971"/>
      <c r="AT21" s="962"/>
      <c r="AU21" s="970"/>
      <c r="AV21" s="971"/>
      <c r="AW21" s="971"/>
      <c r="AX21" s="971"/>
      <c r="AY21" s="971"/>
      <c r="AZ21" s="971"/>
      <c r="BA21" s="971"/>
      <c r="BB21" s="971"/>
      <c r="BC21" s="962"/>
      <c r="BD21" s="970"/>
      <c r="BE21" s="971"/>
      <c r="BF21" s="971"/>
      <c r="BG21" s="971"/>
      <c r="BH21" s="971"/>
      <c r="BI21" s="971"/>
      <c r="BJ21" s="971"/>
      <c r="BK21" s="971"/>
      <c r="BL21" s="962"/>
      <c r="BM21" s="970"/>
      <c r="BN21" s="971"/>
      <c r="BO21" s="971"/>
      <c r="BP21" s="971"/>
      <c r="BQ21" s="971"/>
      <c r="BR21" s="971"/>
      <c r="BS21" s="971"/>
      <c r="BT21" s="971"/>
      <c r="BU21" s="962"/>
      <c r="BV21" s="970"/>
      <c r="BW21" s="971"/>
      <c r="BX21" s="971"/>
      <c r="BY21" s="971"/>
      <c r="BZ21" s="971"/>
      <c r="CA21" s="971"/>
      <c r="CB21" s="971"/>
      <c r="CC21" s="971"/>
      <c r="CD21" s="962"/>
      <c r="CE21" s="970"/>
      <c r="CF21" s="971"/>
      <c r="CG21" s="971"/>
      <c r="CH21" s="971"/>
      <c r="CI21" s="971"/>
      <c r="CJ21" s="971"/>
      <c r="CK21" s="971"/>
      <c r="CL21" s="971"/>
      <c r="CM21" s="962"/>
      <c r="CN21" s="970"/>
      <c r="CO21" s="971"/>
      <c r="CP21" s="971"/>
      <c r="CQ21" s="971"/>
      <c r="CR21" s="971"/>
      <c r="CS21" s="971"/>
      <c r="CT21" s="971"/>
      <c r="CU21" s="971"/>
      <c r="CV21" s="962"/>
      <c r="CW21" s="970"/>
      <c r="CX21" s="971"/>
      <c r="CY21" s="971"/>
      <c r="CZ21" s="971"/>
      <c r="DA21" s="971"/>
      <c r="DB21" s="971"/>
      <c r="DC21" s="971"/>
      <c r="DD21" s="971"/>
      <c r="DE21" s="962"/>
      <c r="DF21" s="970"/>
      <c r="DG21" s="971"/>
      <c r="DH21" s="971"/>
      <c r="DI21" s="971"/>
      <c r="DJ21" s="971"/>
      <c r="DK21" s="971"/>
      <c r="DL21" s="971"/>
      <c r="DM21" s="971"/>
      <c r="DN21" s="962"/>
      <c r="DO21" s="970"/>
      <c r="DP21" s="971"/>
      <c r="DQ21" s="971"/>
      <c r="DR21" s="971"/>
      <c r="DS21" s="971"/>
      <c r="DT21" s="971"/>
      <c r="DU21" s="971"/>
      <c r="DV21" s="971"/>
      <c r="DW21" s="962"/>
      <c r="DX21" s="970"/>
      <c r="DY21" s="971"/>
      <c r="DZ21" s="971"/>
      <c r="EA21" s="971"/>
      <c r="EB21" s="971"/>
      <c r="EC21" s="971"/>
      <c r="ED21" s="971"/>
      <c r="EE21" s="971"/>
    </row>
    <row r="22">
      <c r="A22" s="33">
        <f>'Schedule | 3 Division (OLD)'!J18</f>
        <v>10</v>
      </c>
      <c r="B22" s="30" t="str">
        <f>'Schedule | 3 Division (OLD)'!E18</f>
        <v>ALTF4</v>
      </c>
      <c r="C22" s="906">
        <f>'Schedule | 3 Division (OLD)'!F18</f>
        <v>0</v>
      </c>
      <c r="D22" s="906">
        <f>'Schedule | 3 Division (OLD)'!H18</f>
        <v>0</v>
      </c>
      <c r="E22" s="30" t="str">
        <f>'Schedule | 3 Division (OLD)'!I18</f>
        <v>SAPPIAMO</v>
      </c>
      <c r="F22" s="30" t="str">
        <f t="shared" si="36"/>
        <v/>
      </c>
      <c r="G22" s="433" t="str">
        <f t="shared" si="37"/>
        <v/>
      </c>
      <c r="H22" s="966"/>
      <c r="I22" s="966"/>
      <c r="J22" s="960"/>
      <c r="K22" s="869" t="s">
        <v>263</v>
      </c>
      <c r="L22" s="869" t="s">
        <v>258</v>
      </c>
      <c r="M22" s="865" t="s">
        <v>825</v>
      </c>
      <c r="N22" s="866" t="s">
        <v>259</v>
      </c>
      <c r="O22" s="866" t="s">
        <v>307</v>
      </c>
      <c r="P22" s="866" t="s">
        <v>259</v>
      </c>
      <c r="Q22" s="867" t="s">
        <v>826</v>
      </c>
      <c r="R22" s="905" t="s">
        <v>261</v>
      </c>
      <c r="S22" s="961"/>
      <c r="T22" s="863" t="s">
        <v>263</v>
      </c>
      <c r="U22" s="863" t="s">
        <v>258</v>
      </c>
      <c r="V22" s="865" t="s">
        <v>825</v>
      </c>
      <c r="W22" s="866" t="s">
        <v>259</v>
      </c>
      <c r="X22" s="866" t="s">
        <v>307</v>
      </c>
      <c r="Y22" s="866" t="s">
        <v>259</v>
      </c>
      <c r="Z22" s="867" t="s">
        <v>826</v>
      </c>
      <c r="AA22" s="863" t="s">
        <v>261</v>
      </c>
      <c r="AB22" s="960"/>
      <c r="AC22" s="863" t="s">
        <v>263</v>
      </c>
      <c r="AD22" s="863" t="s">
        <v>258</v>
      </c>
      <c r="AE22" s="865" t="s">
        <v>825</v>
      </c>
      <c r="AF22" s="866" t="s">
        <v>259</v>
      </c>
      <c r="AG22" s="866" t="s">
        <v>307</v>
      </c>
      <c r="AH22" s="866" t="s">
        <v>259</v>
      </c>
      <c r="AI22" s="867" t="s">
        <v>826</v>
      </c>
      <c r="AJ22" s="863" t="s">
        <v>261</v>
      </c>
      <c r="AK22" s="960"/>
      <c r="AL22" s="863" t="s">
        <v>263</v>
      </c>
      <c r="AM22" s="863" t="s">
        <v>258</v>
      </c>
      <c r="AN22" s="865" t="s">
        <v>825</v>
      </c>
      <c r="AO22" s="866" t="s">
        <v>259</v>
      </c>
      <c r="AP22" s="866" t="s">
        <v>307</v>
      </c>
      <c r="AQ22" s="866" t="s">
        <v>259</v>
      </c>
      <c r="AR22" s="867" t="s">
        <v>826</v>
      </c>
      <c r="AS22" s="863" t="s">
        <v>261</v>
      </c>
      <c r="AT22" s="962"/>
      <c r="AU22" s="863" t="s">
        <v>263</v>
      </c>
      <c r="AV22" s="863" t="s">
        <v>258</v>
      </c>
      <c r="AW22" s="865" t="s">
        <v>825</v>
      </c>
      <c r="AX22" s="866" t="s">
        <v>259</v>
      </c>
      <c r="AY22" s="866" t="s">
        <v>307</v>
      </c>
      <c r="AZ22" s="866" t="s">
        <v>259</v>
      </c>
      <c r="BA22" s="867" t="s">
        <v>826</v>
      </c>
      <c r="BB22" s="863" t="s">
        <v>261</v>
      </c>
      <c r="BC22" s="962"/>
      <c r="BD22" s="863" t="s">
        <v>263</v>
      </c>
      <c r="BE22" s="863" t="s">
        <v>258</v>
      </c>
      <c r="BF22" s="865" t="s">
        <v>825</v>
      </c>
      <c r="BG22" s="866" t="s">
        <v>259</v>
      </c>
      <c r="BH22" s="866" t="s">
        <v>307</v>
      </c>
      <c r="BI22" s="866" t="s">
        <v>259</v>
      </c>
      <c r="BJ22" s="867" t="s">
        <v>826</v>
      </c>
      <c r="BK22" s="863" t="s">
        <v>261</v>
      </c>
      <c r="BL22" s="962"/>
      <c r="BM22" s="863" t="s">
        <v>263</v>
      </c>
      <c r="BN22" s="863" t="s">
        <v>258</v>
      </c>
      <c r="BO22" s="865" t="s">
        <v>825</v>
      </c>
      <c r="BP22" s="866" t="s">
        <v>259</v>
      </c>
      <c r="BQ22" s="866" t="s">
        <v>307</v>
      </c>
      <c r="BR22" s="866" t="s">
        <v>259</v>
      </c>
      <c r="BS22" s="867" t="s">
        <v>826</v>
      </c>
      <c r="BT22" s="863" t="s">
        <v>261</v>
      </c>
      <c r="BU22" s="962"/>
      <c r="BV22" s="863" t="s">
        <v>263</v>
      </c>
      <c r="BW22" s="863" t="s">
        <v>258</v>
      </c>
      <c r="BX22" s="865" t="s">
        <v>825</v>
      </c>
      <c r="BY22" s="866" t="s">
        <v>259</v>
      </c>
      <c r="BZ22" s="866" t="s">
        <v>307</v>
      </c>
      <c r="CA22" s="866" t="s">
        <v>259</v>
      </c>
      <c r="CB22" s="867" t="s">
        <v>826</v>
      </c>
      <c r="CC22" s="863" t="s">
        <v>261</v>
      </c>
      <c r="CD22" s="962"/>
      <c r="CE22" s="863" t="s">
        <v>263</v>
      </c>
      <c r="CF22" s="863" t="s">
        <v>258</v>
      </c>
      <c r="CG22" s="865" t="s">
        <v>825</v>
      </c>
      <c r="CH22" s="866" t="s">
        <v>259</v>
      </c>
      <c r="CI22" s="866" t="s">
        <v>307</v>
      </c>
      <c r="CJ22" s="866" t="s">
        <v>259</v>
      </c>
      <c r="CK22" s="867" t="s">
        <v>826</v>
      </c>
      <c r="CL22" s="863" t="s">
        <v>261</v>
      </c>
      <c r="CM22" s="962"/>
      <c r="CN22" s="863" t="s">
        <v>263</v>
      </c>
      <c r="CO22" s="863" t="s">
        <v>258</v>
      </c>
      <c r="CP22" s="865" t="s">
        <v>825</v>
      </c>
      <c r="CQ22" s="866" t="s">
        <v>259</v>
      </c>
      <c r="CR22" s="866" t="s">
        <v>307</v>
      </c>
      <c r="CS22" s="866" t="s">
        <v>259</v>
      </c>
      <c r="CT22" s="867" t="s">
        <v>826</v>
      </c>
      <c r="CU22" s="863" t="s">
        <v>261</v>
      </c>
      <c r="CV22" s="962"/>
      <c r="CW22" s="863" t="s">
        <v>263</v>
      </c>
      <c r="CX22" s="863" t="s">
        <v>258</v>
      </c>
      <c r="CY22" s="865" t="s">
        <v>825</v>
      </c>
      <c r="CZ22" s="866" t="s">
        <v>259</v>
      </c>
      <c r="DA22" s="866" t="s">
        <v>307</v>
      </c>
      <c r="DB22" s="866" t="s">
        <v>259</v>
      </c>
      <c r="DC22" s="867" t="s">
        <v>826</v>
      </c>
      <c r="DD22" s="863" t="s">
        <v>261</v>
      </c>
      <c r="DE22" s="962"/>
      <c r="DF22" s="863" t="s">
        <v>263</v>
      </c>
      <c r="DG22" s="863" t="s">
        <v>258</v>
      </c>
      <c r="DH22" s="865" t="s">
        <v>825</v>
      </c>
      <c r="DI22" s="866" t="s">
        <v>259</v>
      </c>
      <c r="DJ22" s="866" t="s">
        <v>307</v>
      </c>
      <c r="DK22" s="866" t="s">
        <v>259</v>
      </c>
      <c r="DL22" s="867" t="s">
        <v>826</v>
      </c>
      <c r="DM22" s="863" t="s">
        <v>261</v>
      </c>
      <c r="DN22" s="962"/>
      <c r="DO22" s="863" t="s">
        <v>263</v>
      </c>
      <c r="DP22" s="863" t="s">
        <v>258</v>
      </c>
      <c r="DQ22" s="865" t="s">
        <v>825</v>
      </c>
      <c r="DR22" s="866" t="s">
        <v>259</v>
      </c>
      <c r="DS22" s="866" t="s">
        <v>307</v>
      </c>
      <c r="DT22" s="866" t="s">
        <v>259</v>
      </c>
      <c r="DU22" s="867" t="s">
        <v>826</v>
      </c>
      <c r="DV22" s="863" t="s">
        <v>261</v>
      </c>
      <c r="DW22" s="962"/>
      <c r="DX22" s="863" t="s">
        <v>263</v>
      </c>
      <c r="DY22" s="863" t="s">
        <v>258</v>
      </c>
      <c r="DZ22" s="865" t="s">
        <v>825</v>
      </c>
      <c r="EA22" s="866" t="s">
        <v>259</v>
      </c>
      <c r="EB22" s="866" t="s">
        <v>307</v>
      </c>
      <c r="EC22" s="866" t="s">
        <v>259</v>
      </c>
      <c r="ED22" s="867" t="s">
        <v>826</v>
      </c>
      <c r="EE22" s="863" t="s">
        <v>261</v>
      </c>
    </row>
    <row r="23">
      <c r="A23" s="33">
        <f>'Schedule | 3 Division (OLD)'!J19</f>
        <v>11</v>
      </c>
      <c r="B23" s="30" t="str">
        <f>'Schedule | 3 Division (OLD)'!E19</f>
        <v>HEAX</v>
      </c>
      <c r="C23" s="906">
        <f>'Schedule | 3 Division (OLD)'!F19</f>
        <v>0</v>
      </c>
      <c r="D23" s="906">
        <f>'Schedule | 3 Division (OLD)'!H19</f>
        <v>0</v>
      </c>
      <c r="E23" s="30" t="str">
        <f>'Schedule | 3 Division (OLD)'!I19</f>
        <v>RISE</v>
      </c>
      <c r="F23" s="30" t="str">
        <f t="shared" si="36"/>
        <v/>
      </c>
      <c r="G23" s="433" t="str">
        <f t="shared" si="37"/>
        <v/>
      </c>
      <c r="H23" s="966"/>
      <c r="I23" s="966"/>
      <c r="J23" s="964"/>
      <c r="K23" s="456">
        <f>'Schedule | 3 Division (OLD)'!J7</f>
        <v>3</v>
      </c>
      <c r="L23" s="875" t="str">
        <f>'Schedule | 3 Division (OLD)'!E7</f>
        <v>КОРМ 2</v>
      </c>
      <c r="M23" s="876"/>
      <c r="N23" s="877"/>
      <c r="O23" s="877"/>
      <c r="P23" s="878">
        <f t="shared" ref="P23:P29" si="66">ifs(N23="W","L",N23="L", "W",N23=0,0)</f>
        <v>0</v>
      </c>
      <c r="Q23" s="879" t="str">
        <f t="shared" ref="Q23:Q29" si="67">ifs(M23="Attack","Defense",M23="Defense", "Attack",N23=0, "-")</f>
        <v>-</v>
      </c>
      <c r="R23" s="907" t="str">
        <f>'Schedule | 3 Division (OLD)'!I7</f>
        <v>HEAX</v>
      </c>
      <c r="S23" s="965"/>
      <c r="T23" s="456">
        <f>'Schedule | 3 Division (OLD)'!J13</f>
        <v>7</v>
      </c>
      <c r="U23" s="447" t="str">
        <f>'Schedule | 3 Division (OLD)'!E13</f>
        <v>BOGATYRI</v>
      </c>
      <c r="V23" s="876"/>
      <c r="W23" s="877"/>
      <c r="X23" s="877"/>
      <c r="Y23" s="878">
        <f t="shared" ref="Y23:Y29" si="68">ifs(W23="W","L",W23="L", "W",W23=0,0)</f>
        <v>0</v>
      </c>
      <c r="Z23" s="879" t="str">
        <f t="shared" ref="Z23:Z29" si="69">ifs(V23="Attack","Defense",V23="Defense", "Attack",W23=0, "-")</f>
        <v>-</v>
      </c>
      <c r="AA23" s="883" t="str">
        <f>'Schedule | 3 Division (OLD)'!I13</f>
        <v>SAPPIAMO</v>
      </c>
      <c r="AB23" s="964"/>
      <c r="AC23" s="456">
        <f>'Schedule | 3 Division (OLD)'!J19</f>
        <v>11</v>
      </c>
      <c r="AD23" s="887" t="str">
        <f>'Schedule | 3 Division (OLD)'!E19</f>
        <v>HEAX</v>
      </c>
      <c r="AE23" s="876"/>
      <c r="AF23" s="877"/>
      <c r="AG23" s="877"/>
      <c r="AH23" s="878">
        <f t="shared" ref="AH23:AH29" si="70">ifs(AF23="W","L",AF23="L", "W",AF23=0,0)</f>
        <v>0</v>
      </c>
      <c r="AI23" s="879" t="str">
        <f t="shared" ref="AI23:AI29" si="71">ifs(AE23="Attack","Defense",AE23="Defense", "Attack",AF23=0, "-")</f>
        <v>-</v>
      </c>
      <c r="AJ23" s="883" t="str">
        <f>'Schedule | 3 Division (OLD)'!I19</f>
        <v>RISE</v>
      </c>
      <c r="AK23" s="964"/>
      <c r="AL23" s="456">
        <f>'Schedule | 3 Division (OLD)'!J25</f>
        <v>15</v>
      </c>
      <c r="AM23" s="875" t="str">
        <f>'Schedule | 3 Division (OLD)'!E25</f>
        <v>HEAX</v>
      </c>
      <c r="AN23" s="876"/>
      <c r="AO23" s="877"/>
      <c r="AP23" s="877"/>
      <c r="AQ23" s="878">
        <f t="shared" ref="AQ23:AQ29" si="72">ifs(AO23="W","L",AO23="L", "W",AO23=0,0)</f>
        <v>0</v>
      </c>
      <c r="AR23" s="879" t="str">
        <f t="shared" ref="AR23:AR29" si="73">ifs(AN23="Attack","Defense",AN23="Defense", "Attack",AO23=0, "-")</f>
        <v>-</v>
      </c>
      <c r="AS23" s="883" t="str">
        <f>'Schedule | 3 Division (OLD)'!I25</f>
        <v>BOGATYRI</v>
      </c>
      <c r="AT23" s="966"/>
      <c r="AU23" s="456">
        <f>'Schedule | 3 Division (OLD)'!J31</f>
        <v>19</v>
      </c>
      <c r="AV23" s="875" t="str">
        <f>'Schedule | 3 Division (OLD)'!E31</f>
        <v>RISE</v>
      </c>
      <c r="AW23" s="876"/>
      <c r="AX23" s="877"/>
      <c r="AY23" s="877"/>
      <c r="AZ23" s="878">
        <f t="shared" ref="AZ23:AZ29" si="74">ifs(AX23="W","L",AX23="L", "W",AX23=0,0)</f>
        <v>0</v>
      </c>
      <c r="BA23" s="879" t="str">
        <f t="shared" ref="BA23:BA29" si="75">ifs(AW23="Attack","Defense",AW23="Defense", "Attack",AX23=0, "-")</f>
        <v>-</v>
      </c>
      <c r="BB23" s="883" t="str">
        <f>'Schedule | 3 Division (OLD)'!I31</f>
        <v>КОРМ 2</v>
      </c>
      <c r="BC23" s="966"/>
      <c r="BD23" s="456">
        <f>'Schedule | 3 Division (OLD)'!J37</f>
        <v>23</v>
      </c>
      <c r="BE23" s="887" t="str">
        <f>'Schedule | 3 Division (OLD)'!E37</f>
        <v>HEAX</v>
      </c>
      <c r="BF23" s="876"/>
      <c r="BG23" s="877"/>
      <c r="BH23" s="877"/>
      <c r="BI23" s="878">
        <f t="shared" ref="BI23:BI29" si="76">ifs(BG23="W","L",BG23="L", "W",BG23=0,0)</f>
        <v>0</v>
      </c>
      <c r="BJ23" s="879" t="str">
        <f t="shared" ref="BJ23:BJ29" si="77">ifs(BF23="Attack","Defense",BF23="Defense", "Attack",BG23=0, "-")</f>
        <v>-</v>
      </c>
      <c r="BK23" s="883" t="str">
        <f>'Schedule | 3 Division (OLD)'!I37</f>
        <v>ACHIEVERS</v>
      </c>
      <c r="BL23" s="966"/>
      <c r="BM23" s="456">
        <f>'Schedule | 3 Division (OLD)'!J43</f>
        <v>27</v>
      </c>
      <c r="BN23" s="875" t="str">
        <f>'Schedule | 3 Division (OLD)'!E43</f>
        <v>КОРМ 2</v>
      </c>
      <c r="BO23" s="876"/>
      <c r="BP23" s="877"/>
      <c r="BQ23" s="877"/>
      <c r="BR23" s="878">
        <f t="shared" ref="BR23:BR29" si="78">ifs(BP23="W","L",BP23="L", "W",BP23=0,0)</f>
        <v>0</v>
      </c>
      <c r="BS23" s="879" t="str">
        <f t="shared" ref="BS23:BS29" si="79">ifs(BO23="Attack","Defense",BO23="Defense", "Attack",BP23=0, "-")</f>
        <v>-</v>
      </c>
      <c r="BT23" s="883" t="str">
        <f>'Schedule | 3 Division (OLD)'!I43</f>
        <v>ALTF4</v>
      </c>
      <c r="BU23" s="966"/>
      <c r="BV23" s="456">
        <f>'Schedule | 3 Division (OLD)'!P7</f>
        <v>31</v>
      </c>
      <c r="BW23" s="881" t="str">
        <f>'Schedule | 3 Division (OLD)'!K7</f>
        <v>HEAX</v>
      </c>
      <c r="BX23" s="876"/>
      <c r="BY23" s="877"/>
      <c r="BZ23" s="877"/>
      <c r="CA23" s="878">
        <f t="shared" ref="CA23:CA29" si="80">ifs(BY23="W","L",BY23="L", "W",BY23=0,0)</f>
        <v>0</v>
      </c>
      <c r="CB23" s="879" t="str">
        <f t="shared" ref="CB23:CB29" si="81">ifs(BX23="Attack","Defense",BX23="Defense", "Attack",BY23=0, "-")</f>
        <v>-</v>
      </c>
      <c r="CC23" s="882" t="str">
        <f>'Schedule | 3 Division (OLD)'!O7</f>
        <v>КОРМ 2</v>
      </c>
      <c r="CD23" s="966"/>
      <c r="CE23" s="456">
        <f>'Schedule | 3 Division (OLD)'!P13</f>
        <v>35</v>
      </c>
      <c r="CF23" s="447" t="str">
        <f>'Schedule | 3 Division (OLD)'!K13</f>
        <v>DEACUERDO</v>
      </c>
      <c r="CG23" s="876"/>
      <c r="CH23" s="877"/>
      <c r="CI23" s="877"/>
      <c r="CJ23" s="878">
        <f t="shared" ref="CJ23:CJ29" si="82">ifs(CH23="W","L",CH23="L", "W",CH23=0,0)</f>
        <v>0</v>
      </c>
      <c r="CK23" s="879" t="str">
        <f t="shared" ref="CK23:CK29" si="83">ifs(CG23="Attack","Defense",CG23="Defense", "Attack",CH23=0, "-")</f>
        <v>-</v>
      </c>
      <c r="CL23" s="882" t="str">
        <f>'Schedule | 3 Division (OLD)'!O13</f>
        <v>КОРМ 2</v>
      </c>
      <c r="CM23" s="966"/>
      <c r="CN23" s="456">
        <f>'Schedule | 3 Division (OLD)'!P19</f>
        <v>39</v>
      </c>
      <c r="CO23" s="447" t="str">
        <f>'Schedule | 3 Division (OLD)'!K19</f>
        <v>SAPPIAMO</v>
      </c>
      <c r="CP23" s="876"/>
      <c r="CQ23" s="877"/>
      <c r="CR23" s="877"/>
      <c r="CS23" s="878">
        <f t="shared" ref="CS23:CS29" si="84">ifs(CQ23="W","L",CQ23="L", "W",CQ23=0,0)</f>
        <v>0</v>
      </c>
      <c r="CT23" s="879" t="str">
        <f t="shared" ref="CT23:CT29" si="85">ifs(CP23="Attack","Defense",CP23="Defense", "Attack",CQ23=0, "-")</f>
        <v>-</v>
      </c>
      <c r="CU23" s="882" t="str">
        <f>'Schedule | 3 Division (OLD)'!O19</f>
        <v>ALTF4</v>
      </c>
      <c r="CV23" s="966"/>
      <c r="CW23" s="456">
        <f>'Schedule | 3 Division (OLD)'!P25</f>
        <v>43</v>
      </c>
      <c r="CX23" s="447" t="str">
        <f>'Schedule | 3 Division (OLD)'!K25</f>
        <v>BOGATYRI</v>
      </c>
      <c r="CY23" s="876"/>
      <c r="CZ23" s="877"/>
      <c r="DA23" s="877"/>
      <c r="DB23" s="878">
        <f t="shared" ref="DB23:DB29" si="86">ifs(CZ23="W","L",CZ23="L", "W",CZ23=0,0)</f>
        <v>0</v>
      </c>
      <c r="DC23" s="879" t="str">
        <f t="shared" ref="DC23:DC29" si="87">ifs(CY23="Attack","Defense",CY23="Defense", "Attack",CZ23=0, "-")</f>
        <v>-</v>
      </c>
      <c r="DD23" s="882" t="str">
        <f>'Schedule | 3 Division (OLD)'!O25</f>
        <v>HEAX</v>
      </c>
      <c r="DE23" s="966"/>
      <c r="DF23" s="456">
        <f>'Schedule | 3 Division (OLD)'!P31</f>
        <v>47</v>
      </c>
      <c r="DG23" s="447" t="str">
        <f>'Schedule | 3 Division (OLD)'!K31</f>
        <v>SAPPIAMO</v>
      </c>
      <c r="DH23" s="876"/>
      <c r="DI23" s="877"/>
      <c r="DJ23" s="877"/>
      <c r="DK23" s="878">
        <f t="shared" ref="DK23:DK29" si="88">ifs(DI23="W","L",DI23="L", "W",DI23=0,0)</f>
        <v>0</v>
      </c>
      <c r="DL23" s="879" t="str">
        <f t="shared" ref="DL23:DL29" si="89">ifs(DH23="Attack","Defense",DH23="Defense", "Attack",DI23=0, "-")</f>
        <v>-</v>
      </c>
      <c r="DM23" s="882" t="str">
        <f>'Schedule | 3 Division (OLD)'!O31</f>
        <v>HEAX</v>
      </c>
      <c r="DN23" s="966"/>
      <c r="DO23" s="456">
        <f>'Schedule | 3 Division (OLD)'!P37</f>
        <v>51</v>
      </c>
      <c r="DP23" s="887" t="str">
        <f>'Schedule | 3 Division (OLD)'!K37</f>
        <v>ALTF4</v>
      </c>
      <c r="DQ23" s="876"/>
      <c r="DR23" s="877"/>
      <c r="DS23" s="877"/>
      <c r="DT23" s="878">
        <f t="shared" ref="DT23:DT29" si="90">ifs(DR23="W","L",DR23="L", "W",DR23=0,0)</f>
        <v>0</v>
      </c>
      <c r="DU23" s="879" t="str">
        <f t="shared" ref="DU23:DU29" si="91">ifs(DQ23="Attack","Defense",DQ23="Defense", "Attack",DR23=0, "-")</f>
        <v>-</v>
      </c>
      <c r="DV23" s="883" t="str">
        <f>'Schedule | 3 Division (OLD)'!O37</f>
        <v>RISE</v>
      </c>
      <c r="DW23" s="966"/>
      <c r="DX23" s="456">
        <f>'Schedule | 3 Division (OLD)'!P43</f>
        <v>55</v>
      </c>
      <c r="DY23" s="875" t="str">
        <f>'Schedule | 3 Division (OLD)'!K43</f>
        <v>BOGATYRI</v>
      </c>
      <c r="DZ23" s="876"/>
      <c r="EA23" s="877"/>
      <c r="EB23" s="877"/>
      <c r="EC23" s="878">
        <f t="shared" ref="EC23:EC29" si="92">ifs(EA23="W","L",EA23="L", "W",EA23=0,0)</f>
        <v>0</v>
      </c>
      <c r="ED23" s="879" t="str">
        <f t="shared" ref="ED23:ED29" si="93">ifs(DZ23="Attack","Defense",DZ23="Defense", "Attack",EA23=0, "-")</f>
        <v>-</v>
      </c>
      <c r="EE23" s="910" t="str">
        <f>'Schedule | 3 Division (OLD)'!O43</f>
        <v>RISE</v>
      </c>
    </row>
    <row r="24">
      <c r="A24" s="33">
        <f>'Schedule | 3 Division (OLD)'!J20</f>
        <v>12</v>
      </c>
      <c r="B24" s="30" t="str">
        <f>'Schedule | 3 Division (OLD)'!E20</f>
        <v>DEACUERDO</v>
      </c>
      <c r="C24" s="906">
        <f>'Schedule | 3 Division (OLD)'!F20</f>
        <v>0</v>
      </c>
      <c r="D24" s="906">
        <f>'Schedule | 3 Division (OLD)'!H20</f>
        <v>0</v>
      </c>
      <c r="E24" s="30" t="str">
        <f>'Schedule | 3 Division (OLD)'!I20</f>
        <v>BOGATYRI</v>
      </c>
      <c r="F24" s="30" t="str">
        <f t="shared" si="36"/>
        <v/>
      </c>
      <c r="G24" s="433" t="str">
        <f t="shared" si="37"/>
        <v/>
      </c>
      <c r="H24" s="966"/>
      <c r="I24" s="966"/>
      <c r="J24" s="964"/>
      <c r="K24" s="66"/>
      <c r="L24" s="55"/>
      <c r="M24" s="876"/>
      <c r="N24" s="890"/>
      <c r="O24" s="890"/>
      <c r="P24" s="891">
        <f t="shared" si="66"/>
        <v>0</v>
      </c>
      <c r="Q24" s="892" t="str">
        <f t="shared" si="67"/>
        <v>-</v>
      </c>
      <c r="S24" s="965"/>
      <c r="T24" s="66"/>
      <c r="V24" s="876"/>
      <c r="W24" s="890"/>
      <c r="X24" s="890"/>
      <c r="Y24" s="891">
        <f t="shared" si="68"/>
        <v>0</v>
      </c>
      <c r="Z24" s="892" t="str">
        <f t="shared" si="69"/>
        <v>-</v>
      </c>
      <c r="AA24" s="92"/>
      <c r="AB24" s="964"/>
      <c r="AC24" s="66"/>
      <c r="AD24" s="55"/>
      <c r="AE24" s="876"/>
      <c r="AF24" s="890"/>
      <c r="AG24" s="890"/>
      <c r="AH24" s="891">
        <f t="shared" si="70"/>
        <v>0</v>
      </c>
      <c r="AI24" s="892" t="str">
        <f t="shared" si="71"/>
        <v>-</v>
      </c>
      <c r="AJ24" s="92"/>
      <c r="AK24" s="964"/>
      <c r="AL24" s="66"/>
      <c r="AM24" s="55"/>
      <c r="AN24" s="876"/>
      <c r="AO24" s="890"/>
      <c r="AP24" s="890"/>
      <c r="AQ24" s="891">
        <f t="shared" si="72"/>
        <v>0</v>
      </c>
      <c r="AR24" s="892" t="str">
        <f t="shared" si="73"/>
        <v>-</v>
      </c>
      <c r="AS24" s="92"/>
      <c r="AT24" s="966"/>
      <c r="AU24" s="66"/>
      <c r="AV24" s="55"/>
      <c r="AW24" s="876"/>
      <c r="AX24" s="890"/>
      <c r="AY24" s="890"/>
      <c r="AZ24" s="891">
        <f t="shared" si="74"/>
        <v>0</v>
      </c>
      <c r="BA24" s="892" t="str">
        <f t="shared" si="75"/>
        <v>-</v>
      </c>
      <c r="BB24" s="92"/>
      <c r="BC24" s="966"/>
      <c r="BD24" s="66"/>
      <c r="BE24" s="55"/>
      <c r="BF24" s="876"/>
      <c r="BG24" s="890"/>
      <c r="BH24" s="890"/>
      <c r="BI24" s="891">
        <f t="shared" si="76"/>
        <v>0</v>
      </c>
      <c r="BJ24" s="892" t="str">
        <f t="shared" si="77"/>
        <v>-</v>
      </c>
      <c r="BK24" s="92"/>
      <c r="BL24" s="966"/>
      <c r="BM24" s="66"/>
      <c r="BN24" s="55"/>
      <c r="BO24" s="876"/>
      <c r="BP24" s="890"/>
      <c r="BQ24" s="890"/>
      <c r="BR24" s="891">
        <f t="shared" si="78"/>
        <v>0</v>
      </c>
      <c r="BS24" s="892" t="str">
        <f t="shared" si="79"/>
        <v>-</v>
      </c>
      <c r="BT24" s="92"/>
      <c r="BU24" s="966"/>
      <c r="BV24" s="66"/>
      <c r="BX24" s="876"/>
      <c r="BY24" s="890"/>
      <c r="BZ24" s="890"/>
      <c r="CA24" s="891">
        <f t="shared" si="80"/>
        <v>0</v>
      </c>
      <c r="CB24" s="892" t="str">
        <f t="shared" si="81"/>
        <v>-</v>
      </c>
      <c r="CC24" s="92"/>
      <c r="CD24" s="966"/>
      <c r="CE24" s="66"/>
      <c r="CG24" s="876"/>
      <c r="CH24" s="890"/>
      <c r="CI24" s="890"/>
      <c r="CJ24" s="891">
        <f t="shared" si="82"/>
        <v>0</v>
      </c>
      <c r="CK24" s="892" t="str">
        <f t="shared" si="83"/>
        <v>-</v>
      </c>
      <c r="CL24" s="92"/>
      <c r="CM24" s="966"/>
      <c r="CN24" s="66"/>
      <c r="CP24" s="876"/>
      <c r="CQ24" s="890"/>
      <c r="CR24" s="890"/>
      <c r="CS24" s="891">
        <f t="shared" si="84"/>
        <v>0</v>
      </c>
      <c r="CT24" s="892" t="str">
        <f t="shared" si="85"/>
        <v>-</v>
      </c>
      <c r="CU24" s="92"/>
      <c r="CV24" s="966"/>
      <c r="CW24" s="66"/>
      <c r="CY24" s="876"/>
      <c r="CZ24" s="890"/>
      <c r="DA24" s="890"/>
      <c r="DB24" s="891">
        <f t="shared" si="86"/>
        <v>0</v>
      </c>
      <c r="DC24" s="892" t="str">
        <f t="shared" si="87"/>
        <v>-</v>
      </c>
      <c r="DD24" s="92"/>
      <c r="DE24" s="966"/>
      <c r="DF24" s="66"/>
      <c r="DH24" s="876"/>
      <c r="DI24" s="890"/>
      <c r="DJ24" s="890"/>
      <c r="DK24" s="891">
        <f t="shared" si="88"/>
        <v>0</v>
      </c>
      <c r="DL24" s="892" t="str">
        <f t="shared" si="89"/>
        <v>-</v>
      </c>
      <c r="DM24" s="92"/>
      <c r="DN24" s="966"/>
      <c r="DO24" s="66"/>
      <c r="DP24" s="55"/>
      <c r="DQ24" s="876"/>
      <c r="DR24" s="890"/>
      <c r="DS24" s="890"/>
      <c r="DT24" s="891">
        <f t="shared" si="90"/>
        <v>0</v>
      </c>
      <c r="DU24" s="892" t="str">
        <f t="shared" si="91"/>
        <v>-</v>
      </c>
      <c r="DV24" s="92"/>
      <c r="DW24" s="966"/>
      <c r="DX24" s="66"/>
      <c r="DY24" s="55"/>
      <c r="DZ24" s="876"/>
      <c r="EA24" s="890"/>
      <c r="EB24" s="890"/>
      <c r="EC24" s="891">
        <f t="shared" si="92"/>
        <v>0</v>
      </c>
      <c r="ED24" s="892" t="str">
        <f t="shared" si="93"/>
        <v>-</v>
      </c>
      <c r="EE24" s="92"/>
    </row>
    <row r="25">
      <c r="A25" s="33">
        <f>'Schedule | 3 Division (OLD)'!J23</f>
        <v>13</v>
      </c>
      <c r="B25" s="30" t="str">
        <f>'Schedule | 3 Division (OLD)'!E23</f>
        <v>DEACUERDO</v>
      </c>
      <c r="C25" s="906">
        <f>'Schedule | 3 Division (OLD)'!F23</f>
        <v>0</v>
      </c>
      <c r="D25" s="906">
        <f>'Schedule | 3 Division (OLD)'!H23</f>
        <v>0</v>
      </c>
      <c r="E25" s="30" t="str">
        <f>'Schedule | 3 Division (OLD)'!I23</f>
        <v>RISE</v>
      </c>
      <c r="F25" s="30" t="str">
        <f t="shared" si="36"/>
        <v/>
      </c>
      <c r="G25" s="433" t="str">
        <f t="shared" si="37"/>
        <v/>
      </c>
      <c r="H25" s="966"/>
      <c r="I25" s="966"/>
      <c r="J25" s="964"/>
      <c r="K25" s="66"/>
      <c r="L25" s="55"/>
      <c r="M25" s="876"/>
      <c r="N25" s="890"/>
      <c r="O25" s="890"/>
      <c r="P25" s="891">
        <f t="shared" si="66"/>
        <v>0</v>
      </c>
      <c r="Q25" s="892" t="str">
        <f t="shared" si="67"/>
        <v>-</v>
      </c>
      <c r="S25" s="965"/>
      <c r="T25" s="66"/>
      <c r="V25" s="876"/>
      <c r="W25" s="890"/>
      <c r="X25" s="890"/>
      <c r="Y25" s="891">
        <f t="shared" si="68"/>
        <v>0</v>
      </c>
      <c r="Z25" s="892" t="str">
        <f t="shared" si="69"/>
        <v>-</v>
      </c>
      <c r="AA25" s="92"/>
      <c r="AB25" s="964"/>
      <c r="AC25" s="66"/>
      <c r="AD25" s="55"/>
      <c r="AE25" s="876"/>
      <c r="AF25" s="890"/>
      <c r="AG25" s="890"/>
      <c r="AH25" s="891">
        <f t="shared" si="70"/>
        <v>0</v>
      </c>
      <c r="AI25" s="892" t="str">
        <f t="shared" si="71"/>
        <v>-</v>
      </c>
      <c r="AJ25" s="92"/>
      <c r="AK25" s="964"/>
      <c r="AL25" s="66"/>
      <c r="AM25" s="55"/>
      <c r="AN25" s="876"/>
      <c r="AO25" s="890"/>
      <c r="AP25" s="890"/>
      <c r="AQ25" s="891">
        <f t="shared" si="72"/>
        <v>0</v>
      </c>
      <c r="AR25" s="892" t="str">
        <f t="shared" si="73"/>
        <v>-</v>
      </c>
      <c r="AS25" s="92"/>
      <c r="AT25" s="966"/>
      <c r="AU25" s="66"/>
      <c r="AV25" s="55"/>
      <c r="AW25" s="876"/>
      <c r="AX25" s="890"/>
      <c r="AY25" s="890"/>
      <c r="AZ25" s="891">
        <f t="shared" si="74"/>
        <v>0</v>
      </c>
      <c r="BA25" s="892" t="str">
        <f t="shared" si="75"/>
        <v>-</v>
      </c>
      <c r="BB25" s="92"/>
      <c r="BC25" s="966"/>
      <c r="BD25" s="66"/>
      <c r="BE25" s="55"/>
      <c r="BF25" s="876"/>
      <c r="BG25" s="890"/>
      <c r="BH25" s="890"/>
      <c r="BI25" s="891">
        <f t="shared" si="76"/>
        <v>0</v>
      </c>
      <c r="BJ25" s="892" t="str">
        <f t="shared" si="77"/>
        <v>-</v>
      </c>
      <c r="BK25" s="92"/>
      <c r="BL25" s="966"/>
      <c r="BM25" s="66"/>
      <c r="BN25" s="55"/>
      <c r="BO25" s="876"/>
      <c r="BP25" s="890"/>
      <c r="BQ25" s="890"/>
      <c r="BR25" s="891">
        <f t="shared" si="78"/>
        <v>0</v>
      </c>
      <c r="BS25" s="892" t="str">
        <f t="shared" si="79"/>
        <v>-</v>
      </c>
      <c r="BT25" s="92"/>
      <c r="BU25" s="966"/>
      <c r="BV25" s="66"/>
      <c r="BX25" s="876"/>
      <c r="BY25" s="890"/>
      <c r="BZ25" s="890"/>
      <c r="CA25" s="891">
        <f t="shared" si="80"/>
        <v>0</v>
      </c>
      <c r="CB25" s="892" t="str">
        <f t="shared" si="81"/>
        <v>-</v>
      </c>
      <c r="CC25" s="92"/>
      <c r="CD25" s="966"/>
      <c r="CE25" s="66"/>
      <c r="CG25" s="876"/>
      <c r="CH25" s="890"/>
      <c r="CI25" s="890"/>
      <c r="CJ25" s="891">
        <f t="shared" si="82"/>
        <v>0</v>
      </c>
      <c r="CK25" s="892" t="str">
        <f t="shared" si="83"/>
        <v>-</v>
      </c>
      <c r="CL25" s="92"/>
      <c r="CM25" s="966"/>
      <c r="CN25" s="66"/>
      <c r="CP25" s="876"/>
      <c r="CQ25" s="890"/>
      <c r="CR25" s="890"/>
      <c r="CS25" s="891">
        <f t="shared" si="84"/>
        <v>0</v>
      </c>
      <c r="CT25" s="892" t="str">
        <f t="shared" si="85"/>
        <v>-</v>
      </c>
      <c r="CU25" s="92"/>
      <c r="CV25" s="966"/>
      <c r="CW25" s="66"/>
      <c r="CY25" s="876"/>
      <c r="CZ25" s="890"/>
      <c r="DA25" s="890"/>
      <c r="DB25" s="891">
        <f t="shared" si="86"/>
        <v>0</v>
      </c>
      <c r="DC25" s="892" t="str">
        <f t="shared" si="87"/>
        <v>-</v>
      </c>
      <c r="DD25" s="92"/>
      <c r="DE25" s="966"/>
      <c r="DF25" s="66"/>
      <c r="DH25" s="876"/>
      <c r="DI25" s="890"/>
      <c r="DJ25" s="890"/>
      <c r="DK25" s="891">
        <f t="shared" si="88"/>
        <v>0</v>
      </c>
      <c r="DL25" s="892" t="str">
        <f t="shared" si="89"/>
        <v>-</v>
      </c>
      <c r="DM25" s="92"/>
      <c r="DN25" s="966"/>
      <c r="DO25" s="66"/>
      <c r="DP25" s="55"/>
      <c r="DQ25" s="876"/>
      <c r="DR25" s="890"/>
      <c r="DS25" s="890"/>
      <c r="DT25" s="891">
        <f t="shared" si="90"/>
        <v>0</v>
      </c>
      <c r="DU25" s="892" t="str">
        <f t="shared" si="91"/>
        <v>-</v>
      </c>
      <c r="DV25" s="92"/>
      <c r="DW25" s="966"/>
      <c r="DX25" s="66"/>
      <c r="DY25" s="55"/>
      <c r="DZ25" s="876"/>
      <c r="EA25" s="890"/>
      <c r="EB25" s="890"/>
      <c r="EC25" s="891">
        <f t="shared" si="92"/>
        <v>0</v>
      </c>
      <c r="ED25" s="892" t="str">
        <f t="shared" si="93"/>
        <v>-</v>
      </c>
      <c r="EE25" s="92"/>
    </row>
    <row r="26">
      <c r="A26" s="33">
        <f>'Schedule | 3 Division (OLD)'!J24</f>
        <v>14</v>
      </c>
      <c r="B26" s="30" t="str">
        <f>'Schedule | 3 Division (OLD)'!E24</f>
        <v>ALTF4</v>
      </c>
      <c r="C26" s="906">
        <f>'Schedule | 3 Division (OLD)'!F24</f>
        <v>0</v>
      </c>
      <c r="D26" s="906">
        <f>'Schedule | 3 Division (OLD)'!H24</f>
        <v>0</v>
      </c>
      <c r="E26" s="30" t="str">
        <f>'Schedule | 3 Division (OLD)'!I24</f>
        <v>ACHIEVERS</v>
      </c>
      <c r="F26" s="30" t="str">
        <f t="shared" si="36"/>
        <v/>
      </c>
      <c r="G26" s="433" t="str">
        <f t="shared" si="37"/>
        <v/>
      </c>
      <c r="H26" s="966"/>
      <c r="I26" s="966"/>
      <c r="J26" s="964"/>
      <c r="K26" s="66"/>
      <c r="L26" s="55"/>
      <c r="M26" s="876"/>
      <c r="N26" s="890"/>
      <c r="O26" s="890"/>
      <c r="P26" s="891">
        <f t="shared" si="66"/>
        <v>0</v>
      </c>
      <c r="Q26" s="892" t="str">
        <f t="shared" si="67"/>
        <v>-</v>
      </c>
      <c r="S26" s="965"/>
      <c r="T26" s="66"/>
      <c r="V26" s="876"/>
      <c r="W26" s="890"/>
      <c r="X26" s="890"/>
      <c r="Y26" s="891">
        <f t="shared" si="68"/>
        <v>0</v>
      </c>
      <c r="Z26" s="892" t="str">
        <f t="shared" si="69"/>
        <v>-</v>
      </c>
      <c r="AA26" s="92"/>
      <c r="AB26" s="964"/>
      <c r="AC26" s="66"/>
      <c r="AD26" s="55"/>
      <c r="AE26" s="876"/>
      <c r="AF26" s="890"/>
      <c r="AG26" s="890"/>
      <c r="AH26" s="891">
        <f t="shared" si="70"/>
        <v>0</v>
      </c>
      <c r="AI26" s="892" t="str">
        <f t="shared" si="71"/>
        <v>-</v>
      </c>
      <c r="AJ26" s="92"/>
      <c r="AK26" s="964"/>
      <c r="AL26" s="66"/>
      <c r="AM26" s="55"/>
      <c r="AN26" s="876"/>
      <c r="AO26" s="890"/>
      <c r="AP26" s="890"/>
      <c r="AQ26" s="891">
        <f t="shared" si="72"/>
        <v>0</v>
      </c>
      <c r="AR26" s="892" t="str">
        <f t="shared" si="73"/>
        <v>-</v>
      </c>
      <c r="AS26" s="92"/>
      <c r="AT26" s="966"/>
      <c r="AU26" s="66"/>
      <c r="AV26" s="55"/>
      <c r="AW26" s="876"/>
      <c r="AX26" s="890"/>
      <c r="AY26" s="890"/>
      <c r="AZ26" s="891">
        <f t="shared" si="74"/>
        <v>0</v>
      </c>
      <c r="BA26" s="892" t="str">
        <f t="shared" si="75"/>
        <v>-</v>
      </c>
      <c r="BB26" s="92"/>
      <c r="BC26" s="966"/>
      <c r="BD26" s="66"/>
      <c r="BE26" s="55"/>
      <c r="BF26" s="876"/>
      <c r="BG26" s="890"/>
      <c r="BH26" s="890"/>
      <c r="BI26" s="891">
        <f t="shared" si="76"/>
        <v>0</v>
      </c>
      <c r="BJ26" s="892" t="str">
        <f t="shared" si="77"/>
        <v>-</v>
      </c>
      <c r="BK26" s="92"/>
      <c r="BL26" s="966"/>
      <c r="BM26" s="66"/>
      <c r="BN26" s="55"/>
      <c r="BO26" s="876"/>
      <c r="BP26" s="890"/>
      <c r="BQ26" s="890"/>
      <c r="BR26" s="891">
        <f t="shared" si="78"/>
        <v>0</v>
      </c>
      <c r="BS26" s="892" t="str">
        <f t="shared" si="79"/>
        <v>-</v>
      </c>
      <c r="BT26" s="92"/>
      <c r="BU26" s="966"/>
      <c r="BV26" s="66"/>
      <c r="BX26" s="876"/>
      <c r="BY26" s="890"/>
      <c r="BZ26" s="890"/>
      <c r="CA26" s="891">
        <f t="shared" si="80"/>
        <v>0</v>
      </c>
      <c r="CB26" s="892" t="str">
        <f t="shared" si="81"/>
        <v>-</v>
      </c>
      <c r="CC26" s="92"/>
      <c r="CD26" s="966"/>
      <c r="CE26" s="66"/>
      <c r="CG26" s="876"/>
      <c r="CH26" s="890"/>
      <c r="CI26" s="890"/>
      <c r="CJ26" s="891">
        <f t="shared" si="82"/>
        <v>0</v>
      </c>
      <c r="CK26" s="892" t="str">
        <f t="shared" si="83"/>
        <v>-</v>
      </c>
      <c r="CL26" s="92"/>
      <c r="CM26" s="966"/>
      <c r="CN26" s="66"/>
      <c r="CP26" s="876"/>
      <c r="CQ26" s="890"/>
      <c r="CR26" s="890"/>
      <c r="CS26" s="891">
        <f t="shared" si="84"/>
        <v>0</v>
      </c>
      <c r="CT26" s="892" t="str">
        <f t="shared" si="85"/>
        <v>-</v>
      </c>
      <c r="CU26" s="92"/>
      <c r="CV26" s="966"/>
      <c r="CW26" s="66"/>
      <c r="CY26" s="876"/>
      <c r="CZ26" s="890"/>
      <c r="DA26" s="890"/>
      <c r="DB26" s="891">
        <f t="shared" si="86"/>
        <v>0</v>
      </c>
      <c r="DC26" s="892" t="str">
        <f t="shared" si="87"/>
        <v>-</v>
      </c>
      <c r="DD26" s="92"/>
      <c r="DE26" s="966"/>
      <c r="DF26" s="66"/>
      <c r="DH26" s="876"/>
      <c r="DI26" s="890"/>
      <c r="DJ26" s="890"/>
      <c r="DK26" s="891">
        <f t="shared" si="88"/>
        <v>0</v>
      </c>
      <c r="DL26" s="892" t="str">
        <f t="shared" si="89"/>
        <v>-</v>
      </c>
      <c r="DM26" s="92"/>
      <c r="DN26" s="966"/>
      <c r="DO26" s="66"/>
      <c r="DP26" s="55"/>
      <c r="DQ26" s="876"/>
      <c r="DR26" s="890"/>
      <c r="DS26" s="890"/>
      <c r="DT26" s="891">
        <f t="shared" si="90"/>
        <v>0</v>
      </c>
      <c r="DU26" s="892" t="str">
        <f t="shared" si="91"/>
        <v>-</v>
      </c>
      <c r="DV26" s="92"/>
      <c r="DW26" s="966"/>
      <c r="DX26" s="66"/>
      <c r="DY26" s="55"/>
      <c r="DZ26" s="876"/>
      <c r="EA26" s="890"/>
      <c r="EB26" s="890"/>
      <c r="EC26" s="891">
        <f t="shared" si="92"/>
        <v>0</v>
      </c>
      <c r="ED26" s="892" t="str">
        <f t="shared" si="93"/>
        <v>-</v>
      </c>
      <c r="EE26" s="92"/>
    </row>
    <row r="27">
      <c r="A27" s="33">
        <f>'Schedule | 3 Division (OLD)'!J25</f>
        <v>15</v>
      </c>
      <c r="B27" s="30" t="str">
        <f>'Schedule | 3 Division (OLD)'!E25</f>
        <v>HEAX</v>
      </c>
      <c r="C27" s="906">
        <f>'Schedule | 3 Division (OLD)'!F25</f>
        <v>0</v>
      </c>
      <c r="D27" s="906">
        <f>'Schedule | 3 Division (OLD)'!H25</f>
        <v>0</v>
      </c>
      <c r="E27" s="30" t="str">
        <f>'Schedule | 3 Division (OLD)'!I25</f>
        <v>BOGATYRI</v>
      </c>
      <c r="F27" s="30" t="str">
        <f t="shared" si="36"/>
        <v/>
      </c>
      <c r="G27" s="433" t="str">
        <f t="shared" si="37"/>
        <v/>
      </c>
      <c r="H27" s="966"/>
      <c r="I27" s="966"/>
      <c r="J27" s="964"/>
      <c r="K27" s="66"/>
      <c r="L27" s="55"/>
      <c r="M27" s="876"/>
      <c r="N27" s="890"/>
      <c r="O27" s="890"/>
      <c r="P27" s="891">
        <f t="shared" si="66"/>
        <v>0</v>
      </c>
      <c r="Q27" s="892" t="str">
        <f t="shared" si="67"/>
        <v>-</v>
      </c>
      <c r="S27" s="965"/>
      <c r="T27" s="66"/>
      <c r="V27" s="876"/>
      <c r="W27" s="890"/>
      <c r="X27" s="890"/>
      <c r="Y27" s="891">
        <f t="shared" si="68"/>
        <v>0</v>
      </c>
      <c r="Z27" s="892" t="str">
        <f t="shared" si="69"/>
        <v>-</v>
      </c>
      <c r="AA27" s="92"/>
      <c r="AB27" s="964"/>
      <c r="AC27" s="66"/>
      <c r="AD27" s="55"/>
      <c r="AE27" s="876"/>
      <c r="AF27" s="890"/>
      <c r="AG27" s="890"/>
      <c r="AH27" s="891">
        <f t="shared" si="70"/>
        <v>0</v>
      </c>
      <c r="AI27" s="892" t="str">
        <f t="shared" si="71"/>
        <v>-</v>
      </c>
      <c r="AJ27" s="92"/>
      <c r="AK27" s="964"/>
      <c r="AL27" s="66"/>
      <c r="AM27" s="55"/>
      <c r="AN27" s="876"/>
      <c r="AO27" s="890"/>
      <c r="AP27" s="890"/>
      <c r="AQ27" s="891">
        <f t="shared" si="72"/>
        <v>0</v>
      </c>
      <c r="AR27" s="892" t="str">
        <f t="shared" si="73"/>
        <v>-</v>
      </c>
      <c r="AS27" s="92"/>
      <c r="AT27" s="966"/>
      <c r="AU27" s="66"/>
      <c r="AV27" s="55"/>
      <c r="AW27" s="876"/>
      <c r="AX27" s="890"/>
      <c r="AY27" s="890"/>
      <c r="AZ27" s="891">
        <f t="shared" si="74"/>
        <v>0</v>
      </c>
      <c r="BA27" s="892" t="str">
        <f t="shared" si="75"/>
        <v>-</v>
      </c>
      <c r="BB27" s="92"/>
      <c r="BC27" s="966"/>
      <c r="BD27" s="66"/>
      <c r="BE27" s="55"/>
      <c r="BF27" s="876"/>
      <c r="BG27" s="890"/>
      <c r="BH27" s="890"/>
      <c r="BI27" s="891">
        <f t="shared" si="76"/>
        <v>0</v>
      </c>
      <c r="BJ27" s="892" t="str">
        <f t="shared" si="77"/>
        <v>-</v>
      </c>
      <c r="BK27" s="92"/>
      <c r="BL27" s="966"/>
      <c r="BM27" s="66"/>
      <c r="BN27" s="55"/>
      <c r="BO27" s="876"/>
      <c r="BP27" s="890"/>
      <c r="BQ27" s="890"/>
      <c r="BR27" s="891">
        <f t="shared" si="78"/>
        <v>0</v>
      </c>
      <c r="BS27" s="892" t="str">
        <f t="shared" si="79"/>
        <v>-</v>
      </c>
      <c r="BT27" s="92"/>
      <c r="BU27" s="966"/>
      <c r="BV27" s="66"/>
      <c r="BX27" s="876"/>
      <c r="BY27" s="890"/>
      <c r="BZ27" s="890"/>
      <c r="CA27" s="891">
        <f t="shared" si="80"/>
        <v>0</v>
      </c>
      <c r="CB27" s="892" t="str">
        <f t="shared" si="81"/>
        <v>-</v>
      </c>
      <c r="CC27" s="92"/>
      <c r="CD27" s="966"/>
      <c r="CE27" s="66"/>
      <c r="CG27" s="876"/>
      <c r="CH27" s="890"/>
      <c r="CI27" s="890"/>
      <c r="CJ27" s="891">
        <f t="shared" si="82"/>
        <v>0</v>
      </c>
      <c r="CK27" s="892" t="str">
        <f t="shared" si="83"/>
        <v>-</v>
      </c>
      <c r="CL27" s="92"/>
      <c r="CM27" s="966"/>
      <c r="CN27" s="66"/>
      <c r="CP27" s="876"/>
      <c r="CQ27" s="890"/>
      <c r="CR27" s="890"/>
      <c r="CS27" s="891">
        <f t="shared" si="84"/>
        <v>0</v>
      </c>
      <c r="CT27" s="892" t="str">
        <f t="shared" si="85"/>
        <v>-</v>
      </c>
      <c r="CU27" s="92"/>
      <c r="CV27" s="966"/>
      <c r="CW27" s="66"/>
      <c r="CY27" s="876"/>
      <c r="CZ27" s="890"/>
      <c r="DA27" s="890"/>
      <c r="DB27" s="891">
        <f t="shared" si="86"/>
        <v>0</v>
      </c>
      <c r="DC27" s="892" t="str">
        <f t="shared" si="87"/>
        <v>-</v>
      </c>
      <c r="DD27" s="92"/>
      <c r="DE27" s="966"/>
      <c r="DF27" s="66"/>
      <c r="DH27" s="876"/>
      <c r="DI27" s="890"/>
      <c r="DJ27" s="890"/>
      <c r="DK27" s="891">
        <f t="shared" si="88"/>
        <v>0</v>
      </c>
      <c r="DL27" s="892" t="str">
        <f t="shared" si="89"/>
        <v>-</v>
      </c>
      <c r="DM27" s="92"/>
      <c r="DN27" s="966"/>
      <c r="DO27" s="66"/>
      <c r="DP27" s="55"/>
      <c r="DQ27" s="876"/>
      <c r="DR27" s="890"/>
      <c r="DS27" s="890"/>
      <c r="DT27" s="891">
        <f t="shared" si="90"/>
        <v>0</v>
      </c>
      <c r="DU27" s="892" t="str">
        <f t="shared" si="91"/>
        <v>-</v>
      </c>
      <c r="DV27" s="92"/>
      <c r="DW27" s="966"/>
      <c r="DX27" s="66"/>
      <c r="DY27" s="55"/>
      <c r="DZ27" s="876"/>
      <c r="EA27" s="890"/>
      <c r="EB27" s="890"/>
      <c r="EC27" s="891">
        <f t="shared" si="92"/>
        <v>0</v>
      </c>
      <c r="ED27" s="892" t="str">
        <f t="shared" si="93"/>
        <v>-</v>
      </c>
      <c r="EE27" s="92"/>
    </row>
    <row r="28">
      <c r="A28" s="33">
        <f>'Schedule | 3 Division (OLD)'!J26</f>
        <v>16</v>
      </c>
      <c r="B28" s="30" t="str">
        <f>'Schedule | 3 Division (OLD)'!E26</f>
        <v>SAPPIAMO</v>
      </c>
      <c r="C28" s="906">
        <f>'Schedule | 3 Division (OLD)'!F26</f>
        <v>0</v>
      </c>
      <c r="D28" s="906">
        <f>'Schedule | 3 Division (OLD)'!H26</f>
        <v>0</v>
      </c>
      <c r="E28" s="30" t="str">
        <f>'Schedule | 3 Division (OLD)'!I26</f>
        <v>КОРМ 2</v>
      </c>
      <c r="F28" s="30" t="str">
        <f t="shared" si="36"/>
        <v/>
      </c>
      <c r="G28" s="433" t="str">
        <f t="shared" si="37"/>
        <v/>
      </c>
      <c r="H28" s="966"/>
      <c r="I28" s="966"/>
      <c r="J28" s="964"/>
      <c r="K28" s="66"/>
      <c r="L28" s="55"/>
      <c r="M28" s="876"/>
      <c r="N28" s="890"/>
      <c r="O28" s="890"/>
      <c r="P28" s="891">
        <f t="shared" si="66"/>
        <v>0</v>
      </c>
      <c r="Q28" s="892" t="str">
        <f t="shared" si="67"/>
        <v>-</v>
      </c>
      <c r="S28" s="965"/>
      <c r="T28" s="66"/>
      <c r="V28" s="876"/>
      <c r="W28" s="890"/>
      <c r="X28" s="890"/>
      <c r="Y28" s="891">
        <f t="shared" si="68"/>
        <v>0</v>
      </c>
      <c r="Z28" s="892" t="str">
        <f t="shared" si="69"/>
        <v>-</v>
      </c>
      <c r="AA28" s="92"/>
      <c r="AB28" s="964"/>
      <c r="AC28" s="66"/>
      <c r="AD28" s="55"/>
      <c r="AE28" s="876"/>
      <c r="AF28" s="890"/>
      <c r="AG28" s="890"/>
      <c r="AH28" s="891">
        <f t="shared" si="70"/>
        <v>0</v>
      </c>
      <c r="AI28" s="892" t="str">
        <f t="shared" si="71"/>
        <v>-</v>
      </c>
      <c r="AJ28" s="92"/>
      <c r="AK28" s="964"/>
      <c r="AL28" s="66"/>
      <c r="AM28" s="55"/>
      <c r="AN28" s="876"/>
      <c r="AO28" s="890"/>
      <c r="AP28" s="890"/>
      <c r="AQ28" s="891">
        <f t="shared" si="72"/>
        <v>0</v>
      </c>
      <c r="AR28" s="892" t="str">
        <f t="shared" si="73"/>
        <v>-</v>
      </c>
      <c r="AS28" s="92"/>
      <c r="AT28" s="966"/>
      <c r="AU28" s="66"/>
      <c r="AV28" s="55"/>
      <c r="AW28" s="876"/>
      <c r="AX28" s="890"/>
      <c r="AY28" s="890"/>
      <c r="AZ28" s="891">
        <f t="shared" si="74"/>
        <v>0</v>
      </c>
      <c r="BA28" s="892" t="str">
        <f t="shared" si="75"/>
        <v>-</v>
      </c>
      <c r="BB28" s="92"/>
      <c r="BC28" s="966"/>
      <c r="BD28" s="66"/>
      <c r="BE28" s="55"/>
      <c r="BF28" s="876"/>
      <c r="BG28" s="890"/>
      <c r="BH28" s="890"/>
      <c r="BI28" s="891">
        <f t="shared" si="76"/>
        <v>0</v>
      </c>
      <c r="BJ28" s="892" t="str">
        <f t="shared" si="77"/>
        <v>-</v>
      </c>
      <c r="BK28" s="92"/>
      <c r="BL28" s="966"/>
      <c r="BM28" s="66"/>
      <c r="BN28" s="55"/>
      <c r="BO28" s="876"/>
      <c r="BP28" s="890"/>
      <c r="BQ28" s="890"/>
      <c r="BR28" s="891">
        <f t="shared" si="78"/>
        <v>0</v>
      </c>
      <c r="BS28" s="892" t="str">
        <f t="shared" si="79"/>
        <v>-</v>
      </c>
      <c r="BT28" s="92"/>
      <c r="BU28" s="966"/>
      <c r="BV28" s="66"/>
      <c r="BX28" s="876"/>
      <c r="BY28" s="890"/>
      <c r="BZ28" s="890"/>
      <c r="CA28" s="891">
        <f t="shared" si="80"/>
        <v>0</v>
      </c>
      <c r="CB28" s="892" t="str">
        <f t="shared" si="81"/>
        <v>-</v>
      </c>
      <c r="CC28" s="92"/>
      <c r="CD28" s="966"/>
      <c r="CE28" s="66"/>
      <c r="CG28" s="876"/>
      <c r="CH28" s="890"/>
      <c r="CI28" s="890"/>
      <c r="CJ28" s="891">
        <f t="shared" si="82"/>
        <v>0</v>
      </c>
      <c r="CK28" s="892" t="str">
        <f t="shared" si="83"/>
        <v>-</v>
      </c>
      <c r="CL28" s="92"/>
      <c r="CM28" s="966"/>
      <c r="CN28" s="66"/>
      <c r="CP28" s="876"/>
      <c r="CQ28" s="890"/>
      <c r="CR28" s="890"/>
      <c r="CS28" s="891">
        <f t="shared" si="84"/>
        <v>0</v>
      </c>
      <c r="CT28" s="892" t="str">
        <f t="shared" si="85"/>
        <v>-</v>
      </c>
      <c r="CU28" s="92"/>
      <c r="CV28" s="966"/>
      <c r="CW28" s="66"/>
      <c r="CY28" s="876"/>
      <c r="CZ28" s="890"/>
      <c r="DA28" s="890"/>
      <c r="DB28" s="891">
        <f t="shared" si="86"/>
        <v>0</v>
      </c>
      <c r="DC28" s="892" t="str">
        <f t="shared" si="87"/>
        <v>-</v>
      </c>
      <c r="DD28" s="92"/>
      <c r="DE28" s="966"/>
      <c r="DF28" s="66"/>
      <c r="DH28" s="876"/>
      <c r="DI28" s="890"/>
      <c r="DJ28" s="890"/>
      <c r="DK28" s="891">
        <f t="shared" si="88"/>
        <v>0</v>
      </c>
      <c r="DL28" s="892" t="str">
        <f t="shared" si="89"/>
        <v>-</v>
      </c>
      <c r="DM28" s="92"/>
      <c r="DN28" s="966"/>
      <c r="DO28" s="66"/>
      <c r="DP28" s="55"/>
      <c r="DQ28" s="876"/>
      <c r="DR28" s="890"/>
      <c r="DS28" s="890"/>
      <c r="DT28" s="891">
        <f t="shared" si="90"/>
        <v>0</v>
      </c>
      <c r="DU28" s="892" t="str">
        <f t="shared" si="91"/>
        <v>-</v>
      </c>
      <c r="DV28" s="92"/>
      <c r="DW28" s="966"/>
      <c r="DX28" s="66"/>
      <c r="DY28" s="55"/>
      <c r="DZ28" s="876"/>
      <c r="EA28" s="890"/>
      <c r="EB28" s="890"/>
      <c r="EC28" s="891">
        <f t="shared" si="92"/>
        <v>0</v>
      </c>
      <c r="ED28" s="892" t="str">
        <f t="shared" si="93"/>
        <v>-</v>
      </c>
      <c r="EE28" s="92"/>
    </row>
    <row r="29">
      <c r="A29" s="33">
        <f>'Schedule | 3 Division (OLD)'!J29</f>
        <v>17</v>
      </c>
      <c r="B29" s="30" t="str">
        <f>'Schedule | 3 Division (OLD)'!E29</f>
        <v>DEACUERDO</v>
      </c>
      <c r="C29" s="906">
        <f>'Schedule | 3 Division (OLD)'!F29</f>
        <v>0</v>
      </c>
      <c r="D29" s="906">
        <f>'Schedule | 3 Division (OLD)'!H29</f>
        <v>0</v>
      </c>
      <c r="E29" s="30" t="str">
        <f>'Schedule | 3 Division (OLD)'!I29</f>
        <v>ACHIEVERS</v>
      </c>
      <c r="F29" s="30" t="str">
        <f t="shared" si="36"/>
        <v/>
      </c>
      <c r="G29" s="433" t="str">
        <f t="shared" si="37"/>
        <v/>
      </c>
      <c r="H29" s="966"/>
      <c r="I29" s="966"/>
      <c r="J29" s="964"/>
      <c r="K29" s="66"/>
      <c r="L29" s="55"/>
      <c r="M29" s="893"/>
      <c r="N29" s="894"/>
      <c r="O29" s="894"/>
      <c r="P29" s="895">
        <f t="shared" si="66"/>
        <v>0</v>
      </c>
      <c r="Q29" s="896" t="str">
        <f t="shared" si="67"/>
        <v>-</v>
      </c>
      <c r="S29" s="965"/>
      <c r="T29" s="66"/>
      <c r="V29" s="893"/>
      <c r="W29" s="894"/>
      <c r="X29" s="894"/>
      <c r="Y29" s="895">
        <f t="shared" si="68"/>
        <v>0</v>
      </c>
      <c r="Z29" s="896" t="str">
        <f t="shared" si="69"/>
        <v>-</v>
      </c>
      <c r="AA29" s="92"/>
      <c r="AB29" s="964"/>
      <c r="AC29" s="66"/>
      <c r="AD29" s="55"/>
      <c r="AE29" s="893"/>
      <c r="AF29" s="894"/>
      <c r="AG29" s="894"/>
      <c r="AH29" s="895">
        <f t="shared" si="70"/>
        <v>0</v>
      </c>
      <c r="AI29" s="896" t="str">
        <f t="shared" si="71"/>
        <v>-</v>
      </c>
      <c r="AJ29" s="92"/>
      <c r="AK29" s="964"/>
      <c r="AL29" s="66"/>
      <c r="AM29" s="55"/>
      <c r="AN29" s="893"/>
      <c r="AO29" s="894"/>
      <c r="AP29" s="894"/>
      <c r="AQ29" s="895">
        <f t="shared" si="72"/>
        <v>0</v>
      </c>
      <c r="AR29" s="896" t="str">
        <f t="shared" si="73"/>
        <v>-</v>
      </c>
      <c r="AS29" s="92"/>
      <c r="AT29" s="966"/>
      <c r="AU29" s="66"/>
      <c r="AV29" s="55"/>
      <c r="AW29" s="893"/>
      <c r="AX29" s="894"/>
      <c r="AY29" s="894"/>
      <c r="AZ29" s="895">
        <f t="shared" si="74"/>
        <v>0</v>
      </c>
      <c r="BA29" s="896" t="str">
        <f t="shared" si="75"/>
        <v>-</v>
      </c>
      <c r="BB29" s="92"/>
      <c r="BC29" s="966"/>
      <c r="BD29" s="66"/>
      <c r="BE29" s="55"/>
      <c r="BF29" s="893"/>
      <c r="BG29" s="894"/>
      <c r="BH29" s="894"/>
      <c r="BI29" s="895">
        <f t="shared" si="76"/>
        <v>0</v>
      </c>
      <c r="BJ29" s="896" t="str">
        <f t="shared" si="77"/>
        <v>-</v>
      </c>
      <c r="BK29" s="92"/>
      <c r="BL29" s="966"/>
      <c r="BM29" s="66"/>
      <c r="BN29" s="55"/>
      <c r="BO29" s="893"/>
      <c r="BP29" s="894"/>
      <c r="BQ29" s="894"/>
      <c r="BR29" s="895">
        <f t="shared" si="78"/>
        <v>0</v>
      </c>
      <c r="BS29" s="896" t="str">
        <f t="shared" si="79"/>
        <v>-</v>
      </c>
      <c r="BT29" s="92"/>
      <c r="BU29" s="966"/>
      <c r="BV29" s="66"/>
      <c r="BX29" s="893"/>
      <c r="BY29" s="894"/>
      <c r="BZ29" s="894"/>
      <c r="CA29" s="895">
        <f t="shared" si="80"/>
        <v>0</v>
      </c>
      <c r="CB29" s="896" t="str">
        <f t="shared" si="81"/>
        <v>-</v>
      </c>
      <c r="CC29" s="92"/>
      <c r="CD29" s="966"/>
      <c r="CE29" s="66"/>
      <c r="CG29" s="893"/>
      <c r="CH29" s="894"/>
      <c r="CI29" s="894"/>
      <c r="CJ29" s="895">
        <f t="shared" si="82"/>
        <v>0</v>
      </c>
      <c r="CK29" s="896" t="str">
        <f t="shared" si="83"/>
        <v>-</v>
      </c>
      <c r="CL29" s="92"/>
      <c r="CM29" s="966"/>
      <c r="CN29" s="66"/>
      <c r="CP29" s="893"/>
      <c r="CQ29" s="894"/>
      <c r="CR29" s="894"/>
      <c r="CS29" s="895">
        <f t="shared" si="84"/>
        <v>0</v>
      </c>
      <c r="CT29" s="896" t="str">
        <f t="shared" si="85"/>
        <v>-</v>
      </c>
      <c r="CU29" s="92"/>
      <c r="CV29" s="966"/>
      <c r="CW29" s="66"/>
      <c r="CY29" s="893"/>
      <c r="CZ29" s="894"/>
      <c r="DA29" s="894"/>
      <c r="DB29" s="895">
        <f t="shared" si="86"/>
        <v>0</v>
      </c>
      <c r="DC29" s="896" t="str">
        <f t="shared" si="87"/>
        <v>-</v>
      </c>
      <c r="DD29" s="92"/>
      <c r="DE29" s="966"/>
      <c r="DF29" s="66"/>
      <c r="DH29" s="893"/>
      <c r="DI29" s="894"/>
      <c r="DJ29" s="894"/>
      <c r="DK29" s="895">
        <f t="shared" si="88"/>
        <v>0</v>
      </c>
      <c r="DL29" s="896" t="str">
        <f t="shared" si="89"/>
        <v>-</v>
      </c>
      <c r="DM29" s="92"/>
      <c r="DN29" s="966"/>
      <c r="DO29" s="66"/>
      <c r="DP29" s="55"/>
      <c r="DQ29" s="893"/>
      <c r="DR29" s="894"/>
      <c r="DS29" s="894"/>
      <c r="DT29" s="895">
        <f t="shared" si="90"/>
        <v>0</v>
      </c>
      <c r="DU29" s="896" t="str">
        <f t="shared" si="91"/>
        <v>-</v>
      </c>
      <c r="DV29" s="92"/>
      <c r="DW29" s="966"/>
      <c r="DX29" s="66"/>
      <c r="DY29" s="55"/>
      <c r="DZ29" s="893"/>
      <c r="EA29" s="894"/>
      <c r="EB29" s="894"/>
      <c r="EC29" s="895">
        <f t="shared" si="92"/>
        <v>0</v>
      </c>
      <c r="ED29" s="896" t="str">
        <f t="shared" si="93"/>
        <v>-</v>
      </c>
      <c r="EE29" s="92"/>
    </row>
    <row r="30">
      <c r="A30" s="33">
        <f>'Schedule | 3 Division (OLD)'!J30</f>
        <v>18</v>
      </c>
      <c r="B30" s="30" t="str">
        <f>'Schedule | 3 Division (OLD)'!E30</f>
        <v>HEAX</v>
      </c>
      <c r="C30" s="906">
        <f>'Schedule | 3 Division (OLD)'!F30</f>
        <v>0</v>
      </c>
      <c r="D30" s="906">
        <f>'Schedule | 3 Division (OLD)'!H30</f>
        <v>0</v>
      </c>
      <c r="E30" s="30" t="str">
        <f>'Schedule | 3 Division (OLD)'!I30</f>
        <v>SAPPIAMO</v>
      </c>
      <c r="F30" s="30" t="str">
        <f t="shared" si="36"/>
        <v/>
      </c>
      <c r="G30" s="433" t="str">
        <f t="shared" si="37"/>
        <v/>
      </c>
      <c r="H30" s="966"/>
      <c r="I30" s="966"/>
      <c r="J30" s="964"/>
      <c r="K30" s="94"/>
      <c r="L30" s="61"/>
      <c r="M30" s="898">
        <f>COUNTIF(N23:N29, "W")</f>
        <v>0</v>
      </c>
      <c r="N30" s="144"/>
      <c r="O30" s="894" t="s">
        <v>816</v>
      </c>
      <c r="P30" s="899">
        <f>COUNTIF(P23:P29, "W")</f>
        <v>0</v>
      </c>
      <c r="Q30" s="93"/>
      <c r="R30" s="22"/>
      <c r="S30" s="965"/>
      <c r="T30" s="94"/>
      <c r="V30" s="898">
        <f>COUNTIF(W23:W29, "W")</f>
        <v>0</v>
      </c>
      <c r="W30" s="144"/>
      <c r="X30" s="894" t="s">
        <v>816</v>
      </c>
      <c r="Y30" s="899">
        <f>COUNTIF(Y23:Y29, "W")</f>
        <v>0</v>
      </c>
      <c r="Z30" s="93"/>
      <c r="AA30" s="93"/>
      <c r="AB30" s="964"/>
      <c r="AC30" s="94"/>
      <c r="AD30" s="61"/>
      <c r="AE30" s="898">
        <f>COUNTIF(AF23:AF29, "W")</f>
        <v>0</v>
      </c>
      <c r="AF30" s="144"/>
      <c r="AG30" s="894" t="s">
        <v>816</v>
      </c>
      <c r="AH30" s="899">
        <f>COUNTIF(AH23:AH29, "W")</f>
        <v>0</v>
      </c>
      <c r="AI30" s="93"/>
      <c r="AJ30" s="93"/>
      <c r="AK30" s="964"/>
      <c r="AL30" s="94"/>
      <c r="AM30" s="61"/>
      <c r="AN30" s="898">
        <f>COUNTIF(AO23:AO29, "W")</f>
        <v>0</v>
      </c>
      <c r="AO30" s="144"/>
      <c r="AP30" s="894" t="s">
        <v>816</v>
      </c>
      <c r="AQ30" s="899">
        <f>COUNTIF(AQ23:AQ29, "W")</f>
        <v>0</v>
      </c>
      <c r="AR30" s="93"/>
      <c r="AS30" s="93"/>
      <c r="AT30" s="966"/>
      <c r="AU30" s="94"/>
      <c r="AV30" s="61"/>
      <c r="AW30" s="898">
        <f>COUNTIF(AX23:AX29, "W")</f>
        <v>0</v>
      </c>
      <c r="AX30" s="144"/>
      <c r="AY30" s="894" t="s">
        <v>816</v>
      </c>
      <c r="AZ30" s="899">
        <f>COUNTIF(AZ23:AZ29, "W")</f>
        <v>0</v>
      </c>
      <c r="BA30" s="93"/>
      <c r="BB30" s="93"/>
      <c r="BC30" s="966"/>
      <c r="BD30" s="94"/>
      <c r="BE30" s="61"/>
      <c r="BF30" s="898">
        <f>COUNTIF(BG23:BG29, "W")</f>
        <v>0</v>
      </c>
      <c r="BG30" s="144"/>
      <c r="BH30" s="894" t="s">
        <v>816</v>
      </c>
      <c r="BI30" s="899">
        <f>COUNTIF(BI23:BI29, "W")</f>
        <v>0</v>
      </c>
      <c r="BJ30" s="93"/>
      <c r="BK30" s="93"/>
      <c r="BL30" s="966"/>
      <c r="BM30" s="94"/>
      <c r="BN30" s="61"/>
      <c r="BO30" s="898">
        <f>COUNTIF(BP23:BP29, "W")</f>
        <v>0</v>
      </c>
      <c r="BP30" s="144"/>
      <c r="BQ30" s="894" t="s">
        <v>816</v>
      </c>
      <c r="BR30" s="899">
        <f>COUNTIF(BR23:BR29, "W")</f>
        <v>0</v>
      </c>
      <c r="BS30" s="93"/>
      <c r="BT30" s="93"/>
      <c r="BU30" s="966"/>
      <c r="BV30" s="94"/>
      <c r="BX30" s="898">
        <f>COUNTIF(BY23:BY29, "W")</f>
        <v>0</v>
      </c>
      <c r="BY30" s="144"/>
      <c r="BZ30" s="894" t="s">
        <v>816</v>
      </c>
      <c r="CA30" s="899">
        <f>COUNTIF(CA23:CA29, "W")</f>
        <v>0</v>
      </c>
      <c r="CB30" s="93"/>
      <c r="CC30" s="92"/>
      <c r="CD30" s="966"/>
      <c r="CE30" s="94"/>
      <c r="CG30" s="898">
        <f>COUNTIF(CH23:CH29, "W")</f>
        <v>0</v>
      </c>
      <c r="CH30" s="144"/>
      <c r="CI30" s="894" t="s">
        <v>816</v>
      </c>
      <c r="CJ30" s="899">
        <f>COUNTIF(CJ23:CJ29, "W")</f>
        <v>0</v>
      </c>
      <c r="CK30" s="93"/>
      <c r="CL30" s="92"/>
      <c r="CM30" s="966"/>
      <c r="CN30" s="94"/>
      <c r="CP30" s="898">
        <f>COUNTIF(CQ23:CQ29, "W")</f>
        <v>0</v>
      </c>
      <c r="CQ30" s="144"/>
      <c r="CR30" s="894" t="s">
        <v>816</v>
      </c>
      <c r="CS30" s="899">
        <f>COUNTIF(CS23:CS29, "W")</f>
        <v>0</v>
      </c>
      <c r="CT30" s="93"/>
      <c r="CU30" s="92"/>
      <c r="CV30" s="966"/>
      <c r="CW30" s="94"/>
      <c r="CY30" s="898">
        <f>COUNTIF(CZ23:CZ29, "W")</f>
        <v>0</v>
      </c>
      <c r="CZ30" s="144"/>
      <c r="DA30" s="894" t="s">
        <v>816</v>
      </c>
      <c r="DB30" s="899">
        <f>COUNTIF(DB23:DB29, "W")</f>
        <v>0</v>
      </c>
      <c r="DC30" s="93"/>
      <c r="DD30" s="92"/>
      <c r="DE30" s="966"/>
      <c r="DF30" s="94"/>
      <c r="DH30" s="898">
        <f>COUNTIF(DI23:DI29, "W")</f>
        <v>0</v>
      </c>
      <c r="DI30" s="144"/>
      <c r="DJ30" s="894" t="s">
        <v>816</v>
      </c>
      <c r="DK30" s="899">
        <f>COUNTIF(DK23:DK29, "W")</f>
        <v>0</v>
      </c>
      <c r="DL30" s="93"/>
      <c r="DM30" s="92"/>
      <c r="DN30" s="966"/>
      <c r="DO30" s="94"/>
      <c r="DP30" s="61"/>
      <c r="DQ30" s="898">
        <f>COUNTIF(DR23:DR29, "W")</f>
        <v>0</v>
      </c>
      <c r="DR30" s="144"/>
      <c r="DS30" s="894" t="s">
        <v>816</v>
      </c>
      <c r="DT30" s="899">
        <f>COUNTIF(DT23:DT29, "W")</f>
        <v>0</v>
      </c>
      <c r="DU30" s="93"/>
      <c r="DV30" s="93"/>
      <c r="DW30" s="966"/>
      <c r="DX30" s="94"/>
      <c r="DY30" s="61"/>
      <c r="DZ30" s="898">
        <f>COUNTIF(EA23:EA29, "W")</f>
        <v>0</v>
      </c>
      <c r="EA30" s="144"/>
      <c r="EB30" s="894" t="s">
        <v>816</v>
      </c>
      <c r="EC30" s="899">
        <f>COUNTIF(EC23:EC29, "W")</f>
        <v>0</v>
      </c>
      <c r="ED30" s="93"/>
      <c r="EE30" s="93"/>
    </row>
    <row r="31" ht="18.0" customHeight="1">
      <c r="A31" s="33">
        <f>'Schedule | 3 Division (OLD)'!J31</f>
        <v>19</v>
      </c>
      <c r="B31" s="30" t="str">
        <f>'Schedule | 3 Division (OLD)'!E31</f>
        <v>RISE</v>
      </c>
      <c r="C31" s="906">
        <f>'Schedule | 3 Division (OLD)'!F31</f>
        <v>0</v>
      </c>
      <c r="D31" s="906">
        <f>'Schedule | 3 Division (OLD)'!H31</f>
        <v>0</v>
      </c>
      <c r="E31" s="30" t="str">
        <f>'Schedule | 3 Division (OLD)'!I31</f>
        <v>КОРМ 2</v>
      </c>
      <c r="F31" s="30" t="str">
        <f t="shared" si="36"/>
        <v/>
      </c>
      <c r="G31" s="433" t="str">
        <f t="shared" si="37"/>
        <v/>
      </c>
      <c r="H31" s="966"/>
      <c r="I31" s="966"/>
      <c r="J31" s="960"/>
      <c r="K31" s="970"/>
      <c r="L31" s="971"/>
      <c r="M31" s="971"/>
      <c r="N31" s="971"/>
      <c r="O31" s="971"/>
      <c r="P31" s="971"/>
      <c r="Q31" s="971"/>
      <c r="R31" s="971"/>
      <c r="S31" s="960"/>
      <c r="T31" s="970"/>
      <c r="U31" s="971"/>
      <c r="V31" s="971"/>
      <c r="W31" s="971"/>
      <c r="X31" s="971"/>
      <c r="Y31" s="971"/>
      <c r="Z31" s="971"/>
      <c r="AA31" s="971"/>
      <c r="AB31" s="960"/>
      <c r="AC31" s="970"/>
      <c r="AD31" s="971"/>
      <c r="AE31" s="971"/>
      <c r="AF31" s="971"/>
      <c r="AG31" s="971"/>
      <c r="AH31" s="971"/>
      <c r="AI31" s="971"/>
      <c r="AJ31" s="971"/>
      <c r="AK31" s="960"/>
      <c r="AL31" s="970"/>
      <c r="AM31" s="971"/>
      <c r="AN31" s="971"/>
      <c r="AO31" s="971"/>
      <c r="AP31" s="971"/>
      <c r="AQ31" s="971"/>
      <c r="AR31" s="971"/>
      <c r="AS31" s="971"/>
      <c r="AT31" s="962"/>
      <c r="AU31" s="970"/>
      <c r="AV31" s="971"/>
      <c r="AW31" s="971"/>
      <c r="AX31" s="971"/>
      <c r="AY31" s="971"/>
      <c r="AZ31" s="971"/>
      <c r="BA31" s="971"/>
      <c r="BB31" s="971"/>
      <c r="BC31" s="962"/>
      <c r="BD31" s="970"/>
      <c r="BE31" s="971"/>
      <c r="BF31" s="971"/>
      <c r="BG31" s="971"/>
      <c r="BH31" s="971"/>
      <c r="BI31" s="971"/>
      <c r="BJ31" s="971"/>
      <c r="BK31" s="971"/>
      <c r="BL31" s="962"/>
      <c r="BM31" s="970"/>
      <c r="BN31" s="971"/>
      <c r="BO31" s="971"/>
      <c r="BP31" s="971"/>
      <c r="BQ31" s="971"/>
      <c r="BR31" s="971"/>
      <c r="BS31" s="971"/>
      <c r="BT31" s="971"/>
      <c r="BU31" s="962"/>
      <c r="BV31" s="970"/>
      <c r="BW31" s="971"/>
      <c r="BX31" s="971"/>
      <c r="BY31" s="971"/>
      <c r="BZ31" s="971"/>
      <c r="CA31" s="971"/>
      <c r="CB31" s="971"/>
      <c r="CC31" s="971"/>
      <c r="CD31" s="962"/>
      <c r="CE31" s="970"/>
      <c r="CF31" s="971"/>
      <c r="CG31" s="971"/>
      <c r="CH31" s="971"/>
      <c r="CI31" s="971"/>
      <c r="CJ31" s="971"/>
      <c r="CK31" s="971"/>
      <c r="CL31" s="971"/>
      <c r="CM31" s="962"/>
      <c r="CN31" s="970"/>
      <c r="CO31" s="971"/>
      <c r="CP31" s="971"/>
      <c r="CQ31" s="971"/>
      <c r="CR31" s="971"/>
      <c r="CS31" s="971"/>
      <c r="CT31" s="971"/>
      <c r="CU31" s="971"/>
      <c r="CV31" s="962"/>
      <c r="CW31" s="970"/>
      <c r="CX31" s="971"/>
      <c r="CY31" s="971"/>
      <c r="CZ31" s="971"/>
      <c r="DA31" s="971"/>
      <c r="DB31" s="971"/>
      <c r="DC31" s="971"/>
      <c r="DD31" s="971"/>
      <c r="DE31" s="962"/>
      <c r="DF31" s="970"/>
      <c r="DG31" s="971"/>
      <c r="DH31" s="971"/>
      <c r="DI31" s="971"/>
      <c r="DJ31" s="971"/>
      <c r="DK31" s="971"/>
      <c r="DL31" s="971"/>
      <c r="DM31" s="971"/>
      <c r="DN31" s="962"/>
      <c r="DO31" s="970"/>
      <c r="DP31" s="971"/>
      <c r="DQ31" s="971"/>
      <c r="DR31" s="971"/>
      <c r="DS31" s="971"/>
      <c r="DT31" s="971"/>
      <c r="DU31" s="971"/>
      <c r="DV31" s="971"/>
      <c r="DW31" s="962"/>
      <c r="DX31" s="970"/>
      <c r="DY31" s="971"/>
      <c r="DZ31" s="971"/>
      <c r="EA31" s="971"/>
      <c r="EB31" s="971"/>
      <c r="EC31" s="971"/>
      <c r="ED31" s="971"/>
      <c r="EE31" s="971"/>
    </row>
    <row r="32">
      <c r="A32" s="33">
        <f>'Schedule | 3 Division (OLD)'!J32</f>
        <v>20</v>
      </c>
      <c r="B32" s="30" t="str">
        <f>'Schedule | 3 Division (OLD)'!E32</f>
        <v>BOGATYRI</v>
      </c>
      <c r="C32" s="906">
        <f>'Schedule | 3 Division (OLD)'!F32</f>
        <v>0</v>
      </c>
      <c r="D32" s="906">
        <f>'Schedule | 3 Division (OLD)'!H32</f>
        <v>0</v>
      </c>
      <c r="E32" s="30" t="str">
        <f>'Schedule | 3 Division (OLD)'!I32</f>
        <v>ALTF4</v>
      </c>
      <c r="F32" s="30" t="str">
        <f t="shared" si="36"/>
        <v/>
      </c>
      <c r="G32" s="433" t="str">
        <f t="shared" si="37"/>
        <v/>
      </c>
      <c r="H32" s="966"/>
      <c r="I32" s="966"/>
      <c r="J32" s="960"/>
      <c r="K32" s="869" t="s">
        <v>263</v>
      </c>
      <c r="L32" s="869" t="s">
        <v>258</v>
      </c>
      <c r="M32" s="865" t="s">
        <v>825</v>
      </c>
      <c r="N32" s="866" t="s">
        <v>259</v>
      </c>
      <c r="O32" s="866" t="s">
        <v>307</v>
      </c>
      <c r="P32" s="866" t="s">
        <v>259</v>
      </c>
      <c r="Q32" s="867" t="s">
        <v>826</v>
      </c>
      <c r="R32" s="905" t="s">
        <v>261</v>
      </c>
      <c r="S32" s="961"/>
      <c r="T32" s="863" t="s">
        <v>263</v>
      </c>
      <c r="U32" s="863" t="s">
        <v>258</v>
      </c>
      <c r="V32" s="865" t="s">
        <v>825</v>
      </c>
      <c r="W32" s="866" t="s">
        <v>259</v>
      </c>
      <c r="X32" s="866" t="s">
        <v>307</v>
      </c>
      <c r="Y32" s="866" t="s">
        <v>259</v>
      </c>
      <c r="Z32" s="867" t="s">
        <v>826</v>
      </c>
      <c r="AA32" s="863" t="s">
        <v>261</v>
      </c>
      <c r="AB32" s="960"/>
      <c r="AC32" s="863" t="s">
        <v>263</v>
      </c>
      <c r="AD32" s="863" t="s">
        <v>258</v>
      </c>
      <c r="AE32" s="865" t="s">
        <v>825</v>
      </c>
      <c r="AF32" s="866" t="s">
        <v>259</v>
      </c>
      <c r="AG32" s="866" t="s">
        <v>307</v>
      </c>
      <c r="AH32" s="866" t="s">
        <v>259</v>
      </c>
      <c r="AI32" s="867" t="s">
        <v>826</v>
      </c>
      <c r="AJ32" s="863" t="s">
        <v>261</v>
      </c>
      <c r="AK32" s="960"/>
      <c r="AL32" s="863" t="s">
        <v>263</v>
      </c>
      <c r="AM32" s="863" t="s">
        <v>258</v>
      </c>
      <c r="AN32" s="865" t="s">
        <v>825</v>
      </c>
      <c r="AO32" s="866" t="s">
        <v>259</v>
      </c>
      <c r="AP32" s="866" t="s">
        <v>307</v>
      </c>
      <c r="AQ32" s="866" t="s">
        <v>259</v>
      </c>
      <c r="AR32" s="867" t="s">
        <v>826</v>
      </c>
      <c r="AS32" s="863" t="s">
        <v>261</v>
      </c>
      <c r="AT32" s="962"/>
      <c r="AU32" s="863" t="s">
        <v>263</v>
      </c>
      <c r="AV32" s="863" t="s">
        <v>258</v>
      </c>
      <c r="AW32" s="865" t="s">
        <v>825</v>
      </c>
      <c r="AX32" s="866" t="s">
        <v>259</v>
      </c>
      <c r="AY32" s="866" t="s">
        <v>307</v>
      </c>
      <c r="AZ32" s="866" t="s">
        <v>259</v>
      </c>
      <c r="BA32" s="867" t="s">
        <v>826</v>
      </c>
      <c r="BB32" s="863" t="s">
        <v>261</v>
      </c>
      <c r="BC32" s="962"/>
      <c r="BD32" s="863" t="s">
        <v>263</v>
      </c>
      <c r="BE32" s="863" t="s">
        <v>258</v>
      </c>
      <c r="BF32" s="865" t="s">
        <v>825</v>
      </c>
      <c r="BG32" s="866" t="s">
        <v>259</v>
      </c>
      <c r="BH32" s="866" t="s">
        <v>307</v>
      </c>
      <c r="BI32" s="866" t="s">
        <v>259</v>
      </c>
      <c r="BJ32" s="867" t="s">
        <v>826</v>
      </c>
      <c r="BK32" s="863" t="s">
        <v>261</v>
      </c>
      <c r="BL32" s="962"/>
      <c r="BM32" s="863" t="s">
        <v>263</v>
      </c>
      <c r="BN32" s="863" t="s">
        <v>258</v>
      </c>
      <c r="BO32" s="865" t="s">
        <v>825</v>
      </c>
      <c r="BP32" s="866" t="s">
        <v>259</v>
      </c>
      <c r="BQ32" s="866" t="s">
        <v>307</v>
      </c>
      <c r="BR32" s="866" t="s">
        <v>259</v>
      </c>
      <c r="BS32" s="867" t="s">
        <v>826</v>
      </c>
      <c r="BT32" s="863" t="s">
        <v>261</v>
      </c>
      <c r="BU32" s="962"/>
      <c r="BV32" s="863" t="s">
        <v>263</v>
      </c>
      <c r="BW32" s="863" t="s">
        <v>258</v>
      </c>
      <c r="BX32" s="865" t="s">
        <v>825</v>
      </c>
      <c r="BY32" s="866" t="s">
        <v>259</v>
      </c>
      <c r="BZ32" s="866" t="s">
        <v>307</v>
      </c>
      <c r="CA32" s="866" t="s">
        <v>259</v>
      </c>
      <c r="CB32" s="867" t="s">
        <v>826</v>
      </c>
      <c r="CC32" s="863" t="s">
        <v>261</v>
      </c>
      <c r="CD32" s="962"/>
      <c r="CE32" s="863" t="s">
        <v>263</v>
      </c>
      <c r="CF32" s="863" t="s">
        <v>258</v>
      </c>
      <c r="CG32" s="865" t="s">
        <v>825</v>
      </c>
      <c r="CH32" s="866" t="s">
        <v>259</v>
      </c>
      <c r="CI32" s="866" t="s">
        <v>307</v>
      </c>
      <c r="CJ32" s="866" t="s">
        <v>259</v>
      </c>
      <c r="CK32" s="867" t="s">
        <v>826</v>
      </c>
      <c r="CL32" s="863" t="s">
        <v>261</v>
      </c>
      <c r="CM32" s="962"/>
      <c r="CN32" s="863" t="s">
        <v>263</v>
      </c>
      <c r="CO32" s="863" t="s">
        <v>258</v>
      </c>
      <c r="CP32" s="865" t="s">
        <v>825</v>
      </c>
      <c r="CQ32" s="866" t="s">
        <v>259</v>
      </c>
      <c r="CR32" s="866" t="s">
        <v>307</v>
      </c>
      <c r="CS32" s="866" t="s">
        <v>259</v>
      </c>
      <c r="CT32" s="867" t="s">
        <v>826</v>
      </c>
      <c r="CU32" s="863" t="s">
        <v>261</v>
      </c>
      <c r="CV32" s="962"/>
      <c r="CW32" s="863" t="s">
        <v>263</v>
      </c>
      <c r="CX32" s="863" t="s">
        <v>258</v>
      </c>
      <c r="CY32" s="865" t="s">
        <v>825</v>
      </c>
      <c r="CZ32" s="866" t="s">
        <v>259</v>
      </c>
      <c r="DA32" s="866" t="s">
        <v>307</v>
      </c>
      <c r="DB32" s="866" t="s">
        <v>259</v>
      </c>
      <c r="DC32" s="867" t="s">
        <v>826</v>
      </c>
      <c r="DD32" s="863" t="s">
        <v>261</v>
      </c>
      <c r="DE32" s="962"/>
      <c r="DF32" s="863" t="s">
        <v>263</v>
      </c>
      <c r="DG32" s="863" t="s">
        <v>258</v>
      </c>
      <c r="DH32" s="865" t="s">
        <v>825</v>
      </c>
      <c r="DI32" s="866" t="s">
        <v>259</v>
      </c>
      <c r="DJ32" s="866" t="s">
        <v>307</v>
      </c>
      <c r="DK32" s="866" t="s">
        <v>259</v>
      </c>
      <c r="DL32" s="867" t="s">
        <v>826</v>
      </c>
      <c r="DM32" s="863" t="s">
        <v>261</v>
      </c>
      <c r="DN32" s="962"/>
      <c r="DO32" s="863" t="s">
        <v>263</v>
      </c>
      <c r="DP32" s="863" t="s">
        <v>258</v>
      </c>
      <c r="DQ32" s="865" t="s">
        <v>825</v>
      </c>
      <c r="DR32" s="866" t="s">
        <v>259</v>
      </c>
      <c r="DS32" s="866" t="s">
        <v>307</v>
      </c>
      <c r="DT32" s="866" t="s">
        <v>259</v>
      </c>
      <c r="DU32" s="867" t="s">
        <v>826</v>
      </c>
      <c r="DV32" s="863" t="s">
        <v>261</v>
      </c>
      <c r="DW32" s="962"/>
      <c r="DX32" s="863" t="s">
        <v>263</v>
      </c>
      <c r="DY32" s="863" t="s">
        <v>258</v>
      </c>
      <c r="DZ32" s="865" t="s">
        <v>825</v>
      </c>
      <c r="EA32" s="866" t="s">
        <v>259</v>
      </c>
      <c r="EB32" s="866" t="s">
        <v>307</v>
      </c>
      <c r="EC32" s="866" t="s">
        <v>259</v>
      </c>
      <c r="ED32" s="867" t="s">
        <v>826</v>
      </c>
      <c r="EE32" s="863" t="s">
        <v>261</v>
      </c>
    </row>
    <row r="33">
      <c r="A33" s="33">
        <f>'Schedule | 3 Division (OLD)'!J35</f>
        <v>21</v>
      </c>
      <c r="B33" s="911" t="str">
        <f>'Schedule | 3 Division (OLD)'!E35</f>
        <v>RISE</v>
      </c>
      <c r="C33" s="906">
        <f>'Schedule | 3 Division (OLD)'!F35</f>
        <v>0</v>
      </c>
      <c r="D33" s="906">
        <f>'Schedule | 3 Division (OLD)'!H35</f>
        <v>0</v>
      </c>
      <c r="E33" s="911" t="str">
        <f>'Schedule | 3 Division (OLD)'!I35</f>
        <v>ALTF4</v>
      </c>
      <c r="F33" s="30" t="str">
        <f t="shared" si="36"/>
        <v/>
      </c>
      <c r="G33" s="433" t="str">
        <f t="shared" si="37"/>
        <v/>
      </c>
      <c r="H33" s="966"/>
      <c r="I33" s="966"/>
      <c r="J33" s="964"/>
      <c r="K33" s="456">
        <f>'Schedule | 3 Division (OLD)'!J8</f>
        <v>4</v>
      </c>
      <c r="L33" s="875" t="str">
        <f>'Schedule | 3 Division (OLD)'!E8</f>
        <v>ALTF4</v>
      </c>
      <c r="M33" s="876"/>
      <c r="N33" s="877"/>
      <c r="O33" s="877"/>
      <c r="P33" s="878">
        <f t="shared" ref="P33:P39" si="94">ifs(N33="W","L",N33="L", "W",N33=0,0)</f>
        <v>0</v>
      </c>
      <c r="Q33" s="879" t="str">
        <f t="shared" ref="Q33:Q39" si="95">ifs(M33="Attack","Defense",M33="Defense", "Attack",N33=0, "-")</f>
        <v>-</v>
      </c>
      <c r="R33" s="907" t="str">
        <f>'Schedule | 3 Division (OLD)'!I8</f>
        <v>DEACUERDO</v>
      </c>
      <c r="S33" s="965"/>
      <c r="T33" s="456">
        <f>'Schedule | 3 Division (OLD)'!J14</f>
        <v>8</v>
      </c>
      <c r="U33" s="912" t="str">
        <f>'Schedule | 3 Division (OLD)'!E14</f>
        <v>ACHIEVERS</v>
      </c>
      <c r="V33" s="876"/>
      <c r="W33" s="877"/>
      <c r="X33" s="877"/>
      <c r="Y33" s="878">
        <f t="shared" ref="Y33:Y39" si="96">ifs(W33="W","L",W33="L", "W",W33=0,0)</f>
        <v>0</v>
      </c>
      <c r="Z33" s="879" t="str">
        <f t="shared" ref="Z33:Z39" si="97">ifs(V33="Attack","Defense",V33="Defense", "Attack",W33=0, "-")</f>
        <v>-</v>
      </c>
      <c r="AA33" s="883" t="str">
        <f>'Schedule | 3 Division (OLD)'!I14</f>
        <v>RISE</v>
      </c>
      <c r="AB33" s="964"/>
      <c r="AC33" s="456">
        <f>'Schedule | 3 Division (OLD)'!J20</f>
        <v>12</v>
      </c>
      <c r="AD33" s="875" t="str">
        <f>'Schedule | 3 Division (OLD)'!E20</f>
        <v>DEACUERDO</v>
      </c>
      <c r="AE33" s="876"/>
      <c r="AF33" s="877"/>
      <c r="AG33" s="877"/>
      <c r="AH33" s="878">
        <f t="shared" ref="AH33:AH39" si="98">ifs(AF33="W","L",AF33="L", "W",AF33=0,0)</f>
        <v>0</v>
      </c>
      <c r="AI33" s="879" t="str">
        <f t="shared" ref="AI33:AI39" si="99">ifs(AE33="Attack","Defense",AE33="Defense", "Attack",AF33=0, "-")</f>
        <v>-</v>
      </c>
      <c r="AJ33" s="883" t="str">
        <f>'Schedule | 3 Division (OLD)'!I20</f>
        <v>BOGATYRI</v>
      </c>
      <c r="AK33" s="964"/>
      <c r="AL33" s="456">
        <f>'Schedule | 3 Division (OLD)'!J26</f>
        <v>16</v>
      </c>
      <c r="AM33" s="887" t="str">
        <f>'Schedule | 3 Division (OLD)'!E26</f>
        <v>SAPPIAMO</v>
      </c>
      <c r="AN33" s="876"/>
      <c r="AO33" s="877"/>
      <c r="AP33" s="877"/>
      <c r="AQ33" s="878">
        <f t="shared" ref="AQ33:AQ39" si="100">ifs(AO33="W","L",AO33="L", "W",AO33=0,0)</f>
        <v>0</v>
      </c>
      <c r="AR33" s="879" t="str">
        <f t="shared" ref="AR33:AR39" si="101">ifs(AN33="Attack","Defense",AN33="Defense", "Attack",AO33=0, "-")</f>
        <v>-</v>
      </c>
      <c r="AS33" s="888" t="s">
        <v>832</v>
      </c>
      <c r="AT33" s="966"/>
      <c r="AU33" s="456">
        <f>'Schedule | 3 Division (OLD)'!J32</f>
        <v>20</v>
      </c>
      <c r="AV33" s="875" t="str">
        <f>'Schedule | 3 Division (OLD)'!E32</f>
        <v>BOGATYRI</v>
      </c>
      <c r="AW33" s="876"/>
      <c r="AX33" s="877"/>
      <c r="AY33" s="877"/>
      <c r="AZ33" s="878">
        <f t="shared" ref="AZ33:AZ39" si="102">ifs(AX33="W","L",AX33="L", "W",AX33=0,0)</f>
        <v>0</v>
      </c>
      <c r="BA33" s="879" t="str">
        <f t="shared" ref="BA33:BA39" si="103">ifs(AW33="Attack","Defense",AW33="Defense", "Attack",AX33=0, "-")</f>
        <v>-</v>
      </c>
      <c r="BB33" s="883" t="str">
        <f>'Schedule | 3 Division (OLD)'!I32</f>
        <v>ALTF4</v>
      </c>
      <c r="BC33" s="966"/>
      <c r="BD33" s="456">
        <f>'Schedule | 3 Division (OLD)'!J38</f>
        <v>24</v>
      </c>
      <c r="BE33" s="875" t="str">
        <f>'Schedule | 3 Division (OLD)'!E38</f>
        <v>BOGATYRI</v>
      </c>
      <c r="BF33" s="876"/>
      <c r="BG33" s="877"/>
      <c r="BH33" s="877"/>
      <c r="BI33" s="878">
        <f t="shared" ref="BI33:BI39" si="104">ifs(BG33="W","L",BG33="L", "W",BG33=0,0)</f>
        <v>0</v>
      </c>
      <c r="BJ33" s="879" t="str">
        <f t="shared" ref="BJ33:BJ39" si="105">ifs(BF33="Attack","Defense",BF33="Defense", "Attack",BG33=0, "-")</f>
        <v>-</v>
      </c>
      <c r="BK33" s="888" t="str">
        <f>'Schedule | 3 Division (OLD)'!I38</f>
        <v>КОРМ 2</v>
      </c>
      <c r="BL33" s="966"/>
      <c r="BM33" s="456">
        <f>'Schedule | 3 Division (OLD)'!J44</f>
        <v>28</v>
      </c>
      <c r="BN33" s="875" t="str">
        <f>'Schedule | 3 Division (OLD)'!E44</f>
        <v>DEACUERDO</v>
      </c>
      <c r="BO33" s="876"/>
      <c r="BP33" s="877"/>
      <c r="BQ33" s="877"/>
      <c r="BR33" s="878">
        <f t="shared" ref="BR33:BR39" si="106">ifs(BP33="W","L",BP33="L", "W",BP33=0,0)</f>
        <v>0</v>
      </c>
      <c r="BS33" s="879" t="str">
        <f t="shared" ref="BS33:BS39" si="107">ifs(BO33="Attack","Defense",BO33="Defense", "Attack",BP33=0, "-")</f>
        <v>-</v>
      </c>
      <c r="BT33" s="883" t="str">
        <f>'Schedule | 3 Division (OLD)'!I44</f>
        <v>HEAX</v>
      </c>
      <c r="BU33" s="966"/>
      <c r="BV33" s="456">
        <f>'Schedule | 3 Division (OLD)'!P8</f>
        <v>32</v>
      </c>
      <c r="BW33" s="447" t="str">
        <f>'Schedule | 3 Division (OLD)'!K8</f>
        <v>DEACUERDO</v>
      </c>
      <c r="BX33" s="876"/>
      <c r="BY33" s="877"/>
      <c r="BZ33" s="877"/>
      <c r="CA33" s="878">
        <f t="shared" ref="CA33:CA39" si="108">ifs(BY33="W","L",BY33="L", "W",BY33=0,0)</f>
        <v>0</v>
      </c>
      <c r="CB33" s="879" t="str">
        <f t="shared" ref="CB33:CB39" si="109">ifs(BX33="Attack","Defense",BX33="Defense", "Attack",BY33=0, "-")</f>
        <v>-</v>
      </c>
      <c r="CC33" s="882" t="str">
        <f>'Schedule | 3 Division (OLD)'!O8</f>
        <v>ALTF4</v>
      </c>
      <c r="CD33" s="966"/>
      <c r="CE33" s="456">
        <f>'Schedule | 3 Division (OLD)'!P14</f>
        <v>36</v>
      </c>
      <c r="CF33" s="447" t="str">
        <f>'Schedule | 3 Division (OLD)'!K14</f>
        <v>SAPPIAMO</v>
      </c>
      <c r="CG33" s="876"/>
      <c r="CH33" s="877"/>
      <c r="CI33" s="877"/>
      <c r="CJ33" s="878">
        <f t="shared" ref="CJ33:CJ39" si="110">ifs(CH33="W","L",CH33="L", "W",CH33=0,0)</f>
        <v>0</v>
      </c>
      <c r="CK33" s="879" t="str">
        <f t="shared" ref="CK33:CK39" si="111">ifs(CG33="Attack","Defense",CG33="Defense", "Attack",CH33=0, "-")</f>
        <v>-</v>
      </c>
      <c r="CL33" s="882" t="str">
        <f>'Schedule | 3 Division (OLD)'!O14</f>
        <v>BOGATYRI</v>
      </c>
      <c r="CM33" s="966"/>
      <c r="CN33" s="456">
        <f>'Schedule | 3 Division (OLD)'!P20</f>
        <v>40</v>
      </c>
      <c r="CO33" s="447" t="str">
        <f>'Schedule | 3 Division (OLD)'!K20</f>
        <v>RISE</v>
      </c>
      <c r="CP33" s="876"/>
      <c r="CQ33" s="877"/>
      <c r="CR33" s="877"/>
      <c r="CS33" s="878">
        <f t="shared" ref="CS33:CS39" si="112">ifs(CQ33="W","L",CQ33="L", "W",CQ33=0,0)</f>
        <v>0</v>
      </c>
      <c r="CT33" s="879" t="str">
        <f t="shared" ref="CT33:CT39" si="113">ifs(CP33="Attack","Defense",CP33="Defense", "Attack",CQ33=0, "-")</f>
        <v>-</v>
      </c>
      <c r="CU33" s="882" t="str">
        <f>'Schedule | 3 Division (OLD)'!O20</f>
        <v>HEAX</v>
      </c>
      <c r="CV33" s="966"/>
      <c r="CW33" s="456">
        <f>'Schedule | 3 Division (OLD)'!P26</f>
        <v>44</v>
      </c>
      <c r="CX33" s="881" t="str">
        <f>'Schedule | 3 Division (OLD)'!K26</f>
        <v>ACHIEVERS</v>
      </c>
      <c r="CY33" s="876"/>
      <c r="CZ33" s="877"/>
      <c r="DA33" s="877"/>
      <c r="DB33" s="878">
        <f t="shared" ref="DB33:DB39" si="114">ifs(CZ33="W","L",CZ33="L", "W",CZ33=0,0)</f>
        <v>0</v>
      </c>
      <c r="DC33" s="879" t="str">
        <f t="shared" ref="DC33:DC39" si="115">ifs(CY33="Attack","Defense",CY33="Defense", "Attack",CZ33=0, "-")</f>
        <v>-</v>
      </c>
      <c r="DD33" s="882" t="str">
        <f>'Schedule | 3 Division (OLD)'!O26</f>
        <v>ALTF4</v>
      </c>
      <c r="DE33" s="966"/>
      <c r="DF33" s="456">
        <f>'Schedule | 3 Division (OLD)'!P32</f>
        <v>48</v>
      </c>
      <c r="DG33" s="447" t="str">
        <f>'Schedule | 3 Division (OLD)'!K32</f>
        <v>КОРМ 2</v>
      </c>
      <c r="DH33" s="876"/>
      <c r="DI33" s="877"/>
      <c r="DJ33" s="877"/>
      <c r="DK33" s="878">
        <f t="shared" ref="DK33:DK39" si="116">ifs(DI33="W","L",DI33="L", "W",DI33=0,0)</f>
        <v>0</v>
      </c>
      <c r="DL33" s="879" t="str">
        <f t="shared" ref="DL33:DL39" si="117">ifs(DH33="Attack","Defense",DH33="Defense", "Attack",DI33=0, "-")</f>
        <v>-</v>
      </c>
      <c r="DM33" s="888" t="str">
        <f>'Schedule | 3 Division (OLD)'!O32</f>
        <v>RISE</v>
      </c>
      <c r="DN33" s="966"/>
      <c r="DO33" s="456">
        <f>'Schedule | 3 Division (OLD)'!P38</f>
        <v>52</v>
      </c>
      <c r="DP33" s="875" t="str">
        <f>'Schedule | 3 Division (OLD)'!K38</f>
        <v>ACHIEVERS</v>
      </c>
      <c r="DQ33" s="876"/>
      <c r="DR33" s="877"/>
      <c r="DS33" s="877"/>
      <c r="DT33" s="878">
        <f t="shared" ref="DT33:DT39" si="118">ifs(DR33="W","L",DR33="L", "W",DR33=0,0)</f>
        <v>0</v>
      </c>
      <c r="DU33" s="879" t="str">
        <f t="shared" ref="DU33:DU39" si="119">ifs(DQ33="Attack","Defense",DQ33="Defense", "Attack",DR33=0, "-")</f>
        <v>-</v>
      </c>
      <c r="DV33" s="883" t="str">
        <f>'Schedule | 3 Division (OLD)'!O38</f>
        <v>HEAX</v>
      </c>
      <c r="DW33" s="966"/>
      <c r="DX33" s="456">
        <f>'Schedule | 3 Division (OLD)'!P44</f>
        <v>56</v>
      </c>
      <c r="DY33" s="875" t="str">
        <f>'Schedule | 3 Division (OLD)'!K44</f>
        <v>ALTF4</v>
      </c>
      <c r="DZ33" s="876"/>
      <c r="EA33" s="877"/>
      <c r="EB33" s="877"/>
      <c r="EC33" s="878">
        <f t="shared" ref="EC33:EC39" si="120">ifs(EA33="W","L",EA33="L", "W",EA33=0,0)</f>
        <v>0</v>
      </c>
      <c r="ED33" s="879" t="str">
        <f t="shared" ref="ED33:ED39" si="121">ifs(DZ33="Attack","Defense",DZ33="Defense", "Attack",EA33=0, "-")</f>
        <v>-</v>
      </c>
      <c r="EE33" s="888" t="str">
        <f>'Schedule | 3 Division (OLD)'!O44</f>
        <v>КОРМ 2</v>
      </c>
    </row>
    <row r="34">
      <c r="A34" s="33">
        <f>'Schedule | 3 Division (OLD)'!J36</f>
        <v>22</v>
      </c>
      <c r="B34" s="30" t="str">
        <f>'Schedule | 3 Division (OLD)'!E36</f>
        <v>SAPPIAMO</v>
      </c>
      <c r="C34" s="906">
        <f>'Schedule | 3 Division (OLD)'!F36</f>
        <v>0</v>
      </c>
      <c r="D34" s="906">
        <f>'Schedule | 3 Division (OLD)'!H36</f>
        <v>0</v>
      </c>
      <c r="E34" s="30" t="str">
        <f>'Schedule | 3 Division (OLD)'!I36</f>
        <v>DEACUERDO</v>
      </c>
      <c r="F34" s="30" t="str">
        <f t="shared" si="36"/>
        <v/>
      </c>
      <c r="G34" s="433" t="str">
        <f t="shared" si="37"/>
        <v/>
      </c>
      <c r="H34" s="966"/>
      <c r="I34" s="966"/>
      <c r="J34" s="964"/>
      <c r="K34" s="66"/>
      <c r="L34" s="55"/>
      <c r="M34" s="876"/>
      <c r="N34" s="890"/>
      <c r="O34" s="890"/>
      <c r="P34" s="891">
        <f t="shared" si="94"/>
        <v>0</v>
      </c>
      <c r="Q34" s="892" t="str">
        <f t="shared" si="95"/>
        <v>-</v>
      </c>
      <c r="S34" s="965"/>
      <c r="T34" s="66"/>
      <c r="V34" s="876"/>
      <c r="W34" s="890"/>
      <c r="X34" s="890"/>
      <c r="Y34" s="891">
        <f t="shared" si="96"/>
        <v>0</v>
      </c>
      <c r="Z34" s="892" t="str">
        <f t="shared" si="97"/>
        <v>-</v>
      </c>
      <c r="AA34" s="92"/>
      <c r="AB34" s="964"/>
      <c r="AC34" s="66"/>
      <c r="AD34" s="55"/>
      <c r="AE34" s="876"/>
      <c r="AF34" s="890"/>
      <c r="AG34" s="890"/>
      <c r="AH34" s="891">
        <f t="shared" si="98"/>
        <v>0</v>
      </c>
      <c r="AI34" s="892" t="str">
        <f t="shared" si="99"/>
        <v>-</v>
      </c>
      <c r="AJ34" s="92"/>
      <c r="AK34" s="964"/>
      <c r="AL34" s="66"/>
      <c r="AM34" s="55"/>
      <c r="AN34" s="876"/>
      <c r="AO34" s="890"/>
      <c r="AP34" s="890"/>
      <c r="AQ34" s="891">
        <f t="shared" si="100"/>
        <v>0</v>
      </c>
      <c r="AR34" s="892" t="str">
        <f t="shared" si="101"/>
        <v>-</v>
      </c>
      <c r="AS34" s="92"/>
      <c r="AT34" s="966"/>
      <c r="AU34" s="66"/>
      <c r="AV34" s="55"/>
      <c r="AW34" s="876"/>
      <c r="AX34" s="890"/>
      <c r="AY34" s="890"/>
      <c r="AZ34" s="891">
        <f t="shared" si="102"/>
        <v>0</v>
      </c>
      <c r="BA34" s="892" t="str">
        <f t="shared" si="103"/>
        <v>-</v>
      </c>
      <c r="BB34" s="92"/>
      <c r="BC34" s="966"/>
      <c r="BD34" s="66"/>
      <c r="BE34" s="55"/>
      <c r="BF34" s="876"/>
      <c r="BG34" s="890"/>
      <c r="BH34" s="890"/>
      <c r="BI34" s="891">
        <f t="shared" si="104"/>
        <v>0</v>
      </c>
      <c r="BJ34" s="892" t="str">
        <f t="shared" si="105"/>
        <v>-</v>
      </c>
      <c r="BK34" s="92"/>
      <c r="BL34" s="966"/>
      <c r="BM34" s="66"/>
      <c r="BN34" s="55"/>
      <c r="BO34" s="876"/>
      <c r="BP34" s="890"/>
      <c r="BQ34" s="890"/>
      <c r="BR34" s="891">
        <f t="shared" si="106"/>
        <v>0</v>
      </c>
      <c r="BS34" s="892" t="str">
        <f t="shared" si="107"/>
        <v>-</v>
      </c>
      <c r="BT34" s="92"/>
      <c r="BU34" s="966"/>
      <c r="BV34" s="66"/>
      <c r="BX34" s="876"/>
      <c r="BY34" s="890"/>
      <c r="BZ34" s="890"/>
      <c r="CA34" s="891">
        <f t="shared" si="108"/>
        <v>0</v>
      </c>
      <c r="CB34" s="892" t="str">
        <f t="shared" si="109"/>
        <v>-</v>
      </c>
      <c r="CC34" s="92"/>
      <c r="CD34" s="966"/>
      <c r="CE34" s="66"/>
      <c r="CG34" s="876"/>
      <c r="CH34" s="890"/>
      <c r="CI34" s="890"/>
      <c r="CJ34" s="891">
        <f t="shared" si="110"/>
        <v>0</v>
      </c>
      <c r="CK34" s="892" t="str">
        <f t="shared" si="111"/>
        <v>-</v>
      </c>
      <c r="CL34" s="92"/>
      <c r="CM34" s="966"/>
      <c r="CN34" s="66"/>
      <c r="CP34" s="876"/>
      <c r="CQ34" s="890"/>
      <c r="CR34" s="890"/>
      <c r="CS34" s="891">
        <f t="shared" si="112"/>
        <v>0</v>
      </c>
      <c r="CT34" s="892" t="str">
        <f t="shared" si="113"/>
        <v>-</v>
      </c>
      <c r="CU34" s="92"/>
      <c r="CV34" s="966"/>
      <c r="CW34" s="66"/>
      <c r="CY34" s="876"/>
      <c r="CZ34" s="890"/>
      <c r="DA34" s="890"/>
      <c r="DB34" s="891">
        <f t="shared" si="114"/>
        <v>0</v>
      </c>
      <c r="DC34" s="892" t="str">
        <f t="shared" si="115"/>
        <v>-</v>
      </c>
      <c r="DD34" s="92"/>
      <c r="DE34" s="966"/>
      <c r="DF34" s="66"/>
      <c r="DH34" s="876"/>
      <c r="DI34" s="890"/>
      <c r="DJ34" s="890"/>
      <c r="DK34" s="891">
        <f t="shared" si="116"/>
        <v>0</v>
      </c>
      <c r="DL34" s="892" t="str">
        <f t="shared" si="117"/>
        <v>-</v>
      </c>
      <c r="DM34" s="92"/>
      <c r="DN34" s="966"/>
      <c r="DO34" s="66"/>
      <c r="DP34" s="55"/>
      <c r="DQ34" s="876"/>
      <c r="DR34" s="890"/>
      <c r="DS34" s="890"/>
      <c r="DT34" s="891">
        <f t="shared" si="118"/>
        <v>0</v>
      </c>
      <c r="DU34" s="892" t="str">
        <f t="shared" si="119"/>
        <v>-</v>
      </c>
      <c r="DV34" s="92"/>
      <c r="DW34" s="966"/>
      <c r="DX34" s="66"/>
      <c r="DY34" s="55"/>
      <c r="DZ34" s="876"/>
      <c r="EA34" s="890"/>
      <c r="EB34" s="890"/>
      <c r="EC34" s="891">
        <f t="shared" si="120"/>
        <v>0</v>
      </c>
      <c r="ED34" s="892" t="str">
        <f t="shared" si="121"/>
        <v>-</v>
      </c>
      <c r="EE34" s="92"/>
    </row>
    <row r="35">
      <c r="A35" s="33">
        <f>'Schedule | 3 Division (OLD)'!J37</f>
        <v>23</v>
      </c>
      <c r="B35" s="30" t="str">
        <f>'Schedule | 3 Division (OLD)'!E37</f>
        <v>HEAX</v>
      </c>
      <c r="C35" s="906">
        <f>'Schedule | 3 Division (OLD)'!F37</f>
        <v>0</v>
      </c>
      <c r="D35" s="906">
        <f>'Schedule | 3 Division (OLD)'!H37</f>
        <v>0</v>
      </c>
      <c r="E35" s="30" t="str">
        <f>'Schedule | 3 Division (OLD)'!I37</f>
        <v>ACHIEVERS</v>
      </c>
      <c r="F35" s="30" t="str">
        <f t="shared" si="36"/>
        <v/>
      </c>
      <c r="G35" s="433" t="str">
        <f t="shared" si="37"/>
        <v/>
      </c>
      <c r="H35" s="966"/>
      <c r="I35" s="966"/>
      <c r="J35" s="964"/>
      <c r="K35" s="66"/>
      <c r="L35" s="55"/>
      <c r="M35" s="876"/>
      <c r="N35" s="890"/>
      <c r="O35" s="890"/>
      <c r="P35" s="891">
        <f t="shared" si="94"/>
        <v>0</v>
      </c>
      <c r="Q35" s="892" t="str">
        <f t="shared" si="95"/>
        <v>-</v>
      </c>
      <c r="S35" s="965"/>
      <c r="T35" s="66"/>
      <c r="V35" s="876"/>
      <c r="W35" s="890"/>
      <c r="X35" s="890"/>
      <c r="Y35" s="891">
        <f t="shared" si="96"/>
        <v>0</v>
      </c>
      <c r="Z35" s="892" t="str">
        <f t="shared" si="97"/>
        <v>-</v>
      </c>
      <c r="AA35" s="92"/>
      <c r="AB35" s="964"/>
      <c r="AC35" s="66"/>
      <c r="AD35" s="55"/>
      <c r="AE35" s="876"/>
      <c r="AF35" s="890"/>
      <c r="AG35" s="890"/>
      <c r="AH35" s="891">
        <f t="shared" si="98"/>
        <v>0</v>
      </c>
      <c r="AI35" s="892" t="str">
        <f t="shared" si="99"/>
        <v>-</v>
      </c>
      <c r="AJ35" s="92"/>
      <c r="AK35" s="964"/>
      <c r="AL35" s="66"/>
      <c r="AM35" s="55"/>
      <c r="AN35" s="876"/>
      <c r="AO35" s="890"/>
      <c r="AP35" s="890"/>
      <c r="AQ35" s="891">
        <f t="shared" si="100"/>
        <v>0</v>
      </c>
      <c r="AR35" s="892" t="str">
        <f t="shared" si="101"/>
        <v>-</v>
      </c>
      <c r="AS35" s="92"/>
      <c r="AT35" s="966"/>
      <c r="AU35" s="66"/>
      <c r="AV35" s="55"/>
      <c r="AW35" s="876"/>
      <c r="AX35" s="890"/>
      <c r="AY35" s="890"/>
      <c r="AZ35" s="891">
        <f t="shared" si="102"/>
        <v>0</v>
      </c>
      <c r="BA35" s="892" t="str">
        <f t="shared" si="103"/>
        <v>-</v>
      </c>
      <c r="BB35" s="92"/>
      <c r="BC35" s="966"/>
      <c r="BD35" s="66"/>
      <c r="BE35" s="55"/>
      <c r="BF35" s="876"/>
      <c r="BG35" s="890"/>
      <c r="BH35" s="890"/>
      <c r="BI35" s="891">
        <f t="shared" si="104"/>
        <v>0</v>
      </c>
      <c r="BJ35" s="892" t="str">
        <f t="shared" si="105"/>
        <v>-</v>
      </c>
      <c r="BK35" s="92"/>
      <c r="BL35" s="966"/>
      <c r="BM35" s="66"/>
      <c r="BN35" s="55"/>
      <c r="BO35" s="876"/>
      <c r="BP35" s="890"/>
      <c r="BQ35" s="890"/>
      <c r="BR35" s="891">
        <f t="shared" si="106"/>
        <v>0</v>
      </c>
      <c r="BS35" s="892" t="str">
        <f t="shared" si="107"/>
        <v>-</v>
      </c>
      <c r="BT35" s="92"/>
      <c r="BU35" s="966"/>
      <c r="BV35" s="66"/>
      <c r="BX35" s="876"/>
      <c r="BY35" s="890"/>
      <c r="BZ35" s="890"/>
      <c r="CA35" s="891">
        <f t="shared" si="108"/>
        <v>0</v>
      </c>
      <c r="CB35" s="892" t="str">
        <f t="shared" si="109"/>
        <v>-</v>
      </c>
      <c r="CC35" s="92"/>
      <c r="CD35" s="966"/>
      <c r="CE35" s="66"/>
      <c r="CG35" s="876"/>
      <c r="CH35" s="890"/>
      <c r="CI35" s="890"/>
      <c r="CJ35" s="891">
        <f t="shared" si="110"/>
        <v>0</v>
      </c>
      <c r="CK35" s="892" t="str">
        <f t="shared" si="111"/>
        <v>-</v>
      </c>
      <c r="CL35" s="92"/>
      <c r="CM35" s="966"/>
      <c r="CN35" s="66"/>
      <c r="CP35" s="876"/>
      <c r="CQ35" s="890"/>
      <c r="CR35" s="890"/>
      <c r="CS35" s="891">
        <f t="shared" si="112"/>
        <v>0</v>
      </c>
      <c r="CT35" s="892" t="str">
        <f t="shared" si="113"/>
        <v>-</v>
      </c>
      <c r="CU35" s="92"/>
      <c r="CV35" s="966"/>
      <c r="CW35" s="66"/>
      <c r="CY35" s="876"/>
      <c r="CZ35" s="890"/>
      <c r="DA35" s="890"/>
      <c r="DB35" s="891">
        <f t="shared" si="114"/>
        <v>0</v>
      </c>
      <c r="DC35" s="892" t="str">
        <f t="shared" si="115"/>
        <v>-</v>
      </c>
      <c r="DD35" s="92"/>
      <c r="DE35" s="966"/>
      <c r="DF35" s="66"/>
      <c r="DH35" s="876"/>
      <c r="DI35" s="890"/>
      <c r="DJ35" s="890"/>
      <c r="DK35" s="891">
        <f t="shared" si="116"/>
        <v>0</v>
      </c>
      <c r="DL35" s="892" t="str">
        <f t="shared" si="117"/>
        <v>-</v>
      </c>
      <c r="DM35" s="92"/>
      <c r="DN35" s="966"/>
      <c r="DO35" s="66"/>
      <c r="DP35" s="55"/>
      <c r="DQ35" s="876"/>
      <c r="DR35" s="890"/>
      <c r="DS35" s="890"/>
      <c r="DT35" s="891">
        <f t="shared" si="118"/>
        <v>0</v>
      </c>
      <c r="DU35" s="892" t="str">
        <f t="shared" si="119"/>
        <v>-</v>
      </c>
      <c r="DV35" s="92"/>
      <c r="DW35" s="966"/>
      <c r="DX35" s="66"/>
      <c r="DY35" s="55"/>
      <c r="DZ35" s="876"/>
      <c r="EA35" s="890"/>
      <c r="EB35" s="890"/>
      <c r="EC35" s="891">
        <f t="shared" si="120"/>
        <v>0</v>
      </c>
      <c r="ED35" s="892" t="str">
        <f t="shared" si="121"/>
        <v>-</v>
      </c>
      <c r="EE35" s="92"/>
    </row>
    <row r="36">
      <c r="A36" s="33">
        <f>'Schedule | 3 Division (OLD)'!J38</f>
        <v>24</v>
      </c>
      <c r="B36" s="30" t="str">
        <f>'Schedule | 3 Division (OLD)'!E38</f>
        <v>BOGATYRI</v>
      </c>
      <c r="C36" s="906">
        <f>'Schedule | 3 Division (OLD)'!F38</f>
        <v>0</v>
      </c>
      <c r="D36" s="906">
        <f>'Schedule | 3 Division (OLD)'!H38</f>
        <v>0</v>
      </c>
      <c r="E36" s="30" t="str">
        <f>'Schedule | 3 Division (OLD)'!I38</f>
        <v>КОРМ 2</v>
      </c>
      <c r="F36" s="30" t="str">
        <f t="shared" si="36"/>
        <v/>
      </c>
      <c r="G36" s="433" t="str">
        <f t="shared" si="37"/>
        <v/>
      </c>
      <c r="H36" s="966"/>
      <c r="I36" s="966"/>
      <c r="J36" s="964"/>
      <c r="K36" s="66"/>
      <c r="L36" s="55"/>
      <c r="M36" s="876"/>
      <c r="N36" s="890"/>
      <c r="O36" s="890"/>
      <c r="P36" s="891">
        <f t="shared" si="94"/>
        <v>0</v>
      </c>
      <c r="Q36" s="892" t="str">
        <f t="shared" si="95"/>
        <v>-</v>
      </c>
      <c r="S36" s="965"/>
      <c r="T36" s="66"/>
      <c r="V36" s="876"/>
      <c r="W36" s="890"/>
      <c r="X36" s="890"/>
      <c r="Y36" s="891">
        <f t="shared" si="96"/>
        <v>0</v>
      </c>
      <c r="Z36" s="892" t="str">
        <f t="shared" si="97"/>
        <v>-</v>
      </c>
      <c r="AA36" s="92"/>
      <c r="AB36" s="964"/>
      <c r="AC36" s="66"/>
      <c r="AD36" s="55"/>
      <c r="AE36" s="876"/>
      <c r="AF36" s="890"/>
      <c r="AG36" s="890"/>
      <c r="AH36" s="891">
        <f t="shared" si="98"/>
        <v>0</v>
      </c>
      <c r="AI36" s="892" t="str">
        <f t="shared" si="99"/>
        <v>-</v>
      </c>
      <c r="AJ36" s="92"/>
      <c r="AK36" s="964"/>
      <c r="AL36" s="66"/>
      <c r="AM36" s="55"/>
      <c r="AN36" s="876"/>
      <c r="AO36" s="890"/>
      <c r="AP36" s="890"/>
      <c r="AQ36" s="891">
        <f t="shared" si="100"/>
        <v>0</v>
      </c>
      <c r="AR36" s="892" t="str">
        <f t="shared" si="101"/>
        <v>-</v>
      </c>
      <c r="AS36" s="92"/>
      <c r="AT36" s="966"/>
      <c r="AU36" s="66"/>
      <c r="AV36" s="55"/>
      <c r="AW36" s="876"/>
      <c r="AX36" s="890"/>
      <c r="AY36" s="890"/>
      <c r="AZ36" s="891">
        <f t="shared" si="102"/>
        <v>0</v>
      </c>
      <c r="BA36" s="892" t="str">
        <f t="shared" si="103"/>
        <v>-</v>
      </c>
      <c r="BB36" s="92"/>
      <c r="BC36" s="966"/>
      <c r="BD36" s="66"/>
      <c r="BE36" s="55"/>
      <c r="BF36" s="876"/>
      <c r="BG36" s="890"/>
      <c r="BH36" s="890"/>
      <c r="BI36" s="891">
        <f t="shared" si="104"/>
        <v>0</v>
      </c>
      <c r="BJ36" s="892" t="str">
        <f t="shared" si="105"/>
        <v>-</v>
      </c>
      <c r="BK36" s="92"/>
      <c r="BL36" s="966"/>
      <c r="BM36" s="66"/>
      <c r="BN36" s="55"/>
      <c r="BO36" s="876"/>
      <c r="BP36" s="890"/>
      <c r="BQ36" s="890"/>
      <c r="BR36" s="891">
        <f t="shared" si="106"/>
        <v>0</v>
      </c>
      <c r="BS36" s="892" t="str">
        <f t="shared" si="107"/>
        <v>-</v>
      </c>
      <c r="BT36" s="92"/>
      <c r="BU36" s="966"/>
      <c r="BV36" s="66"/>
      <c r="BX36" s="876"/>
      <c r="BY36" s="890"/>
      <c r="BZ36" s="890"/>
      <c r="CA36" s="891">
        <f t="shared" si="108"/>
        <v>0</v>
      </c>
      <c r="CB36" s="892" t="str">
        <f t="shared" si="109"/>
        <v>-</v>
      </c>
      <c r="CC36" s="92"/>
      <c r="CD36" s="966"/>
      <c r="CE36" s="66"/>
      <c r="CG36" s="876"/>
      <c r="CH36" s="890"/>
      <c r="CI36" s="890"/>
      <c r="CJ36" s="891">
        <f t="shared" si="110"/>
        <v>0</v>
      </c>
      <c r="CK36" s="892" t="str">
        <f t="shared" si="111"/>
        <v>-</v>
      </c>
      <c r="CL36" s="92"/>
      <c r="CM36" s="966"/>
      <c r="CN36" s="66"/>
      <c r="CP36" s="876"/>
      <c r="CQ36" s="890"/>
      <c r="CR36" s="890"/>
      <c r="CS36" s="891">
        <f t="shared" si="112"/>
        <v>0</v>
      </c>
      <c r="CT36" s="892" t="str">
        <f t="shared" si="113"/>
        <v>-</v>
      </c>
      <c r="CU36" s="92"/>
      <c r="CV36" s="966"/>
      <c r="CW36" s="66"/>
      <c r="CY36" s="876"/>
      <c r="CZ36" s="890"/>
      <c r="DA36" s="890"/>
      <c r="DB36" s="891">
        <f t="shared" si="114"/>
        <v>0</v>
      </c>
      <c r="DC36" s="892" t="str">
        <f t="shared" si="115"/>
        <v>-</v>
      </c>
      <c r="DD36" s="92"/>
      <c r="DE36" s="966"/>
      <c r="DF36" s="66"/>
      <c r="DH36" s="876"/>
      <c r="DI36" s="890"/>
      <c r="DJ36" s="890"/>
      <c r="DK36" s="891">
        <f t="shared" si="116"/>
        <v>0</v>
      </c>
      <c r="DL36" s="892" t="str">
        <f t="shared" si="117"/>
        <v>-</v>
      </c>
      <c r="DM36" s="92"/>
      <c r="DN36" s="966"/>
      <c r="DO36" s="66"/>
      <c r="DP36" s="55"/>
      <c r="DQ36" s="876"/>
      <c r="DR36" s="890"/>
      <c r="DS36" s="890"/>
      <c r="DT36" s="891">
        <f t="shared" si="118"/>
        <v>0</v>
      </c>
      <c r="DU36" s="892" t="str">
        <f t="shared" si="119"/>
        <v>-</v>
      </c>
      <c r="DV36" s="92"/>
      <c r="DW36" s="966"/>
      <c r="DX36" s="66"/>
      <c r="DY36" s="55"/>
      <c r="DZ36" s="876"/>
      <c r="EA36" s="890"/>
      <c r="EB36" s="890"/>
      <c r="EC36" s="891">
        <f t="shared" si="120"/>
        <v>0</v>
      </c>
      <c r="ED36" s="892" t="str">
        <f t="shared" si="121"/>
        <v>-</v>
      </c>
      <c r="EE36" s="92"/>
    </row>
    <row r="37">
      <c r="A37" s="33">
        <f>'Schedule | 3 Division (OLD)'!J41</f>
        <v>25</v>
      </c>
      <c r="B37" s="30" t="str">
        <f>'Schedule | 3 Division (OLD)'!E41</f>
        <v>ACHIEVERS</v>
      </c>
      <c r="C37" s="906">
        <f>'Schedule | 3 Division (OLD)'!F41</f>
        <v>0</v>
      </c>
      <c r="D37" s="906">
        <f>'Schedule | 3 Division (OLD)'!H41</f>
        <v>0</v>
      </c>
      <c r="E37" s="30" t="str">
        <f>'Schedule | 3 Division (OLD)'!I41</f>
        <v>SAPPIAMO</v>
      </c>
      <c r="F37" s="30" t="str">
        <f t="shared" si="36"/>
        <v/>
      </c>
      <c r="G37" s="433" t="str">
        <f t="shared" si="37"/>
        <v/>
      </c>
      <c r="H37" s="966"/>
      <c r="I37" s="966"/>
      <c r="J37" s="964"/>
      <c r="K37" s="66"/>
      <c r="L37" s="55"/>
      <c r="M37" s="876"/>
      <c r="N37" s="890"/>
      <c r="O37" s="890"/>
      <c r="P37" s="891">
        <f t="shared" si="94"/>
        <v>0</v>
      </c>
      <c r="Q37" s="892" t="str">
        <f t="shared" si="95"/>
        <v>-</v>
      </c>
      <c r="S37" s="965"/>
      <c r="T37" s="66"/>
      <c r="V37" s="876"/>
      <c r="W37" s="890"/>
      <c r="X37" s="890"/>
      <c r="Y37" s="891">
        <f t="shared" si="96"/>
        <v>0</v>
      </c>
      <c r="Z37" s="892" t="str">
        <f t="shared" si="97"/>
        <v>-</v>
      </c>
      <c r="AA37" s="92"/>
      <c r="AB37" s="964"/>
      <c r="AC37" s="66"/>
      <c r="AD37" s="55"/>
      <c r="AE37" s="876"/>
      <c r="AF37" s="890"/>
      <c r="AG37" s="890"/>
      <c r="AH37" s="891">
        <f t="shared" si="98"/>
        <v>0</v>
      </c>
      <c r="AI37" s="892" t="str">
        <f t="shared" si="99"/>
        <v>-</v>
      </c>
      <c r="AJ37" s="92"/>
      <c r="AK37" s="964"/>
      <c r="AL37" s="66"/>
      <c r="AM37" s="55"/>
      <c r="AN37" s="876"/>
      <c r="AO37" s="890"/>
      <c r="AP37" s="890"/>
      <c r="AQ37" s="891">
        <f t="shared" si="100"/>
        <v>0</v>
      </c>
      <c r="AR37" s="892" t="str">
        <f t="shared" si="101"/>
        <v>-</v>
      </c>
      <c r="AS37" s="92"/>
      <c r="AT37" s="966"/>
      <c r="AU37" s="66"/>
      <c r="AV37" s="55"/>
      <c r="AW37" s="876"/>
      <c r="AX37" s="890"/>
      <c r="AY37" s="890"/>
      <c r="AZ37" s="891">
        <f t="shared" si="102"/>
        <v>0</v>
      </c>
      <c r="BA37" s="892" t="str">
        <f t="shared" si="103"/>
        <v>-</v>
      </c>
      <c r="BB37" s="92"/>
      <c r="BC37" s="966"/>
      <c r="BD37" s="66"/>
      <c r="BE37" s="55"/>
      <c r="BF37" s="876"/>
      <c r="BG37" s="890"/>
      <c r="BH37" s="890"/>
      <c r="BI37" s="891">
        <f t="shared" si="104"/>
        <v>0</v>
      </c>
      <c r="BJ37" s="892" t="str">
        <f t="shared" si="105"/>
        <v>-</v>
      </c>
      <c r="BK37" s="92"/>
      <c r="BL37" s="966"/>
      <c r="BM37" s="66"/>
      <c r="BN37" s="55"/>
      <c r="BO37" s="876"/>
      <c r="BP37" s="890"/>
      <c r="BQ37" s="890"/>
      <c r="BR37" s="891">
        <f t="shared" si="106"/>
        <v>0</v>
      </c>
      <c r="BS37" s="892" t="str">
        <f t="shared" si="107"/>
        <v>-</v>
      </c>
      <c r="BT37" s="92"/>
      <c r="BU37" s="966"/>
      <c r="BV37" s="66"/>
      <c r="BX37" s="876"/>
      <c r="BY37" s="890"/>
      <c r="BZ37" s="890"/>
      <c r="CA37" s="891">
        <f t="shared" si="108"/>
        <v>0</v>
      </c>
      <c r="CB37" s="892" t="str">
        <f t="shared" si="109"/>
        <v>-</v>
      </c>
      <c r="CC37" s="92"/>
      <c r="CD37" s="966"/>
      <c r="CE37" s="66"/>
      <c r="CG37" s="876"/>
      <c r="CH37" s="890"/>
      <c r="CI37" s="890"/>
      <c r="CJ37" s="891">
        <f t="shared" si="110"/>
        <v>0</v>
      </c>
      <c r="CK37" s="892" t="str">
        <f t="shared" si="111"/>
        <v>-</v>
      </c>
      <c r="CL37" s="92"/>
      <c r="CM37" s="966"/>
      <c r="CN37" s="66"/>
      <c r="CP37" s="876"/>
      <c r="CQ37" s="890"/>
      <c r="CR37" s="890"/>
      <c r="CS37" s="891">
        <f t="shared" si="112"/>
        <v>0</v>
      </c>
      <c r="CT37" s="892" t="str">
        <f t="shared" si="113"/>
        <v>-</v>
      </c>
      <c r="CU37" s="92"/>
      <c r="CV37" s="966"/>
      <c r="CW37" s="66"/>
      <c r="CY37" s="876"/>
      <c r="CZ37" s="890"/>
      <c r="DA37" s="890"/>
      <c r="DB37" s="891">
        <f t="shared" si="114"/>
        <v>0</v>
      </c>
      <c r="DC37" s="892" t="str">
        <f t="shared" si="115"/>
        <v>-</v>
      </c>
      <c r="DD37" s="92"/>
      <c r="DE37" s="966"/>
      <c r="DF37" s="66"/>
      <c r="DH37" s="876"/>
      <c r="DI37" s="890"/>
      <c r="DJ37" s="890"/>
      <c r="DK37" s="891">
        <f t="shared" si="116"/>
        <v>0</v>
      </c>
      <c r="DL37" s="892" t="str">
        <f t="shared" si="117"/>
        <v>-</v>
      </c>
      <c r="DM37" s="92"/>
      <c r="DN37" s="966"/>
      <c r="DO37" s="66"/>
      <c r="DP37" s="55"/>
      <c r="DQ37" s="876"/>
      <c r="DR37" s="890"/>
      <c r="DS37" s="890"/>
      <c r="DT37" s="891">
        <f t="shared" si="118"/>
        <v>0</v>
      </c>
      <c r="DU37" s="892" t="str">
        <f t="shared" si="119"/>
        <v>-</v>
      </c>
      <c r="DV37" s="92"/>
      <c r="DW37" s="966"/>
      <c r="DX37" s="66"/>
      <c r="DY37" s="55"/>
      <c r="DZ37" s="876"/>
      <c r="EA37" s="890"/>
      <c r="EB37" s="890"/>
      <c r="EC37" s="891">
        <f t="shared" si="120"/>
        <v>0</v>
      </c>
      <c r="ED37" s="892" t="str">
        <f t="shared" si="121"/>
        <v>-</v>
      </c>
      <c r="EE37" s="92"/>
    </row>
    <row r="38">
      <c r="A38" s="33">
        <f>'Schedule | 3 Division (OLD)'!J42</f>
        <v>26</v>
      </c>
      <c r="B38" s="30" t="str">
        <f>'Schedule | 3 Division (OLD)'!E42</f>
        <v>RISE</v>
      </c>
      <c r="C38" s="906">
        <f>'Schedule | 3 Division (OLD)'!F42</f>
        <v>0</v>
      </c>
      <c r="D38" s="906">
        <f>'Schedule | 3 Division (OLD)'!H42</f>
        <v>0</v>
      </c>
      <c r="E38" s="30" t="str">
        <f>'Schedule | 3 Division (OLD)'!I42</f>
        <v>BOGATYRI</v>
      </c>
      <c r="F38" s="30" t="str">
        <f t="shared" si="36"/>
        <v/>
      </c>
      <c r="G38" s="433" t="str">
        <f t="shared" si="37"/>
        <v/>
      </c>
      <c r="H38" s="966"/>
      <c r="I38" s="966"/>
      <c r="J38" s="964"/>
      <c r="K38" s="66"/>
      <c r="L38" s="55"/>
      <c r="M38" s="876"/>
      <c r="N38" s="890"/>
      <c r="O38" s="890"/>
      <c r="P38" s="891">
        <f t="shared" si="94"/>
        <v>0</v>
      </c>
      <c r="Q38" s="892" t="str">
        <f t="shared" si="95"/>
        <v>-</v>
      </c>
      <c r="S38" s="965"/>
      <c r="T38" s="66"/>
      <c r="V38" s="876"/>
      <c r="W38" s="890"/>
      <c r="X38" s="890"/>
      <c r="Y38" s="891">
        <f t="shared" si="96"/>
        <v>0</v>
      </c>
      <c r="Z38" s="892" t="str">
        <f t="shared" si="97"/>
        <v>-</v>
      </c>
      <c r="AA38" s="92"/>
      <c r="AB38" s="964"/>
      <c r="AC38" s="66"/>
      <c r="AD38" s="55"/>
      <c r="AE38" s="876"/>
      <c r="AF38" s="890"/>
      <c r="AG38" s="890"/>
      <c r="AH38" s="891">
        <f t="shared" si="98"/>
        <v>0</v>
      </c>
      <c r="AI38" s="892" t="str">
        <f t="shared" si="99"/>
        <v>-</v>
      </c>
      <c r="AJ38" s="92"/>
      <c r="AK38" s="964"/>
      <c r="AL38" s="66"/>
      <c r="AM38" s="55"/>
      <c r="AN38" s="876"/>
      <c r="AO38" s="890"/>
      <c r="AP38" s="890"/>
      <c r="AQ38" s="891">
        <f t="shared" si="100"/>
        <v>0</v>
      </c>
      <c r="AR38" s="892" t="str">
        <f t="shared" si="101"/>
        <v>-</v>
      </c>
      <c r="AS38" s="92"/>
      <c r="AT38" s="966"/>
      <c r="AU38" s="66"/>
      <c r="AV38" s="55"/>
      <c r="AW38" s="876"/>
      <c r="AX38" s="890"/>
      <c r="AY38" s="890"/>
      <c r="AZ38" s="891">
        <f t="shared" si="102"/>
        <v>0</v>
      </c>
      <c r="BA38" s="892" t="str">
        <f t="shared" si="103"/>
        <v>-</v>
      </c>
      <c r="BB38" s="92"/>
      <c r="BC38" s="966"/>
      <c r="BD38" s="66"/>
      <c r="BE38" s="55"/>
      <c r="BF38" s="876"/>
      <c r="BG38" s="890"/>
      <c r="BH38" s="890"/>
      <c r="BI38" s="891">
        <f t="shared" si="104"/>
        <v>0</v>
      </c>
      <c r="BJ38" s="892" t="str">
        <f t="shared" si="105"/>
        <v>-</v>
      </c>
      <c r="BK38" s="92"/>
      <c r="BL38" s="966"/>
      <c r="BM38" s="66"/>
      <c r="BN38" s="55"/>
      <c r="BO38" s="876"/>
      <c r="BP38" s="890"/>
      <c r="BQ38" s="890"/>
      <c r="BR38" s="891">
        <f t="shared" si="106"/>
        <v>0</v>
      </c>
      <c r="BS38" s="892" t="str">
        <f t="shared" si="107"/>
        <v>-</v>
      </c>
      <c r="BT38" s="92"/>
      <c r="BU38" s="966"/>
      <c r="BV38" s="66"/>
      <c r="BX38" s="876"/>
      <c r="BY38" s="890"/>
      <c r="BZ38" s="890"/>
      <c r="CA38" s="891">
        <f t="shared" si="108"/>
        <v>0</v>
      </c>
      <c r="CB38" s="892" t="str">
        <f t="shared" si="109"/>
        <v>-</v>
      </c>
      <c r="CC38" s="92"/>
      <c r="CD38" s="966"/>
      <c r="CE38" s="66"/>
      <c r="CG38" s="876"/>
      <c r="CH38" s="890"/>
      <c r="CI38" s="890"/>
      <c r="CJ38" s="891">
        <f t="shared" si="110"/>
        <v>0</v>
      </c>
      <c r="CK38" s="892" t="str">
        <f t="shared" si="111"/>
        <v>-</v>
      </c>
      <c r="CL38" s="92"/>
      <c r="CM38" s="966"/>
      <c r="CN38" s="66"/>
      <c r="CP38" s="876"/>
      <c r="CQ38" s="890"/>
      <c r="CR38" s="890"/>
      <c r="CS38" s="891">
        <f t="shared" si="112"/>
        <v>0</v>
      </c>
      <c r="CT38" s="892" t="str">
        <f t="shared" si="113"/>
        <v>-</v>
      </c>
      <c r="CU38" s="92"/>
      <c r="CV38" s="966"/>
      <c r="CW38" s="66"/>
      <c r="CY38" s="876"/>
      <c r="CZ38" s="890"/>
      <c r="DA38" s="890"/>
      <c r="DB38" s="891">
        <f t="shared" si="114"/>
        <v>0</v>
      </c>
      <c r="DC38" s="892" t="str">
        <f t="shared" si="115"/>
        <v>-</v>
      </c>
      <c r="DD38" s="92"/>
      <c r="DE38" s="966"/>
      <c r="DF38" s="66"/>
      <c r="DH38" s="876"/>
      <c r="DI38" s="890"/>
      <c r="DJ38" s="890"/>
      <c r="DK38" s="891">
        <f t="shared" si="116"/>
        <v>0</v>
      </c>
      <c r="DL38" s="892" t="str">
        <f t="shared" si="117"/>
        <v>-</v>
      </c>
      <c r="DM38" s="92"/>
      <c r="DN38" s="966"/>
      <c r="DO38" s="66"/>
      <c r="DP38" s="55"/>
      <c r="DQ38" s="876"/>
      <c r="DR38" s="890"/>
      <c r="DS38" s="890"/>
      <c r="DT38" s="891">
        <f t="shared" si="118"/>
        <v>0</v>
      </c>
      <c r="DU38" s="892" t="str">
        <f t="shared" si="119"/>
        <v>-</v>
      </c>
      <c r="DV38" s="92"/>
      <c r="DW38" s="966"/>
      <c r="DX38" s="66"/>
      <c r="DY38" s="55"/>
      <c r="DZ38" s="876"/>
      <c r="EA38" s="890"/>
      <c r="EB38" s="890"/>
      <c r="EC38" s="891">
        <f t="shared" si="120"/>
        <v>0</v>
      </c>
      <c r="ED38" s="892" t="str">
        <f t="shared" si="121"/>
        <v>-</v>
      </c>
      <c r="EE38" s="92"/>
    </row>
    <row r="39">
      <c r="A39" s="33">
        <f>'Schedule | 3 Division (OLD)'!J43</f>
        <v>27</v>
      </c>
      <c r="B39" s="30" t="str">
        <f>'Schedule | 3 Division (OLD)'!E43</f>
        <v>КОРМ 2</v>
      </c>
      <c r="C39" s="906">
        <f>'Schedule | 3 Division (OLD)'!F43</f>
        <v>0</v>
      </c>
      <c r="D39" s="906">
        <f>'Schedule | 3 Division (OLD)'!H43</f>
        <v>0</v>
      </c>
      <c r="E39" s="30" t="str">
        <f>'Schedule | 3 Division (OLD)'!I43</f>
        <v>ALTF4</v>
      </c>
      <c r="F39" s="30" t="str">
        <f t="shared" si="36"/>
        <v/>
      </c>
      <c r="G39" s="433" t="str">
        <f t="shared" si="37"/>
        <v/>
      </c>
      <c r="H39" s="966"/>
      <c r="I39" s="966"/>
      <c r="J39" s="964"/>
      <c r="K39" s="66"/>
      <c r="L39" s="55"/>
      <c r="M39" s="893"/>
      <c r="N39" s="894"/>
      <c r="O39" s="894"/>
      <c r="P39" s="895">
        <f t="shared" si="94"/>
        <v>0</v>
      </c>
      <c r="Q39" s="896" t="str">
        <f t="shared" si="95"/>
        <v>-</v>
      </c>
      <c r="S39" s="965"/>
      <c r="T39" s="66"/>
      <c r="V39" s="893"/>
      <c r="W39" s="894"/>
      <c r="X39" s="894"/>
      <c r="Y39" s="895">
        <f t="shared" si="96"/>
        <v>0</v>
      </c>
      <c r="Z39" s="896" t="str">
        <f t="shared" si="97"/>
        <v>-</v>
      </c>
      <c r="AA39" s="92"/>
      <c r="AB39" s="964"/>
      <c r="AC39" s="66"/>
      <c r="AD39" s="55"/>
      <c r="AE39" s="893"/>
      <c r="AF39" s="894"/>
      <c r="AG39" s="894"/>
      <c r="AH39" s="895">
        <f t="shared" si="98"/>
        <v>0</v>
      </c>
      <c r="AI39" s="896" t="str">
        <f t="shared" si="99"/>
        <v>-</v>
      </c>
      <c r="AJ39" s="92"/>
      <c r="AK39" s="964"/>
      <c r="AL39" s="66"/>
      <c r="AM39" s="55"/>
      <c r="AN39" s="893"/>
      <c r="AO39" s="894"/>
      <c r="AP39" s="894"/>
      <c r="AQ39" s="895">
        <f t="shared" si="100"/>
        <v>0</v>
      </c>
      <c r="AR39" s="896" t="str">
        <f t="shared" si="101"/>
        <v>-</v>
      </c>
      <c r="AS39" s="92"/>
      <c r="AT39" s="966"/>
      <c r="AU39" s="66"/>
      <c r="AV39" s="55"/>
      <c r="AW39" s="893"/>
      <c r="AX39" s="894"/>
      <c r="AY39" s="894"/>
      <c r="AZ39" s="895">
        <f t="shared" si="102"/>
        <v>0</v>
      </c>
      <c r="BA39" s="896" t="str">
        <f t="shared" si="103"/>
        <v>-</v>
      </c>
      <c r="BB39" s="92"/>
      <c r="BC39" s="966"/>
      <c r="BD39" s="66"/>
      <c r="BE39" s="55"/>
      <c r="BF39" s="893"/>
      <c r="BG39" s="894"/>
      <c r="BH39" s="894"/>
      <c r="BI39" s="895">
        <f t="shared" si="104"/>
        <v>0</v>
      </c>
      <c r="BJ39" s="896" t="str">
        <f t="shared" si="105"/>
        <v>-</v>
      </c>
      <c r="BK39" s="92"/>
      <c r="BL39" s="966"/>
      <c r="BM39" s="66"/>
      <c r="BN39" s="55"/>
      <c r="BO39" s="893"/>
      <c r="BP39" s="894"/>
      <c r="BQ39" s="894"/>
      <c r="BR39" s="895">
        <f t="shared" si="106"/>
        <v>0</v>
      </c>
      <c r="BS39" s="896" t="str">
        <f t="shared" si="107"/>
        <v>-</v>
      </c>
      <c r="BT39" s="92"/>
      <c r="BU39" s="966"/>
      <c r="BV39" s="66"/>
      <c r="BX39" s="893"/>
      <c r="BY39" s="894"/>
      <c r="BZ39" s="894"/>
      <c r="CA39" s="895">
        <f t="shared" si="108"/>
        <v>0</v>
      </c>
      <c r="CB39" s="896" t="str">
        <f t="shared" si="109"/>
        <v>-</v>
      </c>
      <c r="CC39" s="92"/>
      <c r="CD39" s="966"/>
      <c r="CE39" s="66"/>
      <c r="CG39" s="893"/>
      <c r="CH39" s="894"/>
      <c r="CI39" s="894"/>
      <c r="CJ39" s="895">
        <f t="shared" si="110"/>
        <v>0</v>
      </c>
      <c r="CK39" s="896" t="str">
        <f t="shared" si="111"/>
        <v>-</v>
      </c>
      <c r="CL39" s="92"/>
      <c r="CM39" s="966"/>
      <c r="CN39" s="66"/>
      <c r="CP39" s="893"/>
      <c r="CQ39" s="894"/>
      <c r="CR39" s="894"/>
      <c r="CS39" s="895">
        <f t="shared" si="112"/>
        <v>0</v>
      </c>
      <c r="CT39" s="896" t="str">
        <f t="shared" si="113"/>
        <v>-</v>
      </c>
      <c r="CU39" s="92"/>
      <c r="CV39" s="966"/>
      <c r="CW39" s="66"/>
      <c r="CY39" s="893"/>
      <c r="CZ39" s="894"/>
      <c r="DA39" s="894"/>
      <c r="DB39" s="895">
        <f t="shared" si="114"/>
        <v>0</v>
      </c>
      <c r="DC39" s="896" t="str">
        <f t="shared" si="115"/>
        <v>-</v>
      </c>
      <c r="DD39" s="92"/>
      <c r="DE39" s="966"/>
      <c r="DF39" s="66"/>
      <c r="DH39" s="893"/>
      <c r="DI39" s="894"/>
      <c r="DJ39" s="894"/>
      <c r="DK39" s="895">
        <f t="shared" si="116"/>
        <v>0</v>
      </c>
      <c r="DL39" s="896" t="str">
        <f t="shared" si="117"/>
        <v>-</v>
      </c>
      <c r="DM39" s="92"/>
      <c r="DN39" s="966"/>
      <c r="DO39" s="66"/>
      <c r="DP39" s="55"/>
      <c r="DQ39" s="893"/>
      <c r="DR39" s="894"/>
      <c r="DS39" s="894"/>
      <c r="DT39" s="895">
        <f t="shared" si="118"/>
        <v>0</v>
      </c>
      <c r="DU39" s="896" t="str">
        <f t="shared" si="119"/>
        <v>-</v>
      </c>
      <c r="DV39" s="92"/>
      <c r="DW39" s="966"/>
      <c r="DX39" s="66"/>
      <c r="DY39" s="55"/>
      <c r="DZ39" s="893"/>
      <c r="EA39" s="894"/>
      <c r="EB39" s="894"/>
      <c r="EC39" s="895">
        <f t="shared" si="120"/>
        <v>0</v>
      </c>
      <c r="ED39" s="896" t="str">
        <f t="shared" si="121"/>
        <v>-</v>
      </c>
      <c r="EE39" s="92"/>
    </row>
    <row r="40">
      <c r="A40" s="33">
        <f>'Schedule | 3 Division (OLD)'!J44</f>
        <v>28</v>
      </c>
      <c r="B40" s="30" t="str">
        <f>'Schedule | 3 Division (OLD)'!E44</f>
        <v>DEACUERDO</v>
      </c>
      <c r="C40" s="906">
        <f>'Schedule | 3 Division (OLD)'!F44</f>
        <v>0</v>
      </c>
      <c r="D40" s="906">
        <f>'Schedule | 3 Division (OLD)'!H44</f>
        <v>0</v>
      </c>
      <c r="E40" s="30" t="str">
        <f>'Schedule | 3 Division (OLD)'!I44</f>
        <v>HEAX</v>
      </c>
      <c r="F40" s="30" t="str">
        <f t="shared" si="36"/>
        <v/>
      </c>
      <c r="G40" s="433" t="str">
        <f t="shared" si="37"/>
        <v/>
      </c>
      <c r="H40" s="966"/>
      <c r="I40" s="966"/>
      <c r="J40" s="964"/>
      <c r="K40" s="94"/>
      <c r="L40" s="61"/>
      <c r="M40" s="898">
        <f>COUNTIF(N33:N39, "W")</f>
        <v>0</v>
      </c>
      <c r="N40" s="144"/>
      <c r="O40" s="894" t="s">
        <v>816</v>
      </c>
      <c r="P40" s="899">
        <f>COUNTIF(P33:P39, "W")</f>
        <v>0</v>
      </c>
      <c r="Q40" s="93"/>
      <c r="R40" s="22"/>
      <c r="S40" s="965"/>
      <c r="T40" s="94"/>
      <c r="U40" s="22"/>
      <c r="V40" s="898">
        <f>COUNTIF(W33:W39, "W")</f>
        <v>0</v>
      </c>
      <c r="W40" s="144"/>
      <c r="X40" s="894" t="s">
        <v>816</v>
      </c>
      <c r="Y40" s="899">
        <f>COUNTIF(Y33:Y39, "W")</f>
        <v>0</v>
      </c>
      <c r="Z40" s="93"/>
      <c r="AA40" s="93"/>
      <c r="AB40" s="964"/>
      <c r="AC40" s="94"/>
      <c r="AD40" s="61"/>
      <c r="AE40" s="898">
        <f>COUNTIF(AF33:AF39, "W")</f>
        <v>0</v>
      </c>
      <c r="AF40" s="144"/>
      <c r="AG40" s="894" t="s">
        <v>816</v>
      </c>
      <c r="AH40" s="899">
        <f>COUNTIF(AH33:AH39, "W")</f>
        <v>0</v>
      </c>
      <c r="AI40" s="93"/>
      <c r="AJ40" s="93"/>
      <c r="AK40" s="964"/>
      <c r="AL40" s="94"/>
      <c r="AM40" s="61"/>
      <c r="AN40" s="898">
        <f>COUNTIF(AO33:AO39, "W")</f>
        <v>0</v>
      </c>
      <c r="AO40" s="144"/>
      <c r="AP40" s="894" t="s">
        <v>816</v>
      </c>
      <c r="AQ40" s="899">
        <f>COUNTIF(AQ33:AQ39, "W")</f>
        <v>0</v>
      </c>
      <c r="AR40" s="93"/>
      <c r="AS40" s="93"/>
      <c r="AT40" s="966"/>
      <c r="AU40" s="94"/>
      <c r="AV40" s="61"/>
      <c r="AW40" s="898">
        <f>COUNTIF(AX33:AX39, "W")</f>
        <v>0</v>
      </c>
      <c r="AX40" s="144"/>
      <c r="AY40" s="894" t="s">
        <v>816</v>
      </c>
      <c r="AZ40" s="899">
        <f>COUNTIF(AZ33:AZ39, "W")</f>
        <v>0</v>
      </c>
      <c r="BA40" s="93"/>
      <c r="BB40" s="93"/>
      <c r="BC40" s="966"/>
      <c r="BD40" s="94"/>
      <c r="BE40" s="61"/>
      <c r="BF40" s="898">
        <f>COUNTIF(BG33:BG39, "W")</f>
        <v>0</v>
      </c>
      <c r="BG40" s="144"/>
      <c r="BH40" s="894" t="s">
        <v>816</v>
      </c>
      <c r="BI40" s="899">
        <f>COUNTIF(BI33:BI39, "W")</f>
        <v>0</v>
      </c>
      <c r="BJ40" s="93"/>
      <c r="BK40" s="93"/>
      <c r="BL40" s="966"/>
      <c r="BM40" s="94"/>
      <c r="BN40" s="61"/>
      <c r="BO40" s="898">
        <f>COUNTIF(BP33:BP39, "W")</f>
        <v>0</v>
      </c>
      <c r="BP40" s="144"/>
      <c r="BQ40" s="894" t="s">
        <v>816</v>
      </c>
      <c r="BR40" s="899">
        <f>COUNTIF(BR33:BR39, "W")</f>
        <v>0</v>
      </c>
      <c r="BS40" s="93"/>
      <c r="BT40" s="93"/>
      <c r="BU40" s="966"/>
      <c r="BV40" s="94"/>
      <c r="BW40" s="22"/>
      <c r="BX40" s="898">
        <f>COUNTIF(BY33:BY39, "W")</f>
        <v>0</v>
      </c>
      <c r="BY40" s="144"/>
      <c r="BZ40" s="894" t="s">
        <v>816</v>
      </c>
      <c r="CA40" s="899">
        <f>COUNTIF(CA33:CA39, "W")</f>
        <v>0</v>
      </c>
      <c r="CB40" s="93"/>
      <c r="CC40" s="93"/>
      <c r="CD40" s="966"/>
      <c r="CE40" s="94"/>
      <c r="CF40" s="22"/>
      <c r="CG40" s="898">
        <f>COUNTIF(CH33:CH39, "W")</f>
        <v>0</v>
      </c>
      <c r="CH40" s="144"/>
      <c r="CI40" s="894" t="s">
        <v>816</v>
      </c>
      <c r="CJ40" s="899">
        <f>COUNTIF(CJ33:CJ39, "W")</f>
        <v>0</v>
      </c>
      <c r="CK40" s="93"/>
      <c r="CL40" s="93"/>
      <c r="CM40" s="966"/>
      <c r="CN40" s="94"/>
      <c r="CO40" s="22"/>
      <c r="CP40" s="898">
        <f>COUNTIF(CQ33:CQ39, "W")</f>
        <v>0</v>
      </c>
      <c r="CQ40" s="144"/>
      <c r="CR40" s="894" t="s">
        <v>816</v>
      </c>
      <c r="CS40" s="899">
        <f>COUNTIF(CS33:CS39, "W")</f>
        <v>0</v>
      </c>
      <c r="CT40" s="93"/>
      <c r="CU40" s="93"/>
      <c r="CV40" s="966"/>
      <c r="CW40" s="94"/>
      <c r="CX40" s="22"/>
      <c r="CY40" s="898">
        <f>COUNTIF(CZ33:CZ39, "W")</f>
        <v>0</v>
      </c>
      <c r="CZ40" s="144"/>
      <c r="DA40" s="894" t="s">
        <v>816</v>
      </c>
      <c r="DB40" s="899">
        <f>COUNTIF(DB33:DB39, "W")</f>
        <v>0</v>
      </c>
      <c r="DC40" s="93"/>
      <c r="DD40" s="93"/>
      <c r="DE40" s="966"/>
      <c r="DF40" s="94"/>
      <c r="DG40" s="22"/>
      <c r="DH40" s="898">
        <f>COUNTIF(DI33:DI39, "W")</f>
        <v>0</v>
      </c>
      <c r="DI40" s="144"/>
      <c r="DJ40" s="894" t="s">
        <v>816</v>
      </c>
      <c r="DK40" s="899">
        <f>COUNTIF(DK33:DK39, "W")</f>
        <v>0</v>
      </c>
      <c r="DL40" s="93"/>
      <c r="DM40" s="93"/>
      <c r="DN40" s="966"/>
      <c r="DO40" s="94"/>
      <c r="DP40" s="61"/>
      <c r="DQ40" s="898">
        <f>COUNTIF(DR33:DR39, "W")</f>
        <v>0</v>
      </c>
      <c r="DR40" s="144"/>
      <c r="DS40" s="894" t="s">
        <v>816</v>
      </c>
      <c r="DT40" s="899">
        <f>COUNTIF(DT33:DT39, "W")</f>
        <v>0</v>
      </c>
      <c r="DU40" s="93"/>
      <c r="DV40" s="93"/>
      <c r="DW40" s="966"/>
      <c r="DX40" s="94"/>
      <c r="DY40" s="61"/>
      <c r="DZ40" s="898">
        <f>COUNTIF(EA33:EA39, "W")</f>
        <v>0</v>
      </c>
      <c r="EA40" s="144"/>
      <c r="EB40" s="894" t="s">
        <v>816</v>
      </c>
      <c r="EC40" s="899">
        <f>COUNTIF(EC33:EC39, "W")</f>
        <v>0</v>
      </c>
      <c r="ED40" s="93"/>
      <c r="EE40" s="93"/>
    </row>
    <row r="41">
      <c r="A41" s="33">
        <f>'Schedule | 3 Division (OLD)'!P5</f>
        <v>29</v>
      </c>
      <c r="B41" s="30" t="str">
        <f>'Schedule | 3 Division (OLD)'!K5</f>
        <v>SAPPIAMO</v>
      </c>
      <c r="C41" s="906">
        <f>'Schedule | 3 Division (OLD)'!L5</f>
        <v>0</v>
      </c>
      <c r="D41" s="906">
        <f>'Schedule | 3 Division (OLD)'!N5</f>
        <v>0</v>
      </c>
      <c r="E41" s="30" t="str">
        <f>'Schedule | 3 Division (OLD)'!O5</f>
        <v>RISE</v>
      </c>
      <c r="F41" s="30" t="str">
        <f t="shared" si="36"/>
        <v/>
      </c>
      <c r="G41" s="433" t="str">
        <f t="shared" si="37"/>
        <v/>
      </c>
      <c r="H41" s="966"/>
      <c r="I41" s="966"/>
      <c r="J41" s="964"/>
      <c r="K41" s="964"/>
      <c r="L41" s="966"/>
      <c r="M41" s="966"/>
      <c r="N41" s="966"/>
      <c r="O41" s="964"/>
      <c r="P41" s="966"/>
      <c r="Q41" s="966"/>
      <c r="R41" s="966"/>
      <c r="S41" s="964"/>
      <c r="T41" s="964"/>
      <c r="U41" s="964"/>
      <c r="V41" s="966"/>
      <c r="W41" s="966"/>
      <c r="X41" s="964"/>
      <c r="Y41" s="966"/>
      <c r="Z41" s="966"/>
      <c r="AA41" s="966"/>
      <c r="AB41" s="964"/>
      <c r="AC41" s="964"/>
      <c r="AD41" s="966"/>
      <c r="AE41" s="966"/>
      <c r="AF41" s="966"/>
      <c r="AG41" s="964"/>
      <c r="AH41" s="966"/>
      <c r="AI41" s="966"/>
      <c r="AJ41" s="966"/>
      <c r="AK41" s="964"/>
      <c r="AL41" s="964"/>
      <c r="AM41" s="972"/>
      <c r="AN41" s="966"/>
      <c r="AO41" s="966"/>
      <c r="AP41" s="964"/>
      <c r="AQ41" s="966"/>
      <c r="AR41" s="966"/>
      <c r="AS41" s="964"/>
      <c r="AT41" s="966"/>
      <c r="AU41" s="964"/>
      <c r="AV41" s="966"/>
      <c r="AW41" s="966"/>
      <c r="AX41" s="966"/>
      <c r="AY41" s="964"/>
      <c r="AZ41" s="966"/>
      <c r="BA41" s="966"/>
      <c r="BB41" s="966"/>
      <c r="BC41" s="966"/>
      <c r="BD41" s="964"/>
      <c r="BE41" s="966"/>
      <c r="BF41" s="966"/>
      <c r="BG41" s="966"/>
      <c r="BH41" s="964"/>
      <c r="BI41" s="966"/>
      <c r="BJ41" s="966"/>
      <c r="BK41" s="964"/>
      <c r="BL41" s="966"/>
      <c r="BM41" s="964"/>
      <c r="BN41" s="966"/>
      <c r="BO41" s="966"/>
      <c r="BP41" s="966"/>
      <c r="BQ41" s="964"/>
      <c r="BR41" s="966"/>
      <c r="BS41" s="966"/>
      <c r="BT41" s="966"/>
      <c r="BU41" s="966"/>
      <c r="BV41" s="964"/>
      <c r="BW41" s="966"/>
      <c r="BX41" s="966"/>
      <c r="BY41" s="966"/>
      <c r="BZ41" s="964"/>
      <c r="CA41" s="966"/>
      <c r="CB41" s="966"/>
      <c r="CC41" s="966"/>
      <c r="CD41" s="966"/>
      <c r="CE41" s="964"/>
      <c r="CF41" s="966"/>
      <c r="CG41" s="966"/>
      <c r="CH41" s="966"/>
      <c r="CI41" s="964"/>
      <c r="CJ41" s="966"/>
      <c r="CK41" s="966"/>
      <c r="CL41" s="966"/>
      <c r="CM41" s="966"/>
      <c r="CN41" s="964"/>
      <c r="CO41" s="966"/>
      <c r="CP41" s="966"/>
      <c r="CQ41" s="966"/>
      <c r="CR41" s="964"/>
      <c r="CS41" s="966"/>
      <c r="CT41" s="966"/>
      <c r="CU41" s="966"/>
      <c r="CV41" s="966"/>
      <c r="CW41" s="964"/>
      <c r="CX41" s="972"/>
      <c r="CY41" s="966"/>
      <c r="CZ41" s="966"/>
      <c r="DA41" s="964"/>
      <c r="DB41" s="966"/>
      <c r="DC41" s="966"/>
      <c r="DD41" s="966"/>
      <c r="DE41" s="966"/>
      <c r="DF41" s="964"/>
      <c r="DG41" s="966"/>
      <c r="DH41" s="966"/>
      <c r="DI41" s="966"/>
      <c r="DJ41" s="964"/>
      <c r="DK41" s="966"/>
      <c r="DL41" s="966"/>
      <c r="DM41" s="964"/>
      <c r="DN41" s="966"/>
      <c r="DO41" s="964"/>
      <c r="DP41" s="966"/>
      <c r="DQ41" s="966"/>
      <c r="DR41" s="966"/>
      <c r="DS41" s="964"/>
      <c r="DT41" s="966"/>
      <c r="DU41" s="966"/>
      <c r="DV41" s="966"/>
      <c r="DW41" s="966"/>
      <c r="DX41" s="964"/>
      <c r="DY41" s="966"/>
      <c r="DZ41" s="966"/>
      <c r="EA41" s="966"/>
      <c r="EB41" s="964"/>
      <c r="EC41" s="966"/>
      <c r="ED41" s="966"/>
      <c r="EE41" s="964"/>
    </row>
    <row r="42">
      <c r="A42" s="33">
        <f>'Schedule | 3 Division (OLD)'!P6</f>
        <v>30</v>
      </c>
      <c r="B42" s="30" t="str">
        <f>'Schedule | 3 Division (OLD)'!K6</f>
        <v>ACHIEVERS</v>
      </c>
      <c r="C42" s="906">
        <f>'Schedule | 3 Division (OLD)'!L6</f>
        <v>0</v>
      </c>
      <c r="D42" s="906">
        <f>'Schedule | 3 Division (OLD)'!N6</f>
        <v>0</v>
      </c>
      <c r="E42" s="30" t="str">
        <f>'Schedule | 3 Division (OLD)'!O6</f>
        <v>BOGATYRI</v>
      </c>
      <c r="F42" s="30" t="str">
        <f t="shared" si="36"/>
        <v/>
      </c>
      <c r="G42" s="433" t="str">
        <f t="shared" si="37"/>
        <v/>
      </c>
      <c r="H42" s="966"/>
      <c r="I42" s="966"/>
      <c r="J42" s="964"/>
      <c r="K42" s="964"/>
      <c r="L42" s="966"/>
      <c r="M42" s="966"/>
      <c r="N42" s="966"/>
      <c r="O42" s="964"/>
      <c r="P42" s="966"/>
      <c r="Q42" s="966"/>
      <c r="R42" s="966"/>
      <c r="S42" s="964"/>
      <c r="T42" s="964"/>
      <c r="U42" s="964"/>
      <c r="V42" s="966"/>
      <c r="W42" s="966"/>
      <c r="X42" s="964"/>
      <c r="Y42" s="966"/>
      <c r="Z42" s="966"/>
      <c r="AA42" s="966"/>
      <c r="AB42" s="964"/>
      <c r="AC42" s="964"/>
      <c r="AD42" s="966"/>
      <c r="AE42" s="966"/>
      <c r="AF42" s="966"/>
      <c r="AG42" s="964"/>
      <c r="AH42" s="966"/>
      <c r="AI42" s="966"/>
      <c r="AJ42" s="966"/>
      <c r="AK42" s="964"/>
      <c r="AL42" s="964"/>
      <c r="AM42" s="972"/>
      <c r="AN42" s="966"/>
      <c r="AO42" s="966"/>
      <c r="AP42" s="964"/>
      <c r="AQ42" s="966"/>
      <c r="AR42" s="966"/>
      <c r="AS42" s="964"/>
      <c r="AT42" s="966"/>
      <c r="AU42" s="964"/>
      <c r="AV42" s="966"/>
      <c r="AW42" s="966"/>
      <c r="AX42" s="966"/>
      <c r="AY42" s="964"/>
      <c r="AZ42" s="966"/>
      <c r="BA42" s="966"/>
      <c r="BB42" s="966"/>
      <c r="BC42" s="966"/>
      <c r="BD42" s="964"/>
      <c r="BE42" s="966"/>
      <c r="BF42" s="966"/>
      <c r="BG42" s="966"/>
      <c r="BH42" s="964"/>
      <c r="BI42" s="966"/>
      <c r="BJ42" s="966"/>
      <c r="BK42" s="964"/>
      <c r="BL42" s="966"/>
      <c r="BM42" s="964"/>
      <c r="BN42" s="966"/>
      <c r="BO42" s="966"/>
      <c r="BP42" s="966"/>
      <c r="BQ42" s="964"/>
      <c r="BR42" s="966"/>
      <c r="BS42" s="966"/>
      <c r="BT42" s="966"/>
      <c r="BU42" s="966"/>
      <c r="BV42" s="964"/>
      <c r="BW42" s="966"/>
      <c r="BX42" s="966"/>
      <c r="BY42" s="966"/>
      <c r="BZ42" s="964"/>
      <c r="CA42" s="966"/>
      <c r="CB42" s="966"/>
      <c r="CC42" s="966"/>
      <c r="CD42" s="966"/>
      <c r="CE42" s="964"/>
      <c r="CF42" s="966"/>
      <c r="CG42" s="966"/>
      <c r="CH42" s="966"/>
      <c r="CI42" s="964"/>
      <c r="CJ42" s="966"/>
      <c r="CK42" s="966"/>
      <c r="CL42" s="966"/>
      <c r="CM42" s="966"/>
      <c r="CN42" s="964"/>
      <c r="CO42" s="966"/>
      <c r="CP42" s="966"/>
      <c r="CQ42" s="966"/>
      <c r="CR42" s="964"/>
      <c r="CS42" s="966"/>
      <c r="CT42" s="966"/>
      <c r="CU42" s="966"/>
      <c r="CV42" s="966"/>
      <c r="CW42" s="964"/>
      <c r="CX42" s="972"/>
      <c r="CY42" s="966"/>
      <c r="CZ42" s="966"/>
      <c r="DA42" s="964"/>
      <c r="DB42" s="966"/>
      <c r="DC42" s="966"/>
      <c r="DD42" s="966"/>
      <c r="DE42" s="966"/>
      <c r="DF42" s="964"/>
      <c r="DG42" s="966"/>
      <c r="DH42" s="966"/>
      <c r="DI42" s="966"/>
      <c r="DJ42" s="964"/>
      <c r="DK42" s="966"/>
      <c r="DL42" s="966"/>
      <c r="DM42" s="964"/>
      <c r="DN42" s="966"/>
      <c r="DO42" s="964"/>
      <c r="DP42" s="966"/>
      <c r="DQ42" s="966"/>
      <c r="DR42" s="966"/>
      <c r="DS42" s="964"/>
      <c r="DT42" s="966"/>
      <c r="DU42" s="966"/>
      <c r="DV42" s="966"/>
      <c r="DW42" s="966"/>
      <c r="DX42" s="964"/>
      <c r="DY42" s="966"/>
      <c r="DZ42" s="966"/>
      <c r="EA42" s="966"/>
      <c r="EB42" s="964"/>
      <c r="EC42" s="966"/>
      <c r="ED42" s="966"/>
      <c r="EE42" s="964"/>
    </row>
    <row r="43">
      <c r="A43" s="33">
        <f>'Schedule | 3 Division (OLD)'!P7</f>
        <v>31</v>
      </c>
      <c r="B43" s="30" t="str">
        <f>'Schedule | 3 Division (OLD)'!K7</f>
        <v>HEAX</v>
      </c>
      <c r="C43" s="906">
        <f>'Schedule | 3 Division (OLD)'!L7</f>
        <v>0</v>
      </c>
      <c r="D43" s="906">
        <f>'Schedule | 3 Division (OLD)'!N7</f>
        <v>0</v>
      </c>
      <c r="E43" s="30" t="str">
        <f>'Schedule | 3 Division (OLD)'!O7</f>
        <v>КОРМ 2</v>
      </c>
      <c r="F43" s="30" t="str">
        <f t="shared" si="36"/>
        <v/>
      </c>
      <c r="G43" s="433" t="str">
        <f t="shared" si="37"/>
        <v/>
      </c>
      <c r="H43" s="966"/>
      <c r="I43" s="966"/>
      <c r="J43" s="964"/>
      <c r="K43" s="964"/>
      <c r="L43" s="966"/>
      <c r="M43" s="966"/>
      <c r="N43" s="966"/>
      <c r="O43" s="964"/>
      <c r="P43" s="966"/>
      <c r="Q43" s="966"/>
      <c r="R43" s="966"/>
      <c r="S43" s="964"/>
      <c r="T43" s="964"/>
      <c r="U43" s="964"/>
      <c r="V43" s="966"/>
      <c r="W43" s="966"/>
      <c r="X43" s="964"/>
      <c r="Y43" s="966"/>
      <c r="Z43" s="966"/>
      <c r="AA43" s="966"/>
      <c r="AB43" s="964"/>
      <c r="AC43" s="964"/>
      <c r="AD43" s="966"/>
      <c r="AE43" s="966"/>
      <c r="AF43" s="966"/>
      <c r="AG43" s="964"/>
      <c r="AH43" s="966"/>
      <c r="AI43" s="966"/>
      <c r="AJ43" s="966"/>
      <c r="AK43" s="964"/>
      <c r="AL43" s="964"/>
      <c r="AM43" s="972"/>
      <c r="AN43" s="966"/>
      <c r="AO43" s="966"/>
      <c r="AP43" s="964"/>
      <c r="AQ43" s="966"/>
      <c r="AR43" s="966"/>
      <c r="AS43" s="964"/>
      <c r="AT43" s="966"/>
      <c r="AU43" s="964"/>
      <c r="AV43" s="966"/>
      <c r="AW43" s="966"/>
      <c r="AX43" s="966"/>
      <c r="AY43" s="964"/>
      <c r="AZ43" s="966"/>
      <c r="BA43" s="966"/>
      <c r="BB43" s="966"/>
      <c r="BC43" s="966"/>
      <c r="BD43" s="964"/>
      <c r="BE43" s="966"/>
      <c r="BF43" s="966"/>
      <c r="BG43" s="966"/>
      <c r="BH43" s="964"/>
      <c r="BI43" s="966"/>
      <c r="BJ43" s="966"/>
      <c r="BK43" s="964"/>
      <c r="BL43" s="966"/>
      <c r="BM43" s="964"/>
      <c r="BN43" s="966"/>
      <c r="BO43" s="966"/>
      <c r="BP43" s="966"/>
      <c r="BQ43" s="964"/>
      <c r="BR43" s="966"/>
      <c r="BS43" s="966"/>
      <c r="BT43" s="966"/>
      <c r="BU43" s="966"/>
      <c r="BV43" s="964"/>
      <c r="BW43" s="966"/>
      <c r="BX43" s="966"/>
      <c r="BY43" s="966"/>
      <c r="BZ43" s="964"/>
      <c r="CA43" s="966"/>
      <c r="CB43" s="966"/>
      <c r="CC43" s="966"/>
      <c r="CD43" s="966"/>
      <c r="CE43" s="964"/>
      <c r="CF43" s="966"/>
      <c r="CG43" s="966"/>
      <c r="CH43" s="966"/>
      <c r="CI43" s="964"/>
      <c r="CJ43" s="966"/>
      <c r="CK43" s="966"/>
      <c r="CL43" s="966"/>
      <c r="CM43" s="966"/>
      <c r="CN43" s="964"/>
      <c r="CO43" s="966"/>
      <c r="CP43" s="966"/>
      <c r="CQ43" s="966"/>
      <c r="CR43" s="964"/>
      <c r="CS43" s="966"/>
      <c r="CT43" s="966"/>
      <c r="CU43" s="966"/>
      <c r="CV43" s="966"/>
      <c r="CW43" s="964"/>
      <c r="CX43" s="972"/>
      <c r="CY43" s="966"/>
      <c r="CZ43" s="966"/>
      <c r="DA43" s="964"/>
      <c r="DB43" s="966"/>
      <c r="DC43" s="966"/>
      <c r="DD43" s="966"/>
      <c r="DE43" s="966"/>
      <c r="DF43" s="964"/>
      <c r="DG43" s="966"/>
      <c r="DH43" s="966"/>
      <c r="DI43" s="966"/>
      <c r="DJ43" s="964"/>
      <c r="DK43" s="966"/>
      <c r="DL43" s="966"/>
      <c r="DM43" s="964"/>
      <c r="DN43" s="966"/>
      <c r="DO43" s="964"/>
      <c r="DP43" s="966"/>
      <c r="DQ43" s="966"/>
      <c r="DR43" s="966"/>
      <c r="DS43" s="964"/>
      <c r="DT43" s="966"/>
      <c r="DU43" s="966"/>
      <c r="DV43" s="966"/>
      <c r="DW43" s="966"/>
      <c r="DX43" s="964"/>
      <c r="DY43" s="966"/>
      <c r="DZ43" s="966"/>
      <c r="EA43" s="966"/>
      <c r="EB43" s="964"/>
      <c r="EC43" s="966"/>
      <c r="ED43" s="966"/>
      <c r="EE43" s="964"/>
    </row>
    <row r="44">
      <c r="A44" s="33">
        <f>'Schedule | 3 Division (OLD)'!P8</f>
        <v>32</v>
      </c>
      <c r="B44" s="30" t="str">
        <f>'Schedule | 3 Division (OLD)'!K8</f>
        <v>DEACUERDO</v>
      </c>
      <c r="C44" s="906">
        <f>'Schedule | 3 Division (OLD)'!L8</f>
        <v>0</v>
      </c>
      <c r="D44" s="906">
        <f>'Schedule | 3 Division (OLD)'!N8</f>
        <v>0</v>
      </c>
      <c r="E44" s="30" t="str">
        <f>'Schedule | 3 Division (OLD)'!O8</f>
        <v>ALTF4</v>
      </c>
      <c r="F44" s="30" t="str">
        <f t="shared" si="36"/>
        <v/>
      </c>
      <c r="G44" s="433" t="str">
        <f t="shared" si="37"/>
        <v/>
      </c>
      <c r="H44" s="966"/>
      <c r="I44" s="966"/>
      <c r="J44" s="964"/>
      <c r="K44" s="964"/>
      <c r="L44" s="966"/>
      <c r="M44" s="966"/>
      <c r="N44" s="966"/>
      <c r="O44" s="964"/>
      <c r="P44" s="966"/>
      <c r="Q44" s="966"/>
      <c r="R44" s="966"/>
      <c r="S44" s="964"/>
      <c r="T44" s="964"/>
      <c r="U44" s="964"/>
      <c r="V44" s="966"/>
      <c r="W44" s="966"/>
      <c r="X44" s="964"/>
      <c r="Y44" s="966"/>
      <c r="Z44" s="966"/>
      <c r="AA44" s="966"/>
      <c r="AB44" s="964"/>
      <c r="AC44" s="964"/>
      <c r="AD44" s="966"/>
      <c r="AE44" s="966"/>
      <c r="AF44" s="966"/>
      <c r="AG44" s="964"/>
      <c r="AH44" s="966"/>
      <c r="AI44" s="966"/>
      <c r="AJ44" s="966"/>
      <c r="AK44" s="964"/>
      <c r="AL44" s="964"/>
      <c r="AM44" s="972"/>
      <c r="AN44" s="966"/>
      <c r="AO44" s="966"/>
      <c r="AP44" s="964"/>
      <c r="AQ44" s="966"/>
      <c r="AR44" s="966"/>
      <c r="AS44" s="964"/>
      <c r="AT44" s="966"/>
      <c r="AU44" s="964"/>
      <c r="AV44" s="966"/>
      <c r="AW44" s="966"/>
      <c r="AX44" s="966"/>
      <c r="AY44" s="964"/>
      <c r="AZ44" s="966"/>
      <c r="BA44" s="966"/>
      <c r="BB44" s="966"/>
      <c r="BC44" s="966"/>
      <c r="BD44" s="964"/>
      <c r="BE44" s="966"/>
      <c r="BF44" s="966"/>
      <c r="BG44" s="966"/>
      <c r="BH44" s="964"/>
      <c r="BI44" s="966"/>
      <c r="BJ44" s="966"/>
      <c r="BK44" s="964"/>
      <c r="BL44" s="966"/>
      <c r="BM44" s="964"/>
      <c r="BN44" s="966"/>
      <c r="BO44" s="966"/>
      <c r="BP44" s="966"/>
      <c r="BQ44" s="964"/>
      <c r="BR44" s="966"/>
      <c r="BS44" s="966"/>
      <c r="BT44" s="966"/>
      <c r="BU44" s="966"/>
      <c r="BV44" s="964"/>
      <c r="BW44" s="966"/>
      <c r="BX44" s="966"/>
      <c r="BY44" s="966"/>
      <c r="BZ44" s="964"/>
      <c r="CA44" s="966"/>
      <c r="CB44" s="966"/>
      <c r="CC44" s="966"/>
      <c r="CD44" s="966"/>
      <c r="CE44" s="964"/>
      <c r="CF44" s="966"/>
      <c r="CG44" s="966"/>
      <c r="CH44" s="966"/>
      <c r="CI44" s="964"/>
      <c r="CJ44" s="966"/>
      <c r="CK44" s="966"/>
      <c r="CL44" s="966"/>
      <c r="CM44" s="966"/>
      <c r="CN44" s="964"/>
      <c r="CO44" s="966"/>
      <c r="CP44" s="966"/>
      <c r="CQ44" s="966"/>
      <c r="CR44" s="964"/>
      <c r="CS44" s="966"/>
      <c r="CT44" s="966"/>
      <c r="CU44" s="966"/>
      <c r="CV44" s="966"/>
      <c r="CW44" s="964"/>
      <c r="CX44" s="972"/>
      <c r="CY44" s="966"/>
      <c r="CZ44" s="966"/>
      <c r="DA44" s="964"/>
      <c r="DB44" s="966"/>
      <c r="DC44" s="966"/>
      <c r="DD44" s="966"/>
      <c r="DE44" s="966"/>
      <c r="DF44" s="964"/>
      <c r="DG44" s="966"/>
      <c r="DH44" s="966"/>
      <c r="DI44" s="966"/>
      <c r="DJ44" s="964"/>
      <c r="DK44" s="966"/>
      <c r="DL44" s="966"/>
      <c r="DM44" s="964"/>
      <c r="DN44" s="966"/>
      <c r="DO44" s="964"/>
      <c r="DP44" s="966"/>
      <c r="DQ44" s="966"/>
      <c r="DR44" s="966"/>
      <c r="DS44" s="964"/>
      <c r="DT44" s="966"/>
      <c r="DU44" s="966"/>
      <c r="DV44" s="966"/>
      <c r="DW44" s="966"/>
      <c r="DX44" s="964"/>
      <c r="DY44" s="966"/>
      <c r="DZ44" s="966"/>
      <c r="EA44" s="966"/>
      <c r="EB44" s="964"/>
      <c r="EC44" s="966"/>
      <c r="ED44" s="966"/>
      <c r="EE44" s="964"/>
    </row>
    <row r="45">
      <c r="A45" s="33">
        <f>'Schedule | 3 Division (OLD)'!P11</f>
        <v>33</v>
      </c>
      <c r="B45" s="30" t="str">
        <f>'Schedule | 3 Division (OLD)'!K11</f>
        <v>HEAX</v>
      </c>
      <c r="C45" s="906">
        <f>'Schedule | 3 Division (OLD)'!L11</f>
        <v>0</v>
      </c>
      <c r="D45" s="906">
        <f>'Schedule | 3 Division (OLD)'!N11</f>
        <v>0</v>
      </c>
      <c r="E45" s="30" t="str">
        <f>'Schedule | 3 Division (OLD)'!O11</f>
        <v>ALTF4</v>
      </c>
      <c r="F45" s="30" t="str">
        <f t="shared" si="36"/>
        <v/>
      </c>
      <c r="G45" s="433" t="str">
        <f t="shared" si="37"/>
        <v/>
      </c>
      <c r="H45" s="966"/>
      <c r="I45" s="966"/>
      <c r="J45" s="964"/>
      <c r="K45" s="964"/>
      <c r="L45" s="966"/>
      <c r="M45" s="966"/>
      <c r="N45" s="966"/>
      <c r="O45" s="964"/>
      <c r="P45" s="966"/>
      <c r="Q45" s="966"/>
      <c r="R45" s="966"/>
      <c r="S45" s="964"/>
      <c r="T45" s="964"/>
      <c r="U45" s="964"/>
      <c r="V45" s="966"/>
      <c r="W45" s="966"/>
      <c r="X45" s="964"/>
      <c r="Y45" s="966"/>
      <c r="Z45" s="966"/>
      <c r="AA45" s="966"/>
      <c r="AB45" s="964"/>
      <c r="AC45" s="964"/>
      <c r="AD45" s="966"/>
      <c r="AE45" s="966"/>
      <c r="AF45" s="966"/>
      <c r="AG45" s="964"/>
      <c r="AH45" s="966"/>
      <c r="AI45" s="966"/>
      <c r="AJ45" s="966"/>
      <c r="AK45" s="964"/>
      <c r="AL45" s="964"/>
      <c r="AM45" s="972"/>
      <c r="AN45" s="966"/>
      <c r="AO45" s="966"/>
      <c r="AP45" s="964"/>
      <c r="AQ45" s="966"/>
      <c r="AR45" s="966"/>
      <c r="AS45" s="964"/>
      <c r="AT45" s="966"/>
      <c r="AU45" s="964"/>
      <c r="AV45" s="966"/>
      <c r="AW45" s="966"/>
      <c r="AX45" s="966"/>
      <c r="AY45" s="964"/>
      <c r="AZ45" s="966"/>
      <c r="BA45" s="966"/>
      <c r="BB45" s="966"/>
      <c r="BC45" s="966"/>
      <c r="BD45" s="964"/>
      <c r="BE45" s="966"/>
      <c r="BF45" s="966"/>
      <c r="BG45" s="966"/>
      <c r="BH45" s="964"/>
      <c r="BI45" s="966"/>
      <c r="BJ45" s="966"/>
      <c r="BK45" s="964"/>
      <c r="BL45" s="966"/>
      <c r="BM45" s="964"/>
      <c r="BN45" s="966"/>
      <c r="BO45" s="966"/>
      <c r="BP45" s="966"/>
      <c r="BQ45" s="964"/>
      <c r="BR45" s="966"/>
      <c r="BS45" s="966"/>
      <c r="BT45" s="966"/>
      <c r="BU45" s="966"/>
      <c r="BV45" s="964"/>
      <c r="BW45" s="966"/>
      <c r="BX45" s="966"/>
      <c r="BY45" s="966"/>
      <c r="BZ45" s="964"/>
      <c r="CA45" s="966"/>
      <c r="CB45" s="966"/>
      <c r="CC45" s="966"/>
      <c r="CD45" s="966"/>
      <c r="CE45" s="964"/>
      <c r="CF45" s="966"/>
      <c r="CG45" s="966"/>
      <c r="CH45" s="966"/>
      <c r="CI45" s="964"/>
      <c r="CJ45" s="966"/>
      <c r="CK45" s="966"/>
      <c r="CL45" s="966"/>
      <c r="CM45" s="966"/>
      <c r="CN45" s="964"/>
      <c r="CO45" s="966"/>
      <c r="CP45" s="966"/>
      <c r="CQ45" s="966"/>
      <c r="CR45" s="964"/>
      <c r="CS45" s="966"/>
      <c r="CT45" s="966"/>
      <c r="CU45" s="966"/>
      <c r="CV45" s="966"/>
      <c r="CW45" s="964"/>
      <c r="CX45" s="972"/>
      <c r="CY45" s="966"/>
      <c r="CZ45" s="966"/>
      <c r="DA45" s="964"/>
      <c r="DB45" s="966"/>
      <c r="DC45" s="966"/>
      <c r="DD45" s="966"/>
      <c r="DE45" s="966"/>
      <c r="DF45" s="964"/>
      <c r="DG45" s="966"/>
      <c r="DH45" s="966"/>
      <c r="DI45" s="966"/>
      <c r="DJ45" s="964"/>
      <c r="DK45" s="966"/>
      <c r="DL45" s="966"/>
      <c r="DM45" s="964"/>
      <c r="DN45" s="966"/>
      <c r="DO45" s="964"/>
      <c r="DP45" s="966"/>
      <c r="DQ45" s="966"/>
      <c r="DR45" s="966"/>
      <c r="DS45" s="964"/>
      <c r="DT45" s="966"/>
      <c r="DU45" s="966"/>
      <c r="DV45" s="966"/>
      <c r="DW45" s="966"/>
      <c r="DX45" s="964"/>
      <c r="DY45" s="966"/>
      <c r="DZ45" s="966"/>
      <c r="EA45" s="966"/>
      <c r="EB45" s="964"/>
      <c r="EC45" s="966"/>
      <c r="ED45" s="966"/>
      <c r="EE45" s="964"/>
    </row>
    <row r="46">
      <c r="A46" s="33">
        <f>'Schedule | 3 Division (OLD)'!P12</f>
        <v>34</v>
      </c>
      <c r="B46" s="30" t="str">
        <f>'Schedule | 3 Division (OLD)'!K12</f>
        <v>RISE</v>
      </c>
      <c r="C46" s="906">
        <f>'Schedule | 3 Division (OLD)'!L12</f>
        <v>0</v>
      </c>
      <c r="D46" s="906">
        <f>'Schedule | 3 Division (OLD)'!N12</f>
        <v>0</v>
      </c>
      <c r="E46" s="30" t="str">
        <f>'Schedule | 3 Division (OLD)'!O12</f>
        <v>ACHIEVERS</v>
      </c>
      <c r="F46" s="30" t="str">
        <f t="shared" si="36"/>
        <v/>
      </c>
      <c r="G46" s="433" t="str">
        <f t="shared" si="37"/>
        <v/>
      </c>
      <c r="H46" s="966"/>
      <c r="I46" s="966"/>
      <c r="J46" s="964"/>
      <c r="K46" s="964"/>
      <c r="L46" s="966"/>
      <c r="M46" s="966"/>
      <c r="N46" s="966"/>
      <c r="O46" s="964"/>
      <c r="P46" s="966"/>
      <c r="Q46" s="966"/>
      <c r="R46" s="966"/>
      <c r="S46" s="964"/>
      <c r="T46" s="964"/>
      <c r="U46" s="964"/>
      <c r="V46" s="966"/>
      <c r="W46" s="966"/>
      <c r="X46" s="964"/>
      <c r="Y46" s="966"/>
      <c r="Z46" s="966"/>
      <c r="AA46" s="966"/>
      <c r="AB46" s="964"/>
      <c r="AC46" s="964"/>
      <c r="AD46" s="966"/>
      <c r="AE46" s="966"/>
      <c r="AF46" s="966"/>
      <c r="AG46" s="964"/>
      <c r="AH46" s="966"/>
      <c r="AI46" s="966"/>
      <c r="AJ46" s="966"/>
      <c r="AK46" s="964"/>
      <c r="AL46" s="964"/>
      <c r="AM46" s="972"/>
      <c r="AN46" s="966"/>
      <c r="AO46" s="966"/>
      <c r="AP46" s="964"/>
      <c r="AQ46" s="966"/>
      <c r="AR46" s="966"/>
      <c r="AS46" s="964"/>
      <c r="AT46" s="966"/>
      <c r="AU46" s="964"/>
      <c r="AV46" s="966"/>
      <c r="AW46" s="966"/>
      <c r="AX46" s="966"/>
      <c r="AY46" s="964"/>
      <c r="AZ46" s="966"/>
      <c r="BA46" s="966"/>
      <c r="BB46" s="966"/>
      <c r="BC46" s="966"/>
      <c r="BD46" s="964"/>
      <c r="BE46" s="966"/>
      <c r="BF46" s="966"/>
      <c r="BG46" s="966"/>
      <c r="BH46" s="964"/>
      <c r="BI46" s="966"/>
      <c r="BJ46" s="966"/>
      <c r="BK46" s="964"/>
      <c r="BL46" s="966"/>
      <c r="BM46" s="964"/>
      <c r="BN46" s="966"/>
      <c r="BO46" s="966"/>
      <c r="BP46" s="966"/>
      <c r="BQ46" s="964"/>
      <c r="BR46" s="966"/>
      <c r="BS46" s="966"/>
      <c r="BT46" s="966"/>
      <c r="BU46" s="966"/>
      <c r="BV46" s="964"/>
      <c r="BW46" s="966"/>
      <c r="BX46" s="966"/>
      <c r="BY46" s="966"/>
      <c r="BZ46" s="964"/>
      <c r="CA46" s="966"/>
      <c r="CB46" s="966"/>
      <c r="CC46" s="966"/>
      <c r="CD46" s="966"/>
      <c r="CE46" s="964"/>
      <c r="CF46" s="966"/>
      <c r="CG46" s="966"/>
      <c r="CH46" s="966"/>
      <c r="CI46" s="964"/>
      <c r="CJ46" s="966"/>
      <c r="CK46" s="966"/>
      <c r="CL46" s="966"/>
      <c r="CM46" s="966"/>
      <c r="CN46" s="964"/>
      <c r="CO46" s="966"/>
      <c r="CP46" s="966"/>
      <c r="CQ46" s="966"/>
      <c r="CR46" s="964"/>
      <c r="CS46" s="966"/>
      <c r="CT46" s="966"/>
      <c r="CU46" s="966"/>
      <c r="CV46" s="966"/>
      <c r="CW46" s="964"/>
      <c r="CX46" s="972"/>
      <c r="CY46" s="966"/>
      <c r="CZ46" s="966"/>
      <c r="DA46" s="964"/>
      <c r="DB46" s="966"/>
      <c r="DC46" s="966"/>
      <c r="DD46" s="966"/>
      <c r="DE46" s="966"/>
      <c r="DF46" s="964"/>
      <c r="DG46" s="966"/>
      <c r="DH46" s="966"/>
      <c r="DI46" s="966"/>
      <c r="DJ46" s="964"/>
      <c r="DK46" s="966"/>
      <c r="DL46" s="966"/>
      <c r="DM46" s="964"/>
      <c r="DN46" s="966"/>
      <c r="DO46" s="964"/>
      <c r="DP46" s="966"/>
      <c r="DQ46" s="966"/>
      <c r="DR46" s="966"/>
      <c r="DS46" s="964"/>
      <c r="DT46" s="966"/>
      <c r="DU46" s="966"/>
      <c r="DV46" s="966"/>
      <c r="DW46" s="966"/>
      <c r="DX46" s="964"/>
      <c r="DY46" s="966"/>
      <c r="DZ46" s="966"/>
      <c r="EA46" s="966"/>
      <c r="EB46" s="964"/>
      <c r="EC46" s="966"/>
      <c r="ED46" s="966"/>
      <c r="EE46" s="964"/>
    </row>
    <row r="47">
      <c r="A47" s="33">
        <f>'Schedule | 3 Division (OLD)'!P13</f>
        <v>35</v>
      </c>
      <c r="B47" s="30" t="str">
        <f>'Schedule | 3 Division (OLD)'!K13</f>
        <v>DEACUERDO</v>
      </c>
      <c r="C47" s="906">
        <f>'Schedule | 3 Division (OLD)'!L13</f>
        <v>0</v>
      </c>
      <c r="D47" s="906">
        <f>'Schedule | 3 Division (OLD)'!N13</f>
        <v>0</v>
      </c>
      <c r="E47" s="30" t="str">
        <f>'Schedule | 3 Division (OLD)'!O13</f>
        <v>КОРМ 2</v>
      </c>
      <c r="F47" s="30" t="str">
        <f t="shared" si="36"/>
        <v/>
      </c>
      <c r="G47" s="433" t="str">
        <f t="shared" si="37"/>
        <v/>
      </c>
      <c r="H47" s="966"/>
      <c r="I47" s="966"/>
      <c r="J47" s="964"/>
      <c r="K47" s="964"/>
      <c r="L47" s="966"/>
      <c r="M47" s="966"/>
      <c r="N47" s="966"/>
      <c r="O47" s="964"/>
      <c r="P47" s="966"/>
      <c r="Q47" s="966"/>
      <c r="R47" s="966"/>
      <c r="S47" s="964"/>
      <c r="T47" s="964"/>
      <c r="U47" s="964"/>
      <c r="V47" s="966"/>
      <c r="W47" s="966"/>
      <c r="X47" s="964"/>
      <c r="Y47" s="966"/>
      <c r="Z47" s="966"/>
      <c r="AA47" s="966"/>
      <c r="AB47" s="964"/>
      <c r="AC47" s="964"/>
      <c r="AD47" s="966"/>
      <c r="AE47" s="966"/>
      <c r="AF47" s="966"/>
      <c r="AG47" s="964"/>
      <c r="AH47" s="966"/>
      <c r="AI47" s="966"/>
      <c r="AJ47" s="966"/>
      <c r="AK47" s="964"/>
      <c r="AL47" s="964"/>
      <c r="AM47" s="972"/>
      <c r="AN47" s="966"/>
      <c r="AO47" s="966"/>
      <c r="AP47" s="964"/>
      <c r="AQ47" s="966"/>
      <c r="AR47" s="966"/>
      <c r="AS47" s="964"/>
      <c r="AT47" s="966"/>
      <c r="AU47" s="964"/>
      <c r="AV47" s="966"/>
      <c r="AW47" s="966"/>
      <c r="AX47" s="966"/>
      <c r="AY47" s="964"/>
      <c r="AZ47" s="966"/>
      <c r="BA47" s="966"/>
      <c r="BB47" s="966"/>
      <c r="BC47" s="966"/>
      <c r="BD47" s="964"/>
      <c r="BE47" s="966"/>
      <c r="BF47" s="966"/>
      <c r="BG47" s="966"/>
      <c r="BH47" s="964"/>
      <c r="BI47" s="966"/>
      <c r="BJ47" s="966"/>
      <c r="BK47" s="964"/>
      <c r="BL47" s="966"/>
      <c r="BM47" s="964"/>
      <c r="BN47" s="966"/>
      <c r="BO47" s="966"/>
      <c r="BP47" s="966"/>
      <c r="BQ47" s="964"/>
      <c r="BR47" s="966"/>
      <c r="BS47" s="966"/>
      <c r="BT47" s="966"/>
      <c r="BU47" s="966"/>
      <c r="BV47" s="964"/>
      <c r="BW47" s="966"/>
      <c r="BX47" s="966"/>
      <c r="BY47" s="966"/>
      <c r="BZ47" s="964"/>
      <c r="CA47" s="966"/>
      <c r="CB47" s="966"/>
      <c r="CC47" s="966"/>
      <c r="CD47" s="966"/>
      <c r="CE47" s="964"/>
      <c r="CF47" s="966"/>
      <c r="CG47" s="966"/>
      <c r="CH47" s="966"/>
      <c r="CI47" s="964"/>
      <c r="CJ47" s="966"/>
      <c r="CK47" s="966"/>
      <c r="CL47" s="966"/>
      <c r="CM47" s="966"/>
      <c r="CN47" s="964"/>
      <c r="CO47" s="966"/>
      <c r="CP47" s="966"/>
      <c r="CQ47" s="966"/>
      <c r="CR47" s="964"/>
      <c r="CS47" s="966"/>
      <c r="CT47" s="966"/>
      <c r="CU47" s="966"/>
      <c r="CV47" s="966"/>
      <c r="CW47" s="964"/>
      <c r="CX47" s="972"/>
      <c r="CY47" s="966"/>
      <c r="CZ47" s="966"/>
      <c r="DA47" s="964"/>
      <c r="DB47" s="966"/>
      <c r="DC47" s="966"/>
      <c r="DD47" s="966"/>
      <c r="DE47" s="966"/>
      <c r="DF47" s="964"/>
      <c r="DG47" s="966"/>
      <c r="DH47" s="966"/>
      <c r="DI47" s="966"/>
      <c r="DJ47" s="964"/>
      <c r="DK47" s="966"/>
      <c r="DL47" s="966"/>
      <c r="DM47" s="964"/>
      <c r="DN47" s="966"/>
      <c r="DO47" s="964"/>
      <c r="DP47" s="966"/>
      <c r="DQ47" s="966"/>
      <c r="DR47" s="966"/>
      <c r="DS47" s="964"/>
      <c r="DT47" s="966"/>
      <c r="DU47" s="966"/>
      <c r="DV47" s="966"/>
      <c r="DW47" s="966"/>
      <c r="DX47" s="964"/>
      <c r="DY47" s="966"/>
      <c r="DZ47" s="966"/>
      <c r="EA47" s="966"/>
      <c r="EB47" s="964"/>
      <c r="EC47" s="966"/>
      <c r="ED47" s="966"/>
      <c r="EE47" s="964"/>
    </row>
    <row r="48">
      <c r="A48" s="33">
        <f>'Schedule | 3 Division (OLD)'!P14</f>
        <v>36</v>
      </c>
      <c r="B48" s="30" t="str">
        <f>'Schedule | 3 Division (OLD)'!K14</f>
        <v>SAPPIAMO</v>
      </c>
      <c r="C48" s="906">
        <f>'Schedule | 3 Division (OLD)'!L14</f>
        <v>0</v>
      </c>
      <c r="D48" s="906">
        <f>'Schedule | 3 Division (OLD)'!N14</f>
        <v>0</v>
      </c>
      <c r="E48" s="30" t="str">
        <f>'Schedule | 3 Division (OLD)'!O14</f>
        <v>BOGATYRI</v>
      </c>
      <c r="F48" s="30" t="str">
        <f t="shared" si="36"/>
        <v/>
      </c>
      <c r="G48" s="433" t="str">
        <f t="shared" si="37"/>
        <v/>
      </c>
      <c r="H48" s="966"/>
      <c r="I48" s="966"/>
      <c r="J48" s="964"/>
      <c r="K48" s="964"/>
      <c r="L48" s="966"/>
      <c r="M48" s="966"/>
      <c r="N48" s="966"/>
      <c r="O48" s="964"/>
      <c r="P48" s="966"/>
      <c r="Q48" s="966"/>
      <c r="R48" s="966"/>
      <c r="S48" s="964"/>
      <c r="T48" s="964"/>
      <c r="U48" s="964"/>
      <c r="V48" s="966"/>
      <c r="W48" s="966"/>
      <c r="X48" s="964"/>
      <c r="Y48" s="966"/>
      <c r="Z48" s="966"/>
      <c r="AA48" s="966"/>
      <c r="AB48" s="964"/>
      <c r="AC48" s="964"/>
      <c r="AD48" s="966"/>
      <c r="AE48" s="966"/>
      <c r="AF48" s="966"/>
      <c r="AG48" s="964"/>
      <c r="AH48" s="966"/>
      <c r="AI48" s="966"/>
      <c r="AJ48" s="966"/>
      <c r="AK48" s="964"/>
      <c r="AL48" s="964"/>
      <c r="AM48" s="972"/>
      <c r="AN48" s="966"/>
      <c r="AO48" s="966"/>
      <c r="AP48" s="964"/>
      <c r="AQ48" s="966"/>
      <c r="AR48" s="966"/>
      <c r="AS48" s="964"/>
      <c r="AT48" s="966"/>
      <c r="AU48" s="964"/>
      <c r="AV48" s="966"/>
      <c r="AW48" s="966"/>
      <c r="AX48" s="966"/>
      <c r="AY48" s="964"/>
      <c r="AZ48" s="966"/>
      <c r="BA48" s="966"/>
      <c r="BB48" s="966"/>
      <c r="BC48" s="966"/>
      <c r="BD48" s="964"/>
      <c r="BE48" s="966"/>
      <c r="BF48" s="966"/>
      <c r="BG48" s="966"/>
      <c r="BH48" s="964"/>
      <c r="BI48" s="966"/>
      <c r="BJ48" s="966"/>
      <c r="BK48" s="964"/>
      <c r="BL48" s="966"/>
      <c r="BM48" s="964"/>
      <c r="BN48" s="966"/>
      <c r="BO48" s="966"/>
      <c r="BP48" s="966"/>
      <c r="BQ48" s="964"/>
      <c r="BR48" s="966"/>
      <c r="BS48" s="966"/>
      <c r="BT48" s="966"/>
      <c r="BU48" s="966"/>
      <c r="BV48" s="964"/>
      <c r="BW48" s="966"/>
      <c r="BX48" s="966"/>
      <c r="BY48" s="966"/>
      <c r="BZ48" s="964"/>
      <c r="CA48" s="966"/>
      <c r="CB48" s="966"/>
      <c r="CC48" s="966"/>
      <c r="CD48" s="966"/>
      <c r="CE48" s="964"/>
      <c r="CF48" s="966"/>
      <c r="CG48" s="966"/>
      <c r="CH48" s="966"/>
      <c r="CI48" s="964"/>
      <c r="CJ48" s="966"/>
      <c r="CK48" s="966"/>
      <c r="CL48" s="966"/>
      <c r="CM48" s="966"/>
      <c r="CN48" s="964"/>
      <c r="CO48" s="966"/>
      <c r="CP48" s="966"/>
      <c r="CQ48" s="966"/>
      <c r="CR48" s="964"/>
      <c r="CS48" s="966"/>
      <c r="CT48" s="966"/>
      <c r="CU48" s="966"/>
      <c r="CV48" s="966"/>
      <c r="CW48" s="964"/>
      <c r="CX48" s="972"/>
      <c r="CY48" s="966"/>
      <c r="CZ48" s="966"/>
      <c r="DA48" s="964"/>
      <c r="DB48" s="966"/>
      <c r="DC48" s="966"/>
      <c r="DD48" s="966"/>
      <c r="DE48" s="966"/>
      <c r="DF48" s="964"/>
      <c r="DG48" s="966"/>
      <c r="DH48" s="966"/>
      <c r="DI48" s="966"/>
      <c r="DJ48" s="964"/>
      <c r="DK48" s="966"/>
      <c r="DL48" s="966"/>
      <c r="DM48" s="964"/>
      <c r="DN48" s="966"/>
      <c r="DO48" s="964"/>
      <c r="DP48" s="966"/>
      <c r="DQ48" s="966"/>
      <c r="DR48" s="966"/>
      <c r="DS48" s="964"/>
      <c r="DT48" s="966"/>
      <c r="DU48" s="966"/>
      <c r="DV48" s="966"/>
      <c r="DW48" s="966"/>
      <c r="DX48" s="964"/>
      <c r="DY48" s="966"/>
      <c r="DZ48" s="966"/>
      <c r="EA48" s="966"/>
      <c r="EB48" s="964"/>
      <c r="EC48" s="966"/>
      <c r="ED48" s="966"/>
      <c r="EE48" s="964"/>
    </row>
    <row r="49">
      <c r="A49" s="33">
        <f>'Schedule | 3 Division (OLD)'!P17</f>
        <v>37</v>
      </c>
      <c r="B49" s="30" t="str">
        <f>'Schedule | 3 Division (OLD)'!K17</f>
        <v>ACHIEVERS</v>
      </c>
      <c r="C49" s="906">
        <f>'Schedule | 3 Division (OLD)'!L17</f>
        <v>0</v>
      </c>
      <c r="D49" s="906">
        <f>'Schedule | 3 Division (OLD)'!N17</f>
        <v>0</v>
      </c>
      <c r="E49" s="30" t="str">
        <f>'Schedule | 3 Division (OLD)'!O17</f>
        <v>КОРМ 2</v>
      </c>
      <c r="F49" s="30" t="str">
        <f t="shared" si="36"/>
        <v/>
      </c>
      <c r="G49" s="433" t="str">
        <f t="shared" si="37"/>
        <v/>
      </c>
      <c r="H49" s="966"/>
      <c r="I49" s="966"/>
      <c r="J49" s="964"/>
      <c r="K49" s="964"/>
      <c r="L49" s="966"/>
      <c r="M49" s="966"/>
      <c r="N49" s="966"/>
      <c r="O49" s="964"/>
      <c r="P49" s="966"/>
      <c r="Q49" s="966"/>
      <c r="R49" s="966"/>
      <c r="S49" s="964"/>
      <c r="T49" s="964"/>
      <c r="U49" s="964"/>
      <c r="V49" s="966"/>
      <c r="W49" s="966"/>
      <c r="X49" s="964"/>
      <c r="Y49" s="966"/>
      <c r="Z49" s="966"/>
      <c r="AA49" s="966"/>
      <c r="AB49" s="964"/>
      <c r="AC49" s="964"/>
      <c r="AD49" s="966"/>
      <c r="AE49" s="966"/>
      <c r="AF49" s="966"/>
      <c r="AG49" s="964"/>
      <c r="AH49" s="966"/>
      <c r="AI49" s="966"/>
      <c r="AJ49" s="966"/>
      <c r="AK49" s="964"/>
      <c r="AL49" s="964"/>
      <c r="AM49" s="972"/>
      <c r="AN49" s="966"/>
      <c r="AO49" s="966"/>
      <c r="AP49" s="964"/>
      <c r="AQ49" s="966"/>
      <c r="AR49" s="966"/>
      <c r="AS49" s="964"/>
      <c r="AT49" s="966"/>
      <c r="AU49" s="964"/>
      <c r="AV49" s="966"/>
      <c r="AW49" s="966"/>
      <c r="AX49" s="966"/>
      <c r="AY49" s="964"/>
      <c r="AZ49" s="966"/>
      <c r="BA49" s="966"/>
      <c r="BB49" s="966"/>
      <c r="BC49" s="966"/>
      <c r="BD49" s="964"/>
      <c r="BE49" s="966"/>
      <c r="BF49" s="966"/>
      <c r="BG49" s="966"/>
      <c r="BH49" s="964"/>
      <c r="BI49" s="966"/>
      <c r="BJ49" s="966"/>
      <c r="BK49" s="964"/>
      <c r="BL49" s="966"/>
      <c r="BM49" s="964"/>
      <c r="BN49" s="966"/>
      <c r="BO49" s="966"/>
      <c r="BP49" s="966"/>
      <c r="BQ49" s="964"/>
      <c r="BR49" s="966"/>
      <c r="BS49" s="966"/>
      <c r="BT49" s="966"/>
      <c r="BU49" s="966"/>
      <c r="BV49" s="964"/>
      <c r="BW49" s="966"/>
      <c r="BX49" s="966"/>
      <c r="BY49" s="966"/>
      <c r="BZ49" s="964"/>
      <c r="CA49" s="966"/>
      <c r="CB49" s="966"/>
      <c r="CC49" s="966"/>
      <c r="CD49" s="966"/>
      <c r="CE49" s="964"/>
      <c r="CF49" s="966"/>
      <c r="CG49" s="966"/>
      <c r="CH49" s="966"/>
      <c r="CI49" s="964"/>
      <c r="CJ49" s="966"/>
      <c r="CK49" s="966"/>
      <c r="CL49" s="966"/>
      <c r="CM49" s="966"/>
      <c r="CN49" s="964"/>
      <c r="CO49" s="966"/>
      <c r="CP49" s="966"/>
      <c r="CQ49" s="966"/>
      <c r="CR49" s="964"/>
      <c r="CS49" s="966"/>
      <c r="CT49" s="966"/>
      <c r="CU49" s="966"/>
      <c r="CV49" s="966"/>
      <c r="CW49" s="964"/>
      <c r="CX49" s="972"/>
      <c r="CY49" s="966"/>
      <c r="CZ49" s="966"/>
      <c r="DA49" s="964"/>
      <c r="DB49" s="966"/>
      <c r="DC49" s="966"/>
      <c r="DD49" s="966"/>
      <c r="DE49" s="966"/>
      <c r="DF49" s="964"/>
      <c r="DG49" s="966"/>
      <c r="DH49" s="966"/>
      <c r="DI49" s="966"/>
      <c r="DJ49" s="964"/>
      <c r="DK49" s="966"/>
      <c r="DL49" s="966"/>
      <c r="DM49" s="964"/>
      <c r="DN49" s="966"/>
      <c r="DO49" s="964"/>
      <c r="DP49" s="966"/>
      <c r="DQ49" s="966"/>
      <c r="DR49" s="966"/>
      <c r="DS49" s="964"/>
      <c r="DT49" s="966"/>
      <c r="DU49" s="966"/>
      <c r="DV49" s="966"/>
      <c r="DW49" s="966"/>
      <c r="DX49" s="964"/>
      <c r="DY49" s="966"/>
      <c r="DZ49" s="966"/>
      <c r="EA49" s="966"/>
      <c r="EB49" s="964"/>
      <c r="EC49" s="966"/>
      <c r="ED49" s="966"/>
      <c r="EE49" s="964"/>
    </row>
    <row r="50">
      <c r="A50" s="33">
        <f>'Schedule | 3 Division (OLD)'!P18</f>
        <v>38</v>
      </c>
      <c r="B50" s="30" t="str">
        <f>'Schedule | 3 Division (OLD)'!K18</f>
        <v>BOGATYRI</v>
      </c>
      <c r="C50" s="906">
        <f>'Schedule | 3 Division (OLD)'!L18</f>
        <v>0</v>
      </c>
      <c r="D50" s="906">
        <f>'Schedule | 3 Division (OLD)'!N18</f>
        <v>0</v>
      </c>
      <c r="E50" s="30" t="str">
        <f>'Schedule | 3 Division (OLD)'!O18</f>
        <v>DEACUERDO</v>
      </c>
      <c r="F50" s="30" t="str">
        <f t="shared" si="36"/>
        <v/>
      </c>
      <c r="G50" s="433" t="str">
        <f t="shared" si="37"/>
        <v/>
      </c>
      <c r="H50" s="966"/>
      <c r="I50" s="966"/>
      <c r="J50" s="964"/>
      <c r="K50" s="964"/>
      <c r="L50" s="966"/>
      <c r="M50" s="966"/>
      <c r="N50" s="966"/>
      <c r="O50" s="964"/>
      <c r="P50" s="966"/>
      <c r="Q50" s="966"/>
      <c r="R50" s="966"/>
      <c r="S50" s="964"/>
      <c r="T50" s="964"/>
      <c r="U50" s="964"/>
      <c r="V50" s="966"/>
      <c r="W50" s="966"/>
      <c r="X50" s="964"/>
      <c r="Y50" s="966"/>
      <c r="Z50" s="966"/>
      <c r="AA50" s="966"/>
      <c r="AB50" s="964"/>
      <c r="AC50" s="964"/>
      <c r="AD50" s="966"/>
      <c r="AE50" s="966"/>
      <c r="AF50" s="966"/>
      <c r="AG50" s="964"/>
      <c r="AH50" s="966"/>
      <c r="AI50" s="966"/>
      <c r="AJ50" s="966"/>
      <c r="AK50" s="964"/>
      <c r="AL50" s="964"/>
      <c r="AM50" s="972"/>
      <c r="AN50" s="966"/>
      <c r="AO50" s="966"/>
      <c r="AP50" s="964"/>
      <c r="AQ50" s="966"/>
      <c r="AR50" s="966"/>
      <c r="AS50" s="964"/>
      <c r="AT50" s="966"/>
      <c r="AU50" s="964"/>
      <c r="AV50" s="966"/>
      <c r="AW50" s="966"/>
      <c r="AX50" s="966"/>
      <c r="AY50" s="964"/>
      <c r="AZ50" s="966"/>
      <c r="BA50" s="966"/>
      <c r="BB50" s="966"/>
      <c r="BC50" s="966"/>
      <c r="BD50" s="964"/>
      <c r="BE50" s="966"/>
      <c r="BF50" s="966"/>
      <c r="BG50" s="966"/>
      <c r="BH50" s="964"/>
      <c r="BI50" s="966"/>
      <c r="BJ50" s="966"/>
      <c r="BK50" s="964"/>
      <c r="BL50" s="966"/>
      <c r="BM50" s="964"/>
      <c r="BN50" s="966"/>
      <c r="BO50" s="966"/>
      <c r="BP50" s="966"/>
      <c r="BQ50" s="964"/>
      <c r="BR50" s="966"/>
      <c r="BS50" s="966"/>
      <c r="BT50" s="966"/>
      <c r="BU50" s="966"/>
      <c r="BV50" s="964"/>
      <c r="BW50" s="966"/>
      <c r="BX50" s="966"/>
      <c r="BY50" s="966"/>
      <c r="BZ50" s="964"/>
      <c r="CA50" s="966"/>
      <c r="CB50" s="966"/>
      <c r="CC50" s="966"/>
      <c r="CD50" s="966"/>
      <c r="CE50" s="964"/>
      <c r="CF50" s="966"/>
      <c r="CG50" s="966"/>
      <c r="CH50" s="966"/>
      <c r="CI50" s="964"/>
      <c r="CJ50" s="966"/>
      <c r="CK50" s="966"/>
      <c r="CL50" s="966"/>
      <c r="CM50" s="966"/>
      <c r="CN50" s="964"/>
      <c r="CO50" s="966"/>
      <c r="CP50" s="966"/>
      <c r="CQ50" s="966"/>
      <c r="CR50" s="964"/>
      <c r="CS50" s="966"/>
      <c r="CT50" s="966"/>
      <c r="CU50" s="966"/>
      <c r="CV50" s="966"/>
      <c r="CW50" s="964"/>
      <c r="CX50" s="972"/>
      <c r="CY50" s="966"/>
      <c r="CZ50" s="966"/>
      <c r="DA50" s="964"/>
      <c r="DB50" s="966"/>
      <c r="DC50" s="966"/>
      <c r="DD50" s="966"/>
      <c r="DE50" s="966"/>
      <c r="DF50" s="964"/>
      <c r="DG50" s="966"/>
      <c r="DH50" s="966"/>
      <c r="DI50" s="966"/>
      <c r="DJ50" s="964"/>
      <c r="DK50" s="966"/>
      <c r="DL50" s="966"/>
      <c r="DM50" s="964"/>
      <c r="DN50" s="966"/>
      <c r="DO50" s="964"/>
      <c r="DP50" s="966"/>
      <c r="DQ50" s="966"/>
      <c r="DR50" s="966"/>
      <c r="DS50" s="964"/>
      <c r="DT50" s="966"/>
      <c r="DU50" s="966"/>
      <c r="DV50" s="966"/>
      <c r="DW50" s="966"/>
      <c r="DX50" s="964"/>
      <c r="DY50" s="966"/>
      <c r="DZ50" s="966"/>
      <c r="EA50" s="966"/>
      <c r="EB50" s="964"/>
      <c r="EC50" s="966"/>
      <c r="ED50" s="966"/>
      <c r="EE50" s="964"/>
    </row>
    <row r="51">
      <c r="A51" s="33">
        <f>'Schedule | 3 Division (OLD)'!P19</f>
        <v>39</v>
      </c>
      <c r="B51" s="30" t="str">
        <f>'Schedule | 3 Division (OLD)'!K19</f>
        <v>SAPPIAMO</v>
      </c>
      <c r="C51" s="906">
        <f>'Schedule | 3 Division (OLD)'!L19</f>
        <v>0</v>
      </c>
      <c r="D51" s="906">
        <f>'Schedule | 3 Division (OLD)'!N19</f>
        <v>0</v>
      </c>
      <c r="E51" s="30" t="str">
        <f>'Schedule | 3 Division (OLD)'!O19</f>
        <v>ALTF4</v>
      </c>
      <c r="F51" s="30" t="str">
        <f t="shared" si="36"/>
        <v/>
      </c>
      <c r="G51" s="433" t="str">
        <f t="shared" si="37"/>
        <v/>
      </c>
      <c r="H51" s="966"/>
      <c r="I51" s="966"/>
      <c r="J51" s="964"/>
      <c r="K51" s="964"/>
      <c r="L51" s="966"/>
      <c r="M51" s="966"/>
      <c r="N51" s="966"/>
      <c r="O51" s="964"/>
      <c r="P51" s="966"/>
      <c r="Q51" s="966"/>
      <c r="R51" s="966"/>
      <c r="S51" s="964"/>
      <c r="T51" s="964"/>
      <c r="U51" s="964"/>
      <c r="V51" s="966"/>
      <c r="W51" s="966"/>
      <c r="X51" s="964"/>
      <c r="Y51" s="966"/>
      <c r="Z51" s="966"/>
      <c r="AA51" s="966"/>
      <c r="AB51" s="964"/>
      <c r="AC51" s="964"/>
      <c r="AD51" s="966"/>
      <c r="AE51" s="966"/>
      <c r="AF51" s="966"/>
      <c r="AG51" s="964"/>
      <c r="AH51" s="966"/>
      <c r="AI51" s="966"/>
      <c r="AJ51" s="966"/>
      <c r="AK51" s="964"/>
      <c r="AL51" s="964"/>
      <c r="AM51" s="972"/>
      <c r="AN51" s="966"/>
      <c r="AO51" s="966"/>
      <c r="AP51" s="964"/>
      <c r="AQ51" s="966"/>
      <c r="AR51" s="966"/>
      <c r="AS51" s="964"/>
      <c r="AT51" s="966"/>
      <c r="AU51" s="964"/>
      <c r="AV51" s="966"/>
      <c r="AW51" s="966"/>
      <c r="AX51" s="966"/>
      <c r="AY51" s="964"/>
      <c r="AZ51" s="966"/>
      <c r="BA51" s="966"/>
      <c r="BB51" s="966"/>
      <c r="BC51" s="966"/>
      <c r="BD51" s="964"/>
      <c r="BE51" s="966"/>
      <c r="BF51" s="966"/>
      <c r="BG51" s="966"/>
      <c r="BH51" s="964"/>
      <c r="BI51" s="966"/>
      <c r="BJ51" s="966"/>
      <c r="BK51" s="964"/>
      <c r="BL51" s="966"/>
      <c r="BM51" s="964"/>
      <c r="BN51" s="966"/>
      <c r="BO51" s="966"/>
      <c r="BP51" s="966"/>
      <c r="BQ51" s="964"/>
      <c r="BR51" s="966"/>
      <c r="BS51" s="966"/>
      <c r="BT51" s="966"/>
      <c r="BU51" s="966"/>
      <c r="BV51" s="964"/>
      <c r="BW51" s="966"/>
      <c r="BX51" s="966"/>
      <c r="BY51" s="966"/>
      <c r="BZ51" s="964"/>
      <c r="CA51" s="966"/>
      <c r="CB51" s="966"/>
      <c r="CC51" s="966"/>
      <c r="CD51" s="966"/>
      <c r="CE51" s="964"/>
      <c r="CF51" s="966"/>
      <c r="CG51" s="966"/>
      <c r="CH51" s="966"/>
      <c r="CI51" s="964"/>
      <c r="CJ51" s="966"/>
      <c r="CK51" s="966"/>
      <c r="CL51" s="966"/>
      <c r="CM51" s="966"/>
      <c r="CN51" s="964"/>
      <c r="CO51" s="966"/>
      <c r="CP51" s="966"/>
      <c r="CQ51" s="966"/>
      <c r="CR51" s="964"/>
      <c r="CS51" s="966"/>
      <c r="CT51" s="966"/>
      <c r="CU51" s="966"/>
      <c r="CV51" s="966"/>
      <c r="CW51" s="964"/>
      <c r="CX51" s="972"/>
      <c r="CY51" s="966"/>
      <c r="CZ51" s="966"/>
      <c r="DA51" s="964"/>
      <c r="DB51" s="966"/>
      <c r="DC51" s="966"/>
      <c r="DD51" s="966"/>
      <c r="DE51" s="966"/>
      <c r="DF51" s="964"/>
      <c r="DG51" s="966"/>
      <c r="DH51" s="966"/>
      <c r="DI51" s="966"/>
      <c r="DJ51" s="964"/>
      <c r="DK51" s="966"/>
      <c r="DL51" s="966"/>
      <c r="DM51" s="964"/>
      <c r="DN51" s="966"/>
      <c r="DO51" s="964"/>
      <c r="DP51" s="966"/>
      <c r="DQ51" s="966"/>
      <c r="DR51" s="966"/>
      <c r="DS51" s="964"/>
      <c r="DT51" s="966"/>
      <c r="DU51" s="966"/>
      <c r="DV51" s="966"/>
      <c r="DW51" s="966"/>
      <c r="DX51" s="964"/>
      <c r="DY51" s="966"/>
      <c r="DZ51" s="966"/>
      <c r="EA51" s="966"/>
      <c r="EB51" s="964"/>
      <c r="EC51" s="966"/>
      <c r="ED51" s="966"/>
      <c r="EE51" s="964"/>
    </row>
    <row r="52">
      <c r="A52" s="33">
        <f>'Schedule | 3 Division (OLD)'!P20</f>
        <v>40</v>
      </c>
      <c r="B52" s="30" t="str">
        <f>'Schedule | 3 Division (OLD)'!K20</f>
        <v>RISE</v>
      </c>
      <c r="C52" s="906">
        <f>'Schedule | 3 Division (OLD)'!L20</f>
        <v>0</v>
      </c>
      <c r="D52" s="906">
        <f>'Schedule | 3 Division (OLD)'!N20</f>
        <v>0</v>
      </c>
      <c r="E52" s="30" t="str">
        <f>'Schedule | 3 Division (OLD)'!O20</f>
        <v>HEAX</v>
      </c>
      <c r="F52" s="30" t="str">
        <f t="shared" si="36"/>
        <v/>
      </c>
      <c r="G52" s="433" t="str">
        <f t="shared" si="37"/>
        <v/>
      </c>
      <c r="H52" s="966"/>
      <c r="I52" s="966"/>
      <c r="J52" s="964"/>
      <c r="K52" s="964"/>
      <c r="L52" s="966"/>
      <c r="M52" s="966"/>
      <c r="N52" s="966"/>
      <c r="O52" s="964"/>
      <c r="P52" s="966"/>
      <c r="Q52" s="966"/>
      <c r="R52" s="966"/>
      <c r="S52" s="964"/>
      <c r="T52" s="964"/>
      <c r="U52" s="964"/>
      <c r="V52" s="966"/>
      <c r="W52" s="966"/>
      <c r="X52" s="964"/>
      <c r="Y52" s="966"/>
      <c r="Z52" s="966"/>
      <c r="AA52" s="966"/>
      <c r="AB52" s="964"/>
      <c r="AC52" s="964"/>
      <c r="AD52" s="966"/>
      <c r="AE52" s="966"/>
      <c r="AF52" s="966"/>
      <c r="AG52" s="964"/>
      <c r="AH52" s="966"/>
      <c r="AI52" s="966"/>
      <c r="AJ52" s="966"/>
      <c r="AK52" s="964"/>
      <c r="AL52" s="964"/>
      <c r="AM52" s="972"/>
      <c r="AN52" s="966"/>
      <c r="AO52" s="966"/>
      <c r="AP52" s="964"/>
      <c r="AQ52" s="966"/>
      <c r="AR52" s="966"/>
      <c r="AS52" s="964"/>
      <c r="AT52" s="966"/>
      <c r="AU52" s="964"/>
      <c r="AV52" s="966"/>
      <c r="AW52" s="966"/>
      <c r="AX52" s="966"/>
      <c r="AY52" s="964"/>
      <c r="AZ52" s="966"/>
      <c r="BA52" s="966"/>
      <c r="BB52" s="966"/>
      <c r="BC52" s="966"/>
      <c r="BD52" s="964"/>
      <c r="BE52" s="966"/>
      <c r="BF52" s="966"/>
      <c r="BG52" s="966"/>
      <c r="BH52" s="964"/>
      <c r="BI52" s="966"/>
      <c r="BJ52" s="966"/>
      <c r="BK52" s="964"/>
      <c r="BL52" s="966"/>
      <c r="BM52" s="964"/>
      <c r="BN52" s="966"/>
      <c r="BO52" s="966"/>
      <c r="BP52" s="966"/>
      <c r="BQ52" s="964"/>
      <c r="BR52" s="966"/>
      <c r="BS52" s="966"/>
      <c r="BT52" s="966"/>
      <c r="BU52" s="966"/>
      <c r="BV52" s="964"/>
      <c r="BW52" s="966"/>
      <c r="BX52" s="966"/>
      <c r="BY52" s="966"/>
      <c r="BZ52" s="964"/>
      <c r="CA52" s="966"/>
      <c r="CB52" s="966"/>
      <c r="CC52" s="966"/>
      <c r="CD52" s="966"/>
      <c r="CE52" s="964"/>
      <c r="CF52" s="966"/>
      <c r="CG52" s="966"/>
      <c r="CH52" s="966"/>
      <c r="CI52" s="964"/>
      <c r="CJ52" s="966"/>
      <c r="CK52" s="966"/>
      <c r="CL52" s="966"/>
      <c r="CM52" s="966"/>
      <c r="CN52" s="964"/>
      <c r="CO52" s="966"/>
      <c r="CP52" s="966"/>
      <c r="CQ52" s="966"/>
      <c r="CR52" s="964"/>
      <c r="CS52" s="966"/>
      <c r="CT52" s="966"/>
      <c r="CU52" s="966"/>
      <c r="CV52" s="966"/>
      <c r="CW52" s="964"/>
      <c r="CX52" s="972"/>
      <c r="CY52" s="966"/>
      <c r="CZ52" s="966"/>
      <c r="DA52" s="964"/>
      <c r="DB52" s="966"/>
      <c r="DC52" s="966"/>
      <c r="DD52" s="966"/>
      <c r="DE52" s="966"/>
      <c r="DF52" s="964"/>
      <c r="DG52" s="966"/>
      <c r="DH52" s="966"/>
      <c r="DI52" s="966"/>
      <c r="DJ52" s="964"/>
      <c r="DK52" s="966"/>
      <c r="DL52" s="966"/>
      <c r="DM52" s="964"/>
      <c r="DN52" s="966"/>
      <c r="DO52" s="964"/>
      <c r="DP52" s="966"/>
      <c r="DQ52" s="966"/>
      <c r="DR52" s="966"/>
      <c r="DS52" s="964"/>
      <c r="DT52" s="966"/>
      <c r="DU52" s="966"/>
      <c r="DV52" s="966"/>
      <c r="DW52" s="966"/>
      <c r="DX52" s="964"/>
      <c r="DY52" s="966"/>
      <c r="DZ52" s="966"/>
      <c r="EA52" s="966"/>
      <c r="EB52" s="964"/>
      <c r="EC52" s="966"/>
      <c r="ED52" s="966"/>
      <c r="EE52" s="964"/>
    </row>
    <row r="53">
      <c r="A53" s="33">
        <f>'Schedule | 3 Division (OLD)'!P23</f>
        <v>41</v>
      </c>
      <c r="B53" s="30" t="str">
        <f>'Schedule | 3 Division (OLD)'!K23</f>
        <v>КОРМ 2</v>
      </c>
      <c r="C53" s="906">
        <f>'Schedule | 3 Division (OLD)'!L23</f>
        <v>0</v>
      </c>
      <c r="D53" s="906">
        <f>'Schedule | 3 Division (OLD)'!N23</f>
        <v>0</v>
      </c>
      <c r="E53" s="30" t="str">
        <f>'Schedule | 3 Division (OLD)'!O23</f>
        <v>SAPPIAMO</v>
      </c>
      <c r="F53" s="30" t="str">
        <f t="shared" si="36"/>
        <v/>
      </c>
      <c r="G53" s="433" t="str">
        <f t="shared" si="37"/>
        <v/>
      </c>
      <c r="H53" s="966"/>
      <c r="I53" s="966"/>
      <c r="J53" s="964"/>
      <c r="K53" s="964"/>
      <c r="L53" s="966"/>
      <c r="M53" s="966"/>
      <c r="N53" s="966"/>
      <c r="O53" s="964"/>
      <c r="P53" s="966"/>
      <c r="Q53" s="966"/>
      <c r="R53" s="966"/>
      <c r="S53" s="964"/>
      <c r="T53" s="964"/>
      <c r="U53" s="964"/>
      <c r="V53" s="966"/>
      <c r="W53" s="966"/>
      <c r="X53" s="964"/>
      <c r="Y53" s="966"/>
      <c r="Z53" s="966"/>
      <c r="AA53" s="966"/>
      <c r="AB53" s="964"/>
      <c r="AC53" s="964"/>
      <c r="AD53" s="966"/>
      <c r="AE53" s="966"/>
      <c r="AF53" s="966"/>
      <c r="AG53" s="964"/>
      <c r="AH53" s="966"/>
      <c r="AI53" s="966"/>
      <c r="AJ53" s="966"/>
      <c r="AK53" s="964"/>
      <c r="AL53" s="964"/>
      <c r="AM53" s="972"/>
      <c r="AN53" s="966"/>
      <c r="AO53" s="966"/>
      <c r="AP53" s="964"/>
      <c r="AQ53" s="966"/>
      <c r="AR53" s="966"/>
      <c r="AS53" s="964"/>
      <c r="AT53" s="966"/>
      <c r="AU53" s="964"/>
      <c r="AV53" s="966"/>
      <c r="AW53" s="966"/>
      <c r="AX53" s="966"/>
      <c r="AY53" s="964"/>
      <c r="AZ53" s="966"/>
      <c r="BA53" s="966"/>
      <c r="BB53" s="966"/>
      <c r="BC53" s="966"/>
      <c r="BD53" s="964"/>
      <c r="BE53" s="966"/>
      <c r="BF53" s="966"/>
      <c r="BG53" s="966"/>
      <c r="BH53" s="964"/>
      <c r="BI53" s="966"/>
      <c r="BJ53" s="966"/>
      <c r="BK53" s="964"/>
      <c r="BL53" s="966"/>
      <c r="BM53" s="964"/>
      <c r="BN53" s="966"/>
      <c r="BO53" s="966"/>
      <c r="BP53" s="966"/>
      <c r="BQ53" s="964"/>
      <c r="BR53" s="966"/>
      <c r="BS53" s="966"/>
      <c r="BT53" s="966"/>
      <c r="BU53" s="966"/>
      <c r="BV53" s="964"/>
      <c r="BW53" s="966"/>
      <c r="BX53" s="966"/>
      <c r="BY53" s="966"/>
      <c r="BZ53" s="964"/>
      <c r="CA53" s="966"/>
      <c r="CB53" s="966"/>
      <c r="CC53" s="966"/>
      <c r="CD53" s="966"/>
      <c r="CE53" s="964"/>
      <c r="CF53" s="966"/>
      <c r="CG53" s="966"/>
      <c r="CH53" s="966"/>
      <c r="CI53" s="964"/>
      <c r="CJ53" s="966"/>
      <c r="CK53" s="966"/>
      <c r="CL53" s="966"/>
      <c r="CM53" s="966"/>
      <c r="CN53" s="964"/>
      <c r="CO53" s="966"/>
      <c r="CP53" s="966"/>
      <c r="CQ53" s="966"/>
      <c r="CR53" s="964"/>
      <c r="CS53" s="966"/>
      <c r="CT53" s="966"/>
      <c r="CU53" s="966"/>
      <c r="CV53" s="966"/>
      <c r="CW53" s="964"/>
      <c r="CX53" s="972"/>
      <c r="CY53" s="966"/>
      <c r="CZ53" s="966"/>
      <c r="DA53" s="964"/>
      <c r="DB53" s="966"/>
      <c r="DC53" s="966"/>
      <c r="DD53" s="966"/>
      <c r="DE53" s="966"/>
      <c r="DF53" s="964"/>
      <c r="DG53" s="966"/>
      <c r="DH53" s="966"/>
      <c r="DI53" s="966"/>
      <c r="DJ53" s="964"/>
      <c r="DK53" s="966"/>
      <c r="DL53" s="966"/>
      <c r="DM53" s="964"/>
      <c r="DN53" s="966"/>
      <c r="DO53" s="964"/>
      <c r="DP53" s="966"/>
      <c r="DQ53" s="966"/>
      <c r="DR53" s="966"/>
      <c r="DS53" s="964"/>
      <c r="DT53" s="966"/>
      <c r="DU53" s="966"/>
      <c r="DV53" s="966"/>
      <c r="DW53" s="966"/>
      <c r="DX53" s="964"/>
      <c r="DY53" s="966"/>
      <c r="DZ53" s="966"/>
      <c r="EA53" s="966"/>
      <c r="EB53" s="964"/>
      <c r="EC53" s="966"/>
      <c r="ED53" s="966"/>
      <c r="EE53" s="964"/>
    </row>
    <row r="54">
      <c r="A54" s="33">
        <f>'Schedule | 3 Division (OLD)'!P24</f>
        <v>42</v>
      </c>
      <c r="B54" s="30" t="str">
        <f>'Schedule | 3 Division (OLD)'!K24</f>
        <v>RISE</v>
      </c>
      <c r="C54" s="906">
        <f>'Schedule | 3 Division (OLD)'!L24</f>
        <v>0</v>
      </c>
      <c r="D54" s="906">
        <f>'Schedule | 3 Division (OLD)'!N24</f>
        <v>0</v>
      </c>
      <c r="E54" s="30" t="str">
        <f>'Schedule | 3 Division (OLD)'!O24</f>
        <v>DEACUERDO</v>
      </c>
      <c r="F54" s="30" t="str">
        <f t="shared" si="36"/>
        <v/>
      </c>
      <c r="G54" s="433" t="str">
        <f t="shared" si="37"/>
        <v/>
      </c>
      <c r="H54" s="966"/>
      <c r="I54" s="966"/>
      <c r="J54" s="964"/>
      <c r="K54" s="964"/>
      <c r="L54" s="966"/>
      <c r="M54" s="966"/>
      <c r="N54" s="966"/>
      <c r="O54" s="964"/>
      <c r="P54" s="966"/>
      <c r="Q54" s="966"/>
      <c r="R54" s="966"/>
      <c r="S54" s="964"/>
      <c r="T54" s="964"/>
      <c r="U54" s="964"/>
      <c r="V54" s="966"/>
      <c r="W54" s="966"/>
      <c r="X54" s="964"/>
      <c r="Y54" s="966"/>
      <c r="Z54" s="966"/>
      <c r="AA54" s="966"/>
      <c r="AB54" s="964"/>
      <c r="AC54" s="964"/>
      <c r="AD54" s="966"/>
      <c r="AE54" s="966"/>
      <c r="AF54" s="966"/>
      <c r="AG54" s="964"/>
      <c r="AH54" s="966"/>
      <c r="AI54" s="966"/>
      <c r="AJ54" s="966"/>
      <c r="AK54" s="964"/>
      <c r="AL54" s="964"/>
      <c r="AM54" s="972"/>
      <c r="AN54" s="966"/>
      <c r="AO54" s="966"/>
      <c r="AP54" s="964"/>
      <c r="AQ54" s="966"/>
      <c r="AR54" s="966"/>
      <c r="AS54" s="964"/>
      <c r="AT54" s="966"/>
      <c r="AU54" s="964"/>
      <c r="AV54" s="966"/>
      <c r="AW54" s="966"/>
      <c r="AX54" s="966"/>
      <c r="AY54" s="964"/>
      <c r="AZ54" s="966"/>
      <c r="BA54" s="966"/>
      <c r="BB54" s="966"/>
      <c r="BC54" s="966"/>
      <c r="BD54" s="964"/>
      <c r="BE54" s="966"/>
      <c r="BF54" s="966"/>
      <c r="BG54" s="966"/>
      <c r="BH54" s="964"/>
      <c r="BI54" s="966"/>
      <c r="BJ54" s="966"/>
      <c r="BK54" s="964"/>
      <c r="BL54" s="966"/>
      <c r="BM54" s="964"/>
      <c r="BN54" s="966"/>
      <c r="BO54" s="966"/>
      <c r="BP54" s="966"/>
      <c r="BQ54" s="964"/>
      <c r="BR54" s="966"/>
      <c r="BS54" s="966"/>
      <c r="BT54" s="966"/>
      <c r="BU54" s="966"/>
      <c r="BV54" s="964"/>
      <c r="BW54" s="966"/>
      <c r="BX54" s="966"/>
      <c r="BY54" s="966"/>
      <c r="BZ54" s="964"/>
      <c r="CA54" s="966"/>
      <c r="CB54" s="966"/>
      <c r="CC54" s="966"/>
      <c r="CD54" s="966"/>
      <c r="CE54" s="964"/>
      <c r="CF54" s="966"/>
      <c r="CG54" s="966"/>
      <c r="CH54" s="966"/>
      <c r="CI54" s="964"/>
      <c r="CJ54" s="966"/>
      <c r="CK54" s="966"/>
      <c r="CL54" s="966"/>
      <c r="CM54" s="966"/>
      <c r="CN54" s="964"/>
      <c r="CO54" s="966"/>
      <c r="CP54" s="966"/>
      <c r="CQ54" s="966"/>
      <c r="CR54" s="964"/>
      <c r="CS54" s="966"/>
      <c r="CT54" s="966"/>
      <c r="CU54" s="966"/>
      <c r="CV54" s="966"/>
      <c r="CW54" s="964"/>
      <c r="CX54" s="972"/>
      <c r="CY54" s="966"/>
      <c r="CZ54" s="966"/>
      <c r="DA54" s="964"/>
      <c r="DB54" s="966"/>
      <c r="DC54" s="966"/>
      <c r="DD54" s="966"/>
      <c r="DE54" s="966"/>
      <c r="DF54" s="964"/>
      <c r="DG54" s="966"/>
      <c r="DH54" s="966"/>
      <c r="DI54" s="966"/>
      <c r="DJ54" s="964"/>
      <c r="DK54" s="966"/>
      <c r="DL54" s="966"/>
      <c r="DM54" s="964"/>
      <c r="DN54" s="966"/>
      <c r="DO54" s="964"/>
      <c r="DP54" s="966"/>
      <c r="DQ54" s="966"/>
      <c r="DR54" s="966"/>
      <c r="DS54" s="964"/>
      <c r="DT54" s="966"/>
      <c r="DU54" s="966"/>
      <c r="DV54" s="966"/>
      <c r="DW54" s="966"/>
      <c r="DX54" s="964"/>
      <c r="DY54" s="966"/>
      <c r="DZ54" s="966"/>
      <c r="EA54" s="966"/>
      <c r="EB54" s="964"/>
      <c r="EC54" s="966"/>
      <c r="ED54" s="966"/>
      <c r="EE54" s="964"/>
    </row>
    <row r="55">
      <c r="A55" s="33">
        <f>'Schedule | 3 Division (OLD)'!P25</f>
        <v>43</v>
      </c>
      <c r="B55" s="30" t="str">
        <f>'Schedule | 3 Division (OLD)'!K25</f>
        <v>BOGATYRI</v>
      </c>
      <c r="C55" s="906">
        <f>'Schedule | 3 Division (OLD)'!L25</f>
        <v>0</v>
      </c>
      <c r="D55" s="906">
        <f>'Schedule | 3 Division (OLD)'!N25</f>
        <v>0</v>
      </c>
      <c r="E55" s="30" t="str">
        <f>'Schedule | 3 Division (OLD)'!O25</f>
        <v>HEAX</v>
      </c>
      <c r="F55" s="30" t="str">
        <f t="shared" si="36"/>
        <v/>
      </c>
      <c r="G55" s="433" t="str">
        <f t="shared" si="37"/>
        <v/>
      </c>
      <c r="H55" s="966"/>
      <c r="I55" s="966"/>
      <c r="J55" s="964"/>
      <c r="K55" s="964"/>
      <c r="L55" s="966"/>
      <c r="M55" s="966"/>
      <c r="N55" s="966"/>
      <c r="O55" s="964"/>
      <c r="P55" s="966"/>
      <c r="Q55" s="966"/>
      <c r="R55" s="966"/>
      <c r="S55" s="964"/>
      <c r="T55" s="964"/>
      <c r="U55" s="964"/>
      <c r="V55" s="966"/>
      <c r="W55" s="966"/>
      <c r="X55" s="964"/>
      <c r="Y55" s="966"/>
      <c r="Z55" s="966"/>
      <c r="AA55" s="966"/>
      <c r="AB55" s="964"/>
      <c r="AC55" s="964"/>
      <c r="AD55" s="966"/>
      <c r="AE55" s="966"/>
      <c r="AF55" s="966"/>
      <c r="AG55" s="964"/>
      <c r="AH55" s="966"/>
      <c r="AI55" s="966"/>
      <c r="AJ55" s="966"/>
      <c r="AK55" s="964"/>
      <c r="AL55" s="964"/>
      <c r="AM55" s="972"/>
      <c r="AN55" s="966"/>
      <c r="AO55" s="966"/>
      <c r="AP55" s="964"/>
      <c r="AQ55" s="966"/>
      <c r="AR55" s="966"/>
      <c r="AS55" s="964"/>
      <c r="AT55" s="966"/>
      <c r="AU55" s="964"/>
      <c r="AV55" s="966"/>
      <c r="AW55" s="966"/>
      <c r="AX55" s="966"/>
      <c r="AY55" s="964"/>
      <c r="AZ55" s="966"/>
      <c r="BA55" s="966"/>
      <c r="BB55" s="966"/>
      <c r="BC55" s="966"/>
      <c r="BD55" s="964"/>
      <c r="BE55" s="966"/>
      <c r="BF55" s="966"/>
      <c r="BG55" s="966"/>
      <c r="BH55" s="964"/>
      <c r="BI55" s="966"/>
      <c r="BJ55" s="966"/>
      <c r="BK55" s="964"/>
      <c r="BL55" s="966"/>
      <c r="BM55" s="964"/>
      <c r="BN55" s="966"/>
      <c r="BO55" s="966"/>
      <c r="BP55" s="966"/>
      <c r="BQ55" s="964"/>
      <c r="BR55" s="966"/>
      <c r="BS55" s="966"/>
      <c r="BT55" s="966"/>
      <c r="BU55" s="966"/>
      <c r="BV55" s="964"/>
      <c r="BW55" s="966"/>
      <c r="BX55" s="966"/>
      <c r="BY55" s="966"/>
      <c r="BZ55" s="964"/>
      <c r="CA55" s="966"/>
      <c r="CB55" s="966"/>
      <c r="CC55" s="966"/>
      <c r="CD55" s="966"/>
      <c r="CE55" s="964"/>
      <c r="CF55" s="966"/>
      <c r="CG55" s="966"/>
      <c r="CH55" s="966"/>
      <c r="CI55" s="964"/>
      <c r="CJ55" s="966"/>
      <c r="CK55" s="966"/>
      <c r="CL55" s="966"/>
      <c r="CM55" s="966"/>
      <c r="CN55" s="964"/>
      <c r="CO55" s="966"/>
      <c r="CP55" s="966"/>
      <c r="CQ55" s="966"/>
      <c r="CR55" s="964"/>
      <c r="CS55" s="966"/>
      <c r="CT55" s="966"/>
      <c r="CU55" s="966"/>
      <c r="CV55" s="966"/>
      <c r="CW55" s="964"/>
      <c r="CX55" s="972"/>
      <c r="CY55" s="966"/>
      <c r="CZ55" s="966"/>
      <c r="DA55" s="964"/>
      <c r="DB55" s="966"/>
      <c r="DC55" s="966"/>
      <c r="DD55" s="966"/>
      <c r="DE55" s="966"/>
      <c r="DF55" s="964"/>
      <c r="DG55" s="966"/>
      <c r="DH55" s="966"/>
      <c r="DI55" s="966"/>
      <c r="DJ55" s="964"/>
      <c r="DK55" s="966"/>
      <c r="DL55" s="966"/>
      <c r="DM55" s="964"/>
      <c r="DN55" s="966"/>
      <c r="DO55" s="964"/>
      <c r="DP55" s="966"/>
      <c r="DQ55" s="966"/>
      <c r="DR55" s="966"/>
      <c r="DS55" s="964"/>
      <c r="DT55" s="966"/>
      <c r="DU55" s="966"/>
      <c r="DV55" s="966"/>
      <c r="DW55" s="966"/>
      <c r="DX55" s="964"/>
      <c r="DY55" s="966"/>
      <c r="DZ55" s="966"/>
      <c r="EA55" s="966"/>
      <c r="EB55" s="964"/>
      <c r="EC55" s="966"/>
      <c r="ED55" s="966"/>
      <c r="EE55" s="964"/>
    </row>
    <row r="56">
      <c r="A56" s="33">
        <f>'Schedule | 3 Division (OLD)'!P26</f>
        <v>44</v>
      </c>
      <c r="B56" s="30" t="str">
        <f>'Schedule | 3 Division (OLD)'!K26</f>
        <v>ACHIEVERS</v>
      </c>
      <c r="C56" s="906">
        <f>'Schedule | 3 Division (OLD)'!L26</f>
        <v>0</v>
      </c>
      <c r="D56" s="906">
        <f>'Schedule | 3 Division (OLD)'!N26</f>
        <v>0</v>
      </c>
      <c r="E56" s="30" t="str">
        <f>'Schedule | 3 Division (OLD)'!O26</f>
        <v>ALTF4</v>
      </c>
      <c r="F56" s="30" t="str">
        <f t="shared" si="36"/>
        <v/>
      </c>
      <c r="G56" s="433" t="str">
        <f t="shared" si="37"/>
        <v/>
      </c>
      <c r="H56" s="966"/>
      <c r="I56" s="966"/>
      <c r="J56" s="964"/>
      <c r="K56" s="964"/>
      <c r="L56" s="966"/>
      <c r="M56" s="966"/>
      <c r="N56" s="966"/>
      <c r="O56" s="964"/>
      <c r="P56" s="966"/>
      <c r="Q56" s="966"/>
      <c r="R56" s="966"/>
      <c r="S56" s="964"/>
      <c r="T56" s="964"/>
      <c r="U56" s="964"/>
      <c r="V56" s="966"/>
      <c r="W56" s="966"/>
      <c r="X56" s="964"/>
      <c r="Y56" s="966"/>
      <c r="Z56" s="966"/>
      <c r="AA56" s="966"/>
      <c r="AB56" s="964"/>
      <c r="AC56" s="964"/>
      <c r="AD56" s="966"/>
      <c r="AE56" s="966"/>
      <c r="AF56" s="966"/>
      <c r="AG56" s="964"/>
      <c r="AH56" s="966"/>
      <c r="AI56" s="966"/>
      <c r="AJ56" s="966"/>
      <c r="AK56" s="964"/>
      <c r="AL56" s="964"/>
      <c r="AM56" s="972"/>
      <c r="AN56" s="966"/>
      <c r="AO56" s="966"/>
      <c r="AP56" s="964"/>
      <c r="AQ56" s="966"/>
      <c r="AR56" s="966"/>
      <c r="AS56" s="964"/>
      <c r="AT56" s="966"/>
      <c r="AU56" s="964"/>
      <c r="AV56" s="966"/>
      <c r="AW56" s="966"/>
      <c r="AX56" s="966"/>
      <c r="AY56" s="964"/>
      <c r="AZ56" s="966"/>
      <c r="BA56" s="966"/>
      <c r="BB56" s="966"/>
      <c r="BC56" s="966"/>
      <c r="BD56" s="964"/>
      <c r="BE56" s="966"/>
      <c r="BF56" s="966"/>
      <c r="BG56" s="966"/>
      <c r="BH56" s="964"/>
      <c r="BI56" s="966"/>
      <c r="BJ56" s="966"/>
      <c r="BK56" s="964"/>
      <c r="BL56" s="966"/>
      <c r="BM56" s="964"/>
      <c r="BN56" s="966"/>
      <c r="BO56" s="966"/>
      <c r="BP56" s="966"/>
      <c r="BQ56" s="964"/>
      <c r="BR56" s="966"/>
      <c r="BS56" s="966"/>
      <c r="BT56" s="966"/>
      <c r="BU56" s="966"/>
      <c r="BV56" s="964"/>
      <c r="BW56" s="966"/>
      <c r="BX56" s="966"/>
      <c r="BY56" s="966"/>
      <c r="BZ56" s="964"/>
      <c r="CA56" s="966"/>
      <c r="CB56" s="966"/>
      <c r="CC56" s="966"/>
      <c r="CD56" s="966"/>
      <c r="CE56" s="964"/>
      <c r="CF56" s="966"/>
      <c r="CG56" s="966"/>
      <c r="CH56" s="966"/>
      <c r="CI56" s="964"/>
      <c r="CJ56" s="966"/>
      <c r="CK56" s="966"/>
      <c r="CL56" s="966"/>
      <c r="CM56" s="966"/>
      <c r="CN56" s="964"/>
      <c r="CO56" s="966"/>
      <c r="CP56" s="966"/>
      <c r="CQ56" s="966"/>
      <c r="CR56" s="964"/>
      <c r="CS56" s="966"/>
      <c r="CT56" s="966"/>
      <c r="CU56" s="966"/>
      <c r="CV56" s="966"/>
      <c r="CW56" s="964"/>
      <c r="CX56" s="972"/>
      <c r="CY56" s="966"/>
      <c r="CZ56" s="966"/>
      <c r="DA56" s="964"/>
      <c r="DB56" s="966"/>
      <c r="DC56" s="966"/>
      <c r="DD56" s="966"/>
      <c r="DE56" s="966"/>
      <c r="DF56" s="964"/>
      <c r="DG56" s="966"/>
      <c r="DH56" s="966"/>
      <c r="DI56" s="966"/>
      <c r="DJ56" s="964"/>
      <c r="DK56" s="966"/>
      <c r="DL56" s="966"/>
      <c r="DM56" s="964"/>
      <c r="DN56" s="966"/>
      <c r="DO56" s="964"/>
      <c r="DP56" s="966"/>
      <c r="DQ56" s="966"/>
      <c r="DR56" s="966"/>
      <c r="DS56" s="964"/>
      <c r="DT56" s="966"/>
      <c r="DU56" s="966"/>
      <c r="DV56" s="966"/>
      <c r="DW56" s="966"/>
      <c r="DX56" s="964"/>
      <c r="DY56" s="966"/>
      <c r="DZ56" s="966"/>
      <c r="EA56" s="966"/>
      <c r="EB56" s="964"/>
      <c r="EC56" s="966"/>
      <c r="ED56" s="966"/>
      <c r="EE56" s="964"/>
    </row>
    <row r="57">
      <c r="A57" s="33">
        <f>'Schedule | 3 Division (OLD)'!P29</f>
        <v>45</v>
      </c>
      <c r="B57" s="30" t="str">
        <f>'Schedule | 3 Division (OLD)'!K29</f>
        <v>ALTF4</v>
      </c>
      <c r="C57" s="906">
        <f>'Schedule | 3 Division (OLD)'!L29</f>
        <v>0</v>
      </c>
      <c r="D57" s="906">
        <f>'Schedule | 3 Division (OLD)'!N29</f>
        <v>0</v>
      </c>
      <c r="E57" s="30" t="str">
        <f>'Schedule | 3 Division (OLD)'!O29</f>
        <v>BOGATYRI</v>
      </c>
      <c r="F57" s="30" t="str">
        <f t="shared" si="36"/>
        <v/>
      </c>
      <c r="G57" s="433" t="str">
        <f t="shared" si="37"/>
        <v/>
      </c>
      <c r="H57" s="966"/>
      <c r="I57" s="966"/>
      <c r="J57" s="964"/>
      <c r="K57" s="964"/>
      <c r="L57" s="966"/>
      <c r="M57" s="966"/>
      <c r="N57" s="966"/>
      <c r="O57" s="964"/>
      <c r="P57" s="966"/>
      <c r="Q57" s="966"/>
      <c r="R57" s="966"/>
      <c r="S57" s="964"/>
      <c r="T57" s="964"/>
      <c r="U57" s="964"/>
      <c r="V57" s="966"/>
      <c r="W57" s="966"/>
      <c r="X57" s="964"/>
      <c r="Y57" s="966"/>
      <c r="Z57" s="966"/>
      <c r="AA57" s="966"/>
      <c r="AB57" s="964"/>
      <c r="AC57" s="964"/>
      <c r="AD57" s="966"/>
      <c r="AE57" s="966"/>
      <c r="AF57" s="966"/>
      <c r="AG57" s="964"/>
      <c r="AH57" s="966"/>
      <c r="AI57" s="966"/>
      <c r="AJ57" s="966"/>
      <c r="AK57" s="964"/>
      <c r="AL57" s="964"/>
      <c r="AM57" s="972"/>
      <c r="AN57" s="966"/>
      <c r="AO57" s="966"/>
      <c r="AP57" s="964"/>
      <c r="AQ57" s="966"/>
      <c r="AR57" s="966"/>
      <c r="AS57" s="964"/>
      <c r="AT57" s="966"/>
      <c r="AU57" s="964"/>
      <c r="AV57" s="966"/>
      <c r="AW57" s="966"/>
      <c r="AX57" s="966"/>
      <c r="AY57" s="964"/>
      <c r="AZ57" s="966"/>
      <c r="BA57" s="966"/>
      <c r="BB57" s="966"/>
      <c r="BC57" s="966"/>
      <c r="BD57" s="964"/>
      <c r="BE57" s="966"/>
      <c r="BF57" s="966"/>
      <c r="BG57" s="966"/>
      <c r="BH57" s="964"/>
      <c r="BI57" s="966"/>
      <c r="BJ57" s="966"/>
      <c r="BK57" s="964"/>
      <c r="BL57" s="966"/>
      <c r="BM57" s="964"/>
      <c r="BN57" s="966"/>
      <c r="BO57" s="966"/>
      <c r="BP57" s="966"/>
      <c r="BQ57" s="964"/>
      <c r="BR57" s="966"/>
      <c r="BS57" s="966"/>
      <c r="BT57" s="966"/>
      <c r="BU57" s="966"/>
      <c r="BV57" s="964"/>
      <c r="BW57" s="966"/>
      <c r="BX57" s="966"/>
      <c r="BY57" s="966"/>
      <c r="BZ57" s="964"/>
      <c r="CA57" s="966"/>
      <c r="CB57" s="966"/>
      <c r="CC57" s="966"/>
      <c r="CD57" s="966"/>
      <c r="CE57" s="964"/>
      <c r="CF57" s="966"/>
      <c r="CG57" s="966"/>
      <c r="CH57" s="966"/>
      <c r="CI57" s="964"/>
      <c r="CJ57" s="966"/>
      <c r="CK57" s="966"/>
      <c r="CL57" s="966"/>
      <c r="CM57" s="966"/>
      <c r="CN57" s="964"/>
      <c r="CO57" s="966"/>
      <c r="CP57" s="966"/>
      <c r="CQ57" s="966"/>
      <c r="CR57" s="964"/>
      <c r="CS57" s="966"/>
      <c r="CT57" s="966"/>
      <c r="CU57" s="966"/>
      <c r="CV57" s="966"/>
      <c r="CW57" s="964"/>
      <c r="CX57" s="972"/>
      <c r="CY57" s="966"/>
      <c r="CZ57" s="966"/>
      <c r="DA57" s="964"/>
      <c r="DB57" s="966"/>
      <c r="DC57" s="966"/>
      <c r="DD57" s="966"/>
      <c r="DE57" s="966"/>
      <c r="DF57" s="964"/>
      <c r="DG57" s="966"/>
      <c r="DH57" s="966"/>
      <c r="DI57" s="966"/>
      <c r="DJ57" s="964"/>
      <c r="DK57" s="966"/>
      <c r="DL57" s="966"/>
      <c r="DM57" s="964"/>
      <c r="DN57" s="966"/>
      <c r="DO57" s="964"/>
      <c r="DP57" s="966"/>
      <c r="DQ57" s="966"/>
      <c r="DR57" s="966"/>
      <c r="DS57" s="964"/>
      <c r="DT57" s="966"/>
      <c r="DU57" s="966"/>
      <c r="DV57" s="966"/>
      <c r="DW57" s="966"/>
      <c r="DX57" s="964"/>
      <c r="DY57" s="966"/>
      <c r="DZ57" s="966"/>
      <c r="EA57" s="966"/>
      <c r="EB57" s="964"/>
      <c r="EC57" s="966"/>
      <c r="ED57" s="966"/>
      <c r="EE57" s="964"/>
    </row>
    <row r="58">
      <c r="A58" s="33">
        <f>'Schedule | 3 Division (OLD)'!P30</f>
        <v>46</v>
      </c>
      <c r="B58" s="30" t="str">
        <f>'Schedule | 3 Division (OLD)'!K30</f>
        <v>ACHIEVERS</v>
      </c>
      <c r="C58" s="906">
        <f>'Schedule | 3 Division (OLD)'!L30</f>
        <v>0</v>
      </c>
      <c r="D58" s="906">
        <f>'Schedule | 3 Division (OLD)'!N30</f>
        <v>0</v>
      </c>
      <c r="E58" s="30" t="str">
        <f>'Schedule | 3 Division (OLD)'!O30</f>
        <v>DEACUERDO</v>
      </c>
      <c r="F58" s="30" t="str">
        <f t="shared" si="36"/>
        <v/>
      </c>
      <c r="G58" s="433" t="str">
        <f t="shared" si="37"/>
        <v/>
      </c>
      <c r="H58" s="966"/>
      <c r="I58" s="966"/>
      <c r="J58" s="964"/>
      <c r="K58" s="964"/>
      <c r="L58" s="966"/>
      <c r="M58" s="966"/>
      <c r="N58" s="966"/>
      <c r="O58" s="964"/>
      <c r="P58" s="966"/>
      <c r="Q58" s="966"/>
      <c r="R58" s="966"/>
      <c r="S58" s="964"/>
      <c r="T58" s="964"/>
      <c r="U58" s="964"/>
      <c r="V58" s="966"/>
      <c r="W58" s="966"/>
      <c r="X58" s="964"/>
      <c r="Y58" s="966"/>
      <c r="Z58" s="966"/>
      <c r="AA58" s="966"/>
      <c r="AB58" s="964"/>
      <c r="AC58" s="964"/>
      <c r="AD58" s="966"/>
      <c r="AE58" s="966"/>
      <c r="AF58" s="966"/>
      <c r="AG58" s="964"/>
      <c r="AH58" s="966"/>
      <c r="AI58" s="966"/>
      <c r="AJ58" s="966"/>
      <c r="AK58" s="964"/>
      <c r="AL58" s="964"/>
      <c r="AM58" s="972"/>
      <c r="AN58" s="966"/>
      <c r="AO58" s="966"/>
      <c r="AP58" s="964"/>
      <c r="AQ58" s="966"/>
      <c r="AR58" s="966"/>
      <c r="AS58" s="964"/>
      <c r="AT58" s="966"/>
      <c r="AU58" s="964"/>
      <c r="AV58" s="966"/>
      <c r="AW58" s="966"/>
      <c r="AX58" s="966"/>
      <c r="AY58" s="964"/>
      <c r="AZ58" s="966"/>
      <c r="BA58" s="966"/>
      <c r="BB58" s="966"/>
      <c r="BC58" s="966"/>
      <c r="BD58" s="964"/>
      <c r="BE58" s="966"/>
      <c r="BF58" s="966"/>
      <c r="BG58" s="966"/>
      <c r="BH58" s="964"/>
      <c r="BI58" s="966"/>
      <c r="BJ58" s="966"/>
      <c r="BK58" s="964"/>
      <c r="BL58" s="966"/>
      <c r="BM58" s="964"/>
      <c r="BN58" s="966"/>
      <c r="BO58" s="966"/>
      <c r="BP58" s="966"/>
      <c r="BQ58" s="964"/>
      <c r="BR58" s="966"/>
      <c r="BS58" s="966"/>
      <c r="BT58" s="966"/>
      <c r="BU58" s="966"/>
      <c r="BV58" s="964"/>
      <c r="BW58" s="966"/>
      <c r="BX58" s="966"/>
      <c r="BY58" s="966"/>
      <c r="BZ58" s="964"/>
      <c r="CA58" s="966"/>
      <c r="CB58" s="966"/>
      <c r="CC58" s="966"/>
      <c r="CD58" s="966"/>
      <c r="CE58" s="964"/>
      <c r="CF58" s="966"/>
      <c r="CG58" s="966"/>
      <c r="CH58" s="966"/>
      <c r="CI58" s="964"/>
      <c r="CJ58" s="966"/>
      <c r="CK58" s="966"/>
      <c r="CL58" s="966"/>
      <c r="CM58" s="966"/>
      <c r="CN58" s="964"/>
      <c r="CO58" s="966"/>
      <c r="CP58" s="966"/>
      <c r="CQ58" s="966"/>
      <c r="CR58" s="964"/>
      <c r="CS58" s="966"/>
      <c r="CT58" s="966"/>
      <c r="CU58" s="966"/>
      <c r="CV58" s="966"/>
      <c r="CW58" s="964"/>
      <c r="CX58" s="972"/>
      <c r="CY58" s="966"/>
      <c r="CZ58" s="966"/>
      <c r="DA58" s="964"/>
      <c r="DB58" s="966"/>
      <c r="DC58" s="966"/>
      <c r="DD58" s="966"/>
      <c r="DE58" s="966"/>
      <c r="DF58" s="964"/>
      <c r="DG58" s="966"/>
      <c r="DH58" s="966"/>
      <c r="DI58" s="966"/>
      <c r="DJ58" s="964"/>
      <c r="DK58" s="966"/>
      <c r="DL58" s="966"/>
      <c r="DM58" s="964"/>
      <c r="DN58" s="966"/>
      <c r="DO58" s="964"/>
      <c r="DP58" s="966"/>
      <c r="DQ58" s="966"/>
      <c r="DR58" s="966"/>
      <c r="DS58" s="964"/>
      <c r="DT58" s="966"/>
      <c r="DU58" s="966"/>
      <c r="DV58" s="966"/>
      <c r="DW58" s="966"/>
      <c r="DX58" s="964"/>
      <c r="DY58" s="966"/>
      <c r="DZ58" s="966"/>
      <c r="EA58" s="966"/>
      <c r="EB58" s="964"/>
      <c r="EC58" s="966"/>
      <c r="ED58" s="966"/>
      <c r="EE58" s="964"/>
    </row>
    <row r="59">
      <c r="A59" s="33">
        <f>'Schedule | 3 Division (OLD)'!P31</f>
        <v>47</v>
      </c>
      <c r="B59" s="30" t="str">
        <f>'Schedule | 3 Division (OLD)'!K31</f>
        <v>SAPPIAMO</v>
      </c>
      <c r="C59" s="906">
        <f>'Schedule | 3 Division (OLD)'!L31</f>
        <v>0</v>
      </c>
      <c r="D59" s="906">
        <f>'Schedule | 3 Division (OLD)'!N31</f>
        <v>0</v>
      </c>
      <c r="E59" s="30" t="str">
        <f>'Schedule | 3 Division (OLD)'!O31</f>
        <v>HEAX</v>
      </c>
      <c r="F59" s="30" t="str">
        <f t="shared" si="36"/>
        <v/>
      </c>
      <c r="G59" s="433" t="str">
        <f t="shared" si="37"/>
        <v/>
      </c>
      <c r="H59" s="966"/>
      <c r="I59" s="966"/>
      <c r="J59" s="964"/>
      <c r="K59" s="964"/>
      <c r="L59" s="966"/>
      <c r="M59" s="966"/>
      <c r="N59" s="966"/>
      <c r="O59" s="964"/>
      <c r="P59" s="966"/>
      <c r="Q59" s="966"/>
      <c r="R59" s="966"/>
      <c r="S59" s="964"/>
      <c r="T59" s="964"/>
      <c r="U59" s="964"/>
      <c r="V59" s="966"/>
      <c r="W59" s="966"/>
      <c r="X59" s="964"/>
      <c r="Y59" s="966"/>
      <c r="Z59" s="966"/>
      <c r="AA59" s="966"/>
      <c r="AB59" s="964"/>
      <c r="AC59" s="964"/>
      <c r="AD59" s="966"/>
      <c r="AE59" s="966"/>
      <c r="AF59" s="966"/>
      <c r="AG59" s="964"/>
      <c r="AH59" s="966"/>
      <c r="AI59" s="966"/>
      <c r="AJ59" s="966"/>
      <c r="AK59" s="964"/>
      <c r="AL59" s="964"/>
      <c r="AM59" s="972"/>
      <c r="AN59" s="966"/>
      <c r="AO59" s="966"/>
      <c r="AP59" s="964"/>
      <c r="AQ59" s="966"/>
      <c r="AR59" s="966"/>
      <c r="AS59" s="964"/>
      <c r="AT59" s="966"/>
      <c r="AU59" s="964"/>
      <c r="AV59" s="966"/>
      <c r="AW59" s="966"/>
      <c r="AX59" s="966"/>
      <c r="AY59" s="964"/>
      <c r="AZ59" s="966"/>
      <c r="BA59" s="966"/>
      <c r="BB59" s="966"/>
      <c r="BC59" s="966"/>
      <c r="BD59" s="964"/>
      <c r="BE59" s="966"/>
      <c r="BF59" s="966"/>
      <c r="BG59" s="966"/>
      <c r="BH59" s="964"/>
      <c r="BI59" s="966"/>
      <c r="BJ59" s="966"/>
      <c r="BK59" s="964"/>
      <c r="BL59" s="966"/>
      <c r="BM59" s="964"/>
      <c r="BN59" s="966"/>
      <c r="BO59" s="966"/>
      <c r="BP59" s="966"/>
      <c r="BQ59" s="964"/>
      <c r="BR59" s="966"/>
      <c r="BS59" s="966"/>
      <c r="BT59" s="966"/>
      <c r="BU59" s="966"/>
      <c r="BV59" s="964"/>
      <c r="BW59" s="966"/>
      <c r="BX59" s="966"/>
      <c r="BY59" s="966"/>
      <c r="BZ59" s="964"/>
      <c r="CA59" s="966"/>
      <c r="CB59" s="966"/>
      <c r="CC59" s="966"/>
      <c r="CD59" s="966"/>
      <c r="CE59" s="964"/>
      <c r="CF59" s="966"/>
      <c r="CG59" s="966"/>
      <c r="CH59" s="966"/>
      <c r="CI59" s="964"/>
      <c r="CJ59" s="966"/>
      <c r="CK59" s="966"/>
      <c r="CL59" s="966"/>
      <c r="CM59" s="966"/>
      <c r="CN59" s="964"/>
      <c r="CO59" s="966"/>
      <c r="CP59" s="966"/>
      <c r="CQ59" s="966"/>
      <c r="CR59" s="964"/>
      <c r="CS59" s="966"/>
      <c r="CT59" s="966"/>
      <c r="CU59" s="966"/>
      <c r="CV59" s="966"/>
      <c r="CW59" s="964"/>
      <c r="CX59" s="972"/>
      <c r="CY59" s="966"/>
      <c r="CZ59" s="966"/>
      <c r="DA59" s="964"/>
      <c r="DB59" s="966"/>
      <c r="DC59" s="966"/>
      <c r="DD59" s="966"/>
      <c r="DE59" s="966"/>
      <c r="DF59" s="964"/>
      <c r="DG59" s="966"/>
      <c r="DH59" s="966"/>
      <c r="DI59" s="966"/>
      <c r="DJ59" s="964"/>
      <c r="DK59" s="966"/>
      <c r="DL59" s="966"/>
      <c r="DM59" s="964"/>
      <c r="DN59" s="966"/>
      <c r="DO59" s="964"/>
      <c r="DP59" s="966"/>
      <c r="DQ59" s="966"/>
      <c r="DR59" s="966"/>
      <c r="DS59" s="964"/>
      <c r="DT59" s="966"/>
      <c r="DU59" s="966"/>
      <c r="DV59" s="966"/>
      <c r="DW59" s="966"/>
      <c r="DX59" s="964"/>
      <c r="DY59" s="966"/>
      <c r="DZ59" s="966"/>
      <c r="EA59" s="966"/>
      <c r="EB59" s="964"/>
      <c r="EC59" s="966"/>
      <c r="ED59" s="966"/>
      <c r="EE59" s="964"/>
    </row>
    <row r="60">
      <c r="A60" s="33">
        <f>'Schedule | 3 Division (OLD)'!P32</f>
        <v>48</v>
      </c>
      <c r="B60" s="30" t="str">
        <f>'Schedule | 3 Division (OLD)'!K32</f>
        <v>КОРМ 2</v>
      </c>
      <c r="C60" s="906">
        <f>'Schedule | 3 Division (OLD)'!L32</f>
        <v>0</v>
      </c>
      <c r="D60" s="906">
        <f>'Schedule | 3 Division (OLD)'!N32</f>
        <v>0</v>
      </c>
      <c r="E60" s="30" t="str">
        <f>'Schedule | 3 Division (OLD)'!O32</f>
        <v>RISE</v>
      </c>
      <c r="F60" s="30" t="str">
        <f t="shared" si="36"/>
        <v/>
      </c>
      <c r="G60" s="433" t="str">
        <f t="shared" si="37"/>
        <v/>
      </c>
      <c r="H60" s="966"/>
      <c r="I60" s="966"/>
      <c r="J60" s="964"/>
      <c r="K60" s="964"/>
      <c r="L60" s="966"/>
      <c r="M60" s="966"/>
      <c r="N60" s="966"/>
      <c r="O60" s="964"/>
      <c r="P60" s="966"/>
      <c r="Q60" s="966"/>
      <c r="R60" s="966"/>
      <c r="S60" s="964"/>
      <c r="T60" s="964"/>
      <c r="U60" s="964"/>
      <c r="V60" s="966"/>
      <c r="W60" s="966"/>
      <c r="X60" s="964"/>
      <c r="Y60" s="966"/>
      <c r="Z60" s="966"/>
      <c r="AA60" s="966"/>
      <c r="AB60" s="964"/>
      <c r="AC60" s="964"/>
      <c r="AD60" s="966"/>
      <c r="AE60" s="966"/>
      <c r="AF60" s="966"/>
      <c r="AG60" s="964"/>
      <c r="AH60" s="966"/>
      <c r="AI60" s="966"/>
      <c r="AJ60" s="966"/>
      <c r="AK60" s="964"/>
      <c r="AL60" s="964"/>
      <c r="AM60" s="972"/>
      <c r="AN60" s="966"/>
      <c r="AO60" s="966"/>
      <c r="AP60" s="964"/>
      <c r="AQ60" s="966"/>
      <c r="AR60" s="966"/>
      <c r="AS60" s="964"/>
      <c r="AT60" s="966"/>
      <c r="AU60" s="964"/>
      <c r="AV60" s="966"/>
      <c r="AW60" s="966"/>
      <c r="AX60" s="966"/>
      <c r="AY60" s="964"/>
      <c r="AZ60" s="966"/>
      <c r="BA60" s="966"/>
      <c r="BB60" s="966"/>
      <c r="BC60" s="966"/>
      <c r="BD60" s="964"/>
      <c r="BE60" s="966"/>
      <c r="BF60" s="966"/>
      <c r="BG60" s="966"/>
      <c r="BH60" s="964"/>
      <c r="BI60" s="966"/>
      <c r="BJ60" s="966"/>
      <c r="BK60" s="964"/>
      <c r="BL60" s="966"/>
      <c r="BM60" s="964"/>
      <c r="BN60" s="966"/>
      <c r="BO60" s="966"/>
      <c r="BP60" s="966"/>
      <c r="BQ60" s="964"/>
      <c r="BR60" s="966"/>
      <c r="BS60" s="966"/>
      <c r="BT60" s="966"/>
      <c r="BU60" s="966"/>
      <c r="BV60" s="964"/>
      <c r="BW60" s="966"/>
      <c r="BX60" s="966"/>
      <c r="BY60" s="966"/>
      <c r="BZ60" s="964"/>
      <c r="CA60" s="966"/>
      <c r="CB60" s="966"/>
      <c r="CC60" s="966"/>
      <c r="CD60" s="966"/>
      <c r="CE60" s="964"/>
      <c r="CF60" s="966"/>
      <c r="CG60" s="966"/>
      <c r="CH60" s="966"/>
      <c r="CI60" s="964"/>
      <c r="CJ60" s="966"/>
      <c r="CK60" s="966"/>
      <c r="CL60" s="966"/>
      <c r="CM60" s="966"/>
      <c r="CN60" s="964"/>
      <c r="CO60" s="966"/>
      <c r="CP60" s="966"/>
      <c r="CQ60" s="966"/>
      <c r="CR60" s="964"/>
      <c r="CS60" s="966"/>
      <c r="CT60" s="966"/>
      <c r="CU60" s="966"/>
      <c r="CV60" s="966"/>
      <c r="CW60" s="964"/>
      <c r="CX60" s="972"/>
      <c r="CY60" s="966"/>
      <c r="CZ60" s="966"/>
      <c r="DA60" s="964"/>
      <c r="DB60" s="966"/>
      <c r="DC60" s="966"/>
      <c r="DD60" s="966"/>
      <c r="DE60" s="966"/>
      <c r="DF60" s="964"/>
      <c r="DG60" s="966"/>
      <c r="DH60" s="966"/>
      <c r="DI60" s="966"/>
      <c r="DJ60" s="964"/>
      <c r="DK60" s="966"/>
      <c r="DL60" s="966"/>
      <c r="DM60" s="964"/>
      <c r="DN60" s="966"/>
      <c r="DO60" s="964"/>
      <c r="DP60" s="966"/>
      <c r="DQ60" s="966"/>
      <c r="DR60" s="966"/>
      <c r="DS60" s="964"/>
      <c r="DT60" s="966"/>
      <c r="DU60" s="966"/>
      <c r="DV60" s="966"/>
      <c r="DW60" s="966"/>
      <c r="DX60" s="964"/>
      <c r="DY60" s="966"/>
      <c r="DZ60" s="966"/>
      <c r="EA60" s="966"/>
      <c r="EB60" s="964"/>
      <c r="EC60" s="966"/>
      <c r="ED60" s="966"/>
      <c r="EE60" s="964"/>
    </row>
    <row r="61">
      <c r="A61" s="33">
        <f>'Schedule | 3 Division (OLD)'!P35</f>
        <v>49</v>
      </c>
      <c r="B61" s="30" t="str">
        <f>'Schedule | 3 Division (OLD)'!K35</f>
        <v>DEACUERDO</v>
      </c>
      <c r="C61" s="906">
        <f>'Schedule | 3 Division (OLD)'!L35</f>
        <v>0</v>
      </c>
      <c r="D61" s="906">
        <f>'Schedule | 3 Division (OLD)'!N35</f>
        <v>0</v>
      </c>
      <c r="E61" s="30" t="str">
        <f>'Schedule | 3 Division (OLD)'!O35</f>
        <v>SAPPIAMO</v>
      </c>
      <c r="F61" s="30" t="str">
        <f t="shared" si="36"/>
        <v/>
      </c>
      <c r="G61" s="433" t="str">
        <f t="shared" si="37"/>
        <v/>
      </c>
      <c r="H61" s="966"/>
      <c r="I61" s="966"/>
      <c r="J61" s="964"/>
      <c r="K61" s="964"/>
      <c r="L61" s="966"/>
      <c r="M61" s="966"/>
      <c r="N61" s="966"/>
      <c r="O61" s="964"/>
      <c r="P61" s="966"/>
      <c r="Q61" s="966"/>
      <c r="R61" s="966"/>
      <c r="S61" s="964"/>
      <c r="T61" s="964"/>
      <c r="U61" s="964"/>
      <c r="V61" s="966"/>
      <c r="W61" s="966"/>
      <c r="X61" s="964"/>
      <c r="Y61" s="966"/>
      <c r="Z61" s="966"/>
      <c r="AA61" s="966"/>
      <c r="AB61" s="964"/>
      <c r="AC61" s="964"/>
      <c r="AD61" s="966"/>
      <c r="AE61" s="966"/>
      <c r="AF61" s="966"/>
      <c r="AG61" s="964"/>
      <c r="AH61" s="966"/>
      <c r="AI61" s="966"/>
      <c r="AJ61" s="966"/>
      <c r="AK61" s="964"/>
      <c r="AL61" s="964"/>
      <c r="AM61" s="972"/>
      <c r="AN61" s="966"/>
      <c r="AO61" s="966"/>
      <c r="AP61" s="964"/>
      <c r="AQ61" s="966"/>
      <c r="AR61" s="966"/>
      <c r="AS61" s="964"/>
      <c r="AT61" s="966"/>
      <c r="AU61" s="964"/>
      <c r="AV61" s="966"/>
      <c r="AW61" s="966"/>
      <c r="AX61" s="966"/>
      <c r="AY61" s="964"/>
      <c r="AZ61" s="966"/>
      <c r="BA61" s="966"/>
      <c r="BB61" s="966"/>
      <c r="BC61" s="966"/>
      <c r="BD61" s="964"/>
      <c r="BE61" s="966"/>
      <c r="BF61" s="966"/>
      <c r="BG61" s="966"/>
      <c r="BH61" s="964"/>
      <c r="BI61" s="966"/>
      <c r="BJ61" s="966"/>
      <c r="BK61" s="964"/>
      <c r="BL61" s="966"/>
      <c r="BM61" s="964"/>
      <c r="BN61" s="966"/>
      <c r="BO61" s="966"/>
      <c r="BP61" s="966"/>
      <c r="BQ61" s="964"/>
      <c r="BR61" s="966"/>
      <c r="BS61" s="966"/>
      <c r="BT61" s="966"/>
      <c r="BU61" s="966"/>
      <c r="BV61" s="964"/>
      <c r="BW61" s="966"/>
      <c r="BX61" s="966"/>
      <c r="BY61" s="966"/>
      <c r="BZ61" s="964"/>
      <c r="CA61" s="966"/>
      <c r="CB61" s="966"/>
      <c r="CC61" s="966"/>
      <c r="CD61" s="966"/>
      <c r="CE61" s="964"/>
      <c r="CF61" s="966"/>
      <c r="CG61" s="966"/>
      <c r="CH61" s="966"/>
      <c r="CI61" s="964"/>
      <c r="CJ61" s="966"/>
      <c r="CK61" s="966"/>
      <c r="CL61" s="966"/>
      <c r="CM61" s="966"/>
      <c r="CN61" s="964"/>
      <c r="CO61" s="966"/>
      <c r="CP61" s="966"/>
      <c r="CQ61" s="966"/>
      <c r="CR61" s="964"/>
      <c r="CS61" s="966"/>
      <c r="CT61" s="966"/>
      <c r="CU61" s="966"/>
      <c r="CV61" s="966"/>
      <c r="CW61" s="964"/>
      <c r="CX61" s="972"/>
      <c r="CY61" s="966"/>
      <c r="CZ61" s="966"/>
      <c r="DA61" s="964"/>
      <c r="DB61" s="966"/>
      <c r="DC61" s="966"/>
      <c r="DD61" s="966"/>
      <c r="DE61" s="966"/>
      <c r="DF61" s="964"/>
      <c r="DG61" s="966"/>
      <c r="DH61" s="966"/>
      <c r="DI61" s="966"/>
      <c r="DJ61" s="964"/>
      <c r="DK61" s="966"/>
      <c r="DL61" s="966"/>
      <c r="DM61" s="964"/>
      <c r="DN61" s="966"/>
      <c r="DO61" s="964"/>
      <c r="DP61" s="966"/>
      <c r="DQ61" s="966"/>
      <c r="DR61" s="966"/>
      <c r="DS61" s="964"/>
      <c r="DT61" s="966"/>
      <c r="DU61" s="966"/>
      <c r="DV61" s="966"/>
      <c r="DW61" s="966"/>
      <c r="DX61" s="964"/>
      <c r="DY61" s="966"/>
      <c r="DZ61" s="966"/>
      <c r="EA61" s="966"/>
      <c r="EB61" s="964"/>
      <c r="EC61" s="966"/>
      <c r="ED61" s="966"/>
      <c r="EE61" s="964"/>
    </row>
    <row r="62">
      <c r="A62" s="33">
        <f>'Schedule | 3 Division (OLD)'!P36</f>
        <v>50</v>
      </c>
      <c r="B62" s="30" t="str">
        <f>'Schedule | 3 Division (OLD)'!K36</f>
        <v>КОРМ 2</v>
      </c>
      <c r="C62" s="906">
        <f>'Schedule | 3 Division (OLD)'!L36</f>
        <v>0</v>
      </c>
      <c r="D62" s="906">
        <f>'Schedule | 3 Division (OLD)'!N36</f>
        <v>0</v>
      </c>
      <c r="E62" s="30" t="str">
        <f>'Schedule | 3 Division (OLD)'!O36</f>
        <v>BOGATYRI</v>
      </c>
      <c r="F62" s="30" t="str">
        <f t="shared" si="36"/>
        <v/>
      </c>
      <c r="G62" s="433" t="str">
        <f t="shared" si="37"/>
        <v/>
      </c>
      <c r="H62" s="966"/>
      <c r="I62" s="966"/>
      <c r="J62" s="964"/>
      <c r="K62" s="964"/>
      <c r="L62" s="966"/>
      <c r="M62" s="966"/>
      <c r="N62" s="966"/>
      <c r="O62" s="964"/>
      <c r="P62" s="966"/>
      <c r="Q62" s="966"/>
      <c r="R62" s="966"/>
      <c r="S62" s="964"/>
      <c r="T62" s="964"/>
      <c r="U62" s="964"/>
      <c r="V62" s="966"/>
      <c r="W62" s="966"/>
      <c r="X62" s="964"/>
      <c r="Y62" s="966"/>
      <c r="Z62" s="966"/>
      <c r="AA62" s="966"/>
      <c r="AB62" s="964"/>
      <c r="AC62" s="964"/>
      <c r="AD62" s="966"/>
      <c r="AE62" s="966"/>
      <c r="AF62" s="966"/>
      <c r="AG62" s="964"/>
      <c r="AH62" s="966"/>
      <c r="AI62" s="966"/>
      <c r="AJ62" s="966"/>
      <c r="AK62" s="964"/>
      <c r="AL62" s="964"/>
      <c r="AM62" s="972"/>
      <c r="AN62" s="966"/>
      <c r="AO62" s="966"/>
      <c r="AP62" s="964"/>
      <c r="AQ62" s="966"/>
      <c r="AR62" s="966"/>
      <c r="AS62" s="964"/>
      <c r="AT62" s="966"/>
      <c r="AU62" s="964"/>
      <c r="AV62" s="966"/>
      <c r="AW62" s="966"/>
      <c r="AX62" s="966"/>
      <c r="AY62" s="964"/>
      <c r="AZ62" s="966"/>
      <c r="BA62" s="966"/>
      <c r="BB62" s="966"/>
      <c r="BC62" s="966"/>
      <c r="BD62" s="964"/>
      <c r="BE62" s="966"/>
      <c r="BF62" s="966"/>
      <c r="BG62" s="966"/>
      <c r="BH62" s="964"/>
      <c r="BI62" s="966"/>
      <c r="BJ62" s="966"/>
      <c r="BK62" s="964"/>
      <c r="BL62" s="966"/>
      <c r="BM62" s="964"/>
      <c r="BN62" s="966"/>
      <c r="BO62" s="966"/>
      <c r="BP62" s="966"/>
      <c r="BQ62" s="964"/>
      <c r="BR62" s="966"/>
      <c r="BS62" s="966"/>
      <c r="BT62" s="966"/>
      <c r="BU62" s="966"/>
      <c r="BV62" s="964"/>
      <c r="BW62" s="966"/>
      <c r="BX62" s="966"/>
      <c r="BY62" s="966"/>
      <c r="BZ62" s="964"/>
      <c r="CA62" s="966"/>
      <c r="CB62" s="966"/>
      <c r="CC62" s="966"/>
      <c r="CD62" s="966"/>
      <c r="CE62" s="964"/>
      <c r="CF62" s="966"/>
      <c r="CG62" s="966"/>
      <c r="CH62" s="966"/>
      <c r="CI62" s="964"/>
      <c r="CJ62" s="966"/>
      <c r="CK62" s="966"/>
      <c r="CL62" s="966"/>
      <c r="CM62" s="966"/>
      <c r="CN62" s="964"/>
      <c r="CO62" s="966"/>
      <c r="CP62" s="966"/>
      <c r="CQ62" s="966"/>
      <c r="CR62" s="964"/>
      <c r="CS62" s="966"/>
      <c r="CT62" s="966"/>
      <c r="CU62" s="966"/>
      <c r="CV62" s="966"/>
      <c r="CW62" s="964"/>
      <c r="CX62" s="972"/>
      <c r="CY62" s="966"/>
      <c r="CZ62" s="966"/>
      <c r="DA62" s="964"/>
      <c r="DB62" s="966"/>
      <c r="DC62" s="966"/>
      <c r="DD62" s="966"/>
      <c r="DE62" s="966"/>
      <c r="DF62" s="964"/>
      <c r="DG62" s="966"/>
      <c r="DH62" s="966"/>
      <c r="DI62" s="966"/>
      <c r="DJ62" s="964"/>
      <c r="DK62" s="966"/>
      <c r="DL62" s="966"/>
      <c r="DM62" s="964"/>
      <c r="DN62" s="966"/>
      <c r="DO62" s="964"/>
      <c r="DP62" s="966"/>
      <c r="DQ62" s="966"/>
      <c r="DR62" s="966"/>
      <c r="DS62" s="964"/>
      <c r="DT62" s="966"/>
      <c r="DU62" s="966"/>
      <c r="DV62" s="966"/>
      <c r="DW62" s="966"/>
      <c r="DX62" s="964"/>
      <c r="DY62" s="966"/>
      <c r="DZ62" s="966"/>
      <c r="EA62" s="966"/>
      <c r="EB62" s="964"/>
      <c r="EC62" s="966"/>
      <c r="ED62" s="966"/>
      <c r="EE62" s="964"/>
    </row>
    <row r="63">
      <c r="A63" s="33">
        <f>'Schedule | 3 Division (OLD)'!P37</f>
        <v>51</v>
      </c>
      <c r="B63" s="30" t="str">
        <f>'Schedule | 3 Division (OLD)'!K37</f>
        <v>ALTF4</v>
      </c>
      <c r="C63" s="906">
        <f>'Schedule | 3 Division (OLD)'!L37</f>
        <v>0</v>
      </c>
      <c r="D63" s="906">
        <f>'Schedule | 3 Division (OLD)'!N37</f>
        <v>0</v>
      </c>
      <c r="E63" s="30" t="str">
        <f>'Schedule | 3 Division (OLD)'!O37</f>
        <v>RISE</v>
      </c>
      <c r="F63" s="30" t="str">
        <f t="shared" si="36"/>
        <v/>
      </c>
      <c r="G63" s="433" t="str">
        <f t="shared" si="37"/>
        <v/>
      </c>
      <c r="H63" s="966"/>
      <c r="I63" s="966"/>
      <c r="J63" s="964"/>
      <c r="K63" s="964"/>
      <c r="L63" s="966"/>
      <c r="M63" s="966"/>
      <c r="N63" s="966"/>
      <c r="O63" s="964"/>
      <c r="P63" s="966"/>
      <c r="Q63" s="966"/>
      <c r="R63" s="966"/>
      <c r="S63" s="964"/>
      <c r="T63" s="964"/>
      <c r="U63" s="964"/>
      <c r="V63" s="966"/>
      <c r="W63" s="966"/>
      <c r="X63" s="964"/>
      <c r="Y63" s="966"/>
      <c r="Z63" s="966"/>
      <c r="AA63" s="966"/>
      <c r="AB63" s="964"/>
      <c r="AC63" s="964"/>
      <c r="AD63" s="966"/>
      <c r="AE63" s="966"/>
      <c r="AF63" s="966"/>
      <c r="AG63" s="964"/>
      <c r="AH63" s="966"/>
      <c r="AI63" s="966"/>
      <c r="AJ63" s="966"/>
      <c r="AK63" s="964"/>
      <c r="AL63" s="964"/>
      <c r="AM63" s="972"/>
      <c r="AN63" s="966"/>
      <c r="AO63" s="966"/>
      <c r="AP63" s="964"/>
      <c r="AQ63" s="966"/>
      <c r="AR63" s="966"/>
      <c r="AS63" s="964"/>
      <c r="AT63" s="966"/>
      <c r="AU63" s="964"/>
      <c r="AV63" s="966"/>
      <c r="AW63" s="966"/>
      <c r="AX63" s="966"/>
      <c r="AY63" s="964"/>
      <c r="AZ63" s="966"/>
      <c r="BA63" s="966"/>
      <c r="BB63" s="966"/>
      <c r="BC63" s="966"/>
      <c r="BD63" s="964"/>
      <c r="BE63" s="966"/>
      <c r="BF63" s="966"/>
      <c r="BG63" s="966"/>
      <c r="BH63" s="964"/>
      <c r="BI63" s="966"/>
      <c r="BJ63" s="966"/>
      <c r="BK63" s="964"/>
      <c r="BL63" s="966"/>
      <c r="BM63" s="964"/>
      <c r="BN63" s="966"/>
      <c r="BO63" s="966"/>
      <c r="BP63" s="966"/>
      <c r="BQ63" s="964"/>
      <c r="BR63" s="966"/>
      <c r="BS63" s="966"/>
      <c r="BT63" s="966"/>
      <c r="BU63" s="966"/>
      <c r="BV63" s="964"/>
      <c r="BW63" s="966"/>
      <c r="BX63" s="966"/>
      <c r="BY63" s="966"/>
      <c r="BZ63" s="964"/>
      <c r="CA63" s="966"/>
      <c r="CB63" s="966"/>
      <c r="CC63" s="966"/>
      <c r="CD63" s="966"/>
      <c r="CE63" s="964"/>
      <c r="CF63" s="966"/>
      <c r="CG63" s="966"/>
      <c r="CH63" s="966"/>
      <c r="CI63" s="964"/>
      <c r="CJ63" s="966"/>
      <c r="CK63" s="966"/>
      <c r="CL63" s="966"/>
      <c r="CM63" s="966"/>
      <c r="CN63" s="964"/>
      <c r="CO63" s="966"/>
      <c r="CP63" s="966"/>
      <c r="CQ63" s="966"/>
      <c r="CR63" s="964"/>
      <c r="CS63" s="966"/>
      <c r="CT63" s="966"/>
      <c r="CU63" s="966"/>
      <c r="CV63" s="966"/>
      <c r="CW63" s="964"/>
      <c r="CX63" s="972"/>
      <c r="CY63" s="966"/>
      <c r="CZ63" s="966"/>
      <c r="DA63" s="964"/>
      <c r="DB63" s="966"/>
      <c r="DC63" s="966"/>
      <c r="DD63" s="966"/>
      <c r="DE63" s="966"/>
      <c r="DF63" s="964"/>
      <c r="DG63" s="966"/>
      <c r="DH63" s="966"/>
      <c r="DI63" s="966"/>
      <c r="DJ63" s="964"/>
      <c r="DK63" s="966"/>
      <c r="DL63" s="966"/>
      <c r="DM63" s="964"/>
      <c r="DN63" s="966"/>
      <c r="DO63" s="964"/>
      <c r="DP63" s="966"/>
      <c r="DQ63" s="966"/>
      <c r="DR63" s="966"/>
      <c r="DS63" s="964"/>
      <c r="DT63" s="966"/>
      <c r="DU63" s="966"/>
      <c r="DV63" s="966"/>
      <c r="DW63" s="966"/>
      <c r="DX63" s="964"/>
      <c r="DY63" s="966"/>
      <c r="DZ63" s="966"/>
      <c r="EA63" s="966"/>
      <c r="EB63" s="964"/>
      <c r="EC63" s="966"/>
      <c r="ED63" s="966"/>
      <c r="EE63" s="964"/>
    </row>
    <row r="64">
      <c r="A64" s="33">
        <f>'Schedule | 3 Division (OLD)'!P38</f>
        <v>52</v>
      </c>
      <c r="B64" s="30" t="str">
        <f>'Schedule | 3 Division (OLD)'!K38</f>
        <v>ACHIEVERS</v>
      </c>
      <c r="C64" s="906">
        <f>'Schedule | 3 Division (OLD)'!L38</f>
        <v>0</v>
      </c>
      <c r="D64" s="906">
        <f>'Schedule | 3 Division (OLD)'!N38</f>
        <v>0</v>
      </c>
      <c r="E64" s="30" t="str">
        <f>'Schedule | 3 Division (OLD)'!O38</f>
        <v>HEAX</v>
      </c>
      <c r="F64" s="30" t="str">
        <f t="shared" si="36"/>
        <v/>
      </c>
      <c r="G64" s="433" t="str">
        <f t="shared" si="37"/>
        <v/>
      </c>
      <c r="H64" s="966"/>
      <c r="I64" s="966"/>
      <c r="J64" s="964"/>
      <c r="K64" s="964"/>
      <c r="L64" s="966"/>
      <c r="M64" s="966"/>
      <c r="N64" s="966"/>
      <c r="O64" s="964"/>
      <c r="P64" s="966"/>
      <c r="Q64" s="966"/>
      <c r="R64" s="966"/>
      <c r="S64" s="964"/>
      <c r="T64" s="964"/>
      <c r="U64" s="964"/>
      <c r="V64" s="966"/>
      <c r="W64" s="966"/>
      <c r="X64" s="964"/>
      <c r="Y64" s="966"/>
      <c r="Z64" s="966"/>
      <c r="AA64" s="966"/>
      <c r="AB64" s="964"/>
      <c r="AC64" s="964"/>
      <c r="AD64" s="966"/>
      <c r="AE64" s="966"/>
      <c r="AF64" s="966"/>
      <c r="AG64" s="964"/>
      <c r="AH64" s="966"/>
      <c r="AI64" s="966"/>
      <c r="AJ64" s="966"/>
      <c r="AK64" s="964"/>
      <c r="AL64" s="964"/>
      <c r="AM64" s="972"/>
      <c r="AN64" s="966"/>
      <c r="AO64" s="966"/>
      <c r="AP64" s="964"/>
      <c r="AQ64" s="966"/>
      <c r="AR64" s="966"/>
      <c r="AS64" s="964"/>
      <c r="AT64" s="966"/>
      <c r="AU64" s="964"/>
      <c r="AV64" s="966"/>
      <c r="AW64" s="966"/>
      <c r="AX64" s="966"/>
      <c r="AY64" s="964"/>
      <c r="AZ64" s="966"/>
      <c r="BA64" s="966"/>
      <c r="BB64" s="966"/>
      <c r="BC64" s="966"/>
      <c r="BD64" s="964"/>
      <c r="BE64" s="966"/>
      <c r="BF64" s="966"/>
      <c r="BG64" s="966"/>
      <c r="BH64" s="964"/>
      <c r="BI64" s="966"/>
      <c r="BJ64" s="966"/>
      <c r="BK64" s="964"/>
      <c r="BL64" s="966"/>
      <c r="BM64" s="964"/>
      <c r="BN64" s="966"/>
      <c r="BO64" s="966"/>
      <c r="BP64" s="966"/>
      <c r="BQ64" s="964"/>
      <c r="BR64" s="966"/>
      <c r="BS64" s="966"/>
      <c r="BT64" s="966"/>
      <c r="BU64" s="966"/>
      <c r="BV64" s="964"/>
      <c r="BW64" s="966"/>
      <c r="BX64" s="966"/>
      <c r="BY64" s="966"/>
      <c r="BZ64" s="964"/>
      <c r="CA64" s="966"/>
      <c r="CB64" s="966"/>
      <c r="CC64" s="966"/>
      <c r="CD64" s="966"/>
      <c r="CE64" s="964"/>
      <c r="CF64" s="966"/>
      <c r="CG64" s="966"/>
      <c r="CH64" s="966"/>
      <c r="CI64" s="964"/>
      <c r="CJ64" s="966"/>
      <c r="CK64" s="966"/>
      <c r="CL64" s="966"/>
      <c r="CM64" s="966"/>
      <c r="CN64" s="964"/>
      <c r="CO64" s="966"/>
      <c r="CP64" s="966"/>
      <c r="CQ64" s="966"/>
      <c r="CR64" s="964"/>
      <c r="CS64" s="966"/>
      <c r="CT64" s="966"/>
      <c r="CU64" s="966"/>
      <c r="CV64" s="966"/>
      <c r="CW64" s="964"/>
      <c r="CX64" s="972"/>
      <c r="CY64" s="966"/>
      <c r="CZ64" s="966"/>
      <c r="DA64" s="964"/>
      <c r="DB64" s="966"/>
      <c r="DC64" s="966"/>
      <c r="DD64" s="966"/>
      <c r="DE64" s="966"/>
      <c r="DF64" s="964"/>
      <c r="DG64" s="966"/>
      <c r="DH64" s="966"/>
      <c r="DI64" s="966"/>
      <c r="DJ64" s="964"/>
      <c r="DK64" s="966"/>
      <c r="DL64" s="966"/>
      <c r="DM64" s="964"/>
      <c r="DN64" s="966"/>
      <c r="DO64" s="964"/>
      <c r="DP64" s="966"/>
      <c r="DQ64" s="966"/>
      <c r="DR64" s="966"/>
      <c r="DS64" s="964"/>
      <c r="DT64" s="966"/>
      <c r="DU64" s="966"/>
      <c r="DV64" s="966"/>
      <c r="DW64" s="966"/>
      <c r="DX64" s="964"/>
      <c r="DY64" s="966"/>
      <c r="DZ64" s="966"/>
      <c r="EA64" s="966"/>
      <c r="EB64" s="964"/>
      <c r="EC64" s="966"/>
      <c r="ED64" s="966"/>
      <c r="EE64" s="964"/>
    </row>
    <row r="65">
      <c r="A65" s="33">
        <f>'Schedule | 3 Division (OLD)'!P41</f>
        <v>53</v>
      </c>
      <c r="B65" s="30" t="str">
        <f>'Schedule | 3 Division (OLD)'!K41</f>
        <v>HEAX</v>
      </c>
      <c r="C65" s="906">
        <f>'Schedule | 3 Division (OLD)'!L41</f>
        <v>0</v>
      </c>
      <c r="D65" s="906">
        <f>'Schedule | 3 Division (OLD)'!N41</f>
        <v>0</v>
      </c>
      <c r="E65" s="30" t="str">
        <f>'Schedule | 3 Division (OLD)'!O41</f>
        <v>DEACUERDO</v>
      </c>
      <c r="F65" s="30" t="str">
        <f t="shared" si="36"/>
        <v/>
      </c>
      <c r="G65" s="433" t="str">
        <f t="shared" si="37"/>
        <v/>
      </c>
      <c r="H65" s="966"/>
      <c r="I65" s="966"/>
      <c r="J65" s="964"/>
      <c r="K65" s="964"/>
      <c r="L65" s="966"/>
      <c r="M65" s="966"/>
      <c r="N65" s="966"/>
      <c r="O65" s="964"/>
      <c r="P65" s="966"/>
      <c r="Q65" s="966"/>
      <c r="R65" s="966"/>
      <c r="S65" s="964"/>
      <c r="T65" s="964"/>
      <c r="U65" s="964"/>
      <c r="V65" s="966"/>
      <c r="W65" s="966"/>
      <c r="X65" s="964"/>
      <c r="Y65" s="966"/>
      <c r="Z65" s="966"/>
      <c r="AA65" s="966"/>
      <c r="AB65" s="964"/>
      <c r="AC65" s="964"/>
      <c r="AD65" s="966"/>
      <c r="AE65" s="966"/>
      <c r="AF65" s="966"/>
      <c r="AG65" s="964"/>
      <c r="AH65" s="966"/>
      <c r="AI65" s="966"/>
      <c r="AJ65" s="966"/>
      <c r="AK65" s="964"/>
      <c r="AL65" s="964"/>
      <c r="AM65" s="972"/>
      <c r="AN65" s="966"/>
      <c r="AO65" s="966"/>
      <c r="AP65" s="964"/>
      <c r="AQ65" s="966"/>
      <c r="AR65" s="966"/>
      <c r="AS65" s="964"/>
      <c r="AT65" s="966"/>
      <c r="AU65" s="964"/>
      <c r="AV65" s="966"/>
      <c r="AW65" s="966"/>
      <c r="AX65" s="966"/>
      <c r="AY65" s="964"/>
      <c r="AZ65" s="966"/>
      <c r="BA65" s="966"/>
      <c r="BB65" s="966"/>
      <c r="BC65" s="966"/>
      <c r="BD65" s="964"/>
      <c r="BE65" s="966"/>
      <c r="BF65" s="966"/>
      <c r="BG65" s="966"/>
      <c r="BH65" s="964"/>
      <c r="BI65" s="966"/>
      <c r="BJ65" s="966"/>
      <c r="BK65" s="964"/>
      <c r="BL65" s="966"/>
      <c r="BM65" s="964"/>
      <c r="BN65" s="966"/>
      <c r="BO65" s="966"/>
      <c r="BP65" s="966"/>
      <c r="BQ65" s="964"/>
      <c r="BR65" s="966"/>
      <c r="BS65" s="966"/>
      <c r="BT65" s="966"/>
      <c r="BU65" s="966"/>
      <c r="BV65" s="964"/>
      <c r="BW65" s="966"/>
      <c r="BX65" s="966"/>
      <c r="BY65" s="966"/>
      <c r="BZ65" s="964"/>
      <c r="CA65" s="966"/>
      <c r="CB65" s="966"/>
      <c r="CC65" s="966"/>
      <c r="CD65" s="966"/>
      <c r="CE65" s="964"/>
      <c r="CF65" s="966"/>
      <c r="CG65" s="966"/>
      <c r="CH65" s="966"/>
      <c r="CI65" s="964"/>
      <c r="CJ65" s="966"/>
      <c r="CK65" s="966"/>
      <c r="CL65" s="966"/>
      <c r="CM65" s="966"/>
      <c r="CN65" s="964"/>
      <c r="CO65" s="966"/>
      <c r="CP65" s="966"/>
      <c r="CQ65" s="966"/>
      <c r="CR65" s="964"/>
      <c r="CS65" s="966"/>
      <c r="CT65" s="966"/>
      <c r="CU65" s="966"/>
      <c r="CV65" s="966"/>
      <c r="CW65" s="964"/>
      <c r="CX65" s="972"/>
      <c r="CY65" s="966"/>
      <c r="CZ65" s="966"/>
      <c r="DA65" s="964"/>
      <c r="DB65" s="966"/>
      <c r="DC65" s="966"/>
      <c r="DD65" s="966"/>
      <c r="DE65" s="966"/>
      <c r="DF65" s="964"/>
      <c r="DG65" s="966"/>
      <c r="DH65" s="966"/>
      <c r="DI65" s="966"/>
      <c r="DJ65" s="964"/>
      <c r="DK65" s="966"/>
      <c r="DL65" s="966"/>
      <c r="DM65" s="964"/>
      <c r="DN65" s="966"/>
      <c r="DO65" s="964"/>
      <c r="DP65" s="966"/>
      <c r="DQ65" s="966"/>
      <c r="DR65" s="966"/>
      <c r="DS65" s="964"/>
      <c r="DT65" s="966"/>
      <c r="DU65" s="966"/>
      <c r="DV65" s="966"/>
      <c r="DW65" s="966"/>
      <c r="DX65" s="964"/>
      <c r="DY65" s="966"/>
      <c r="DZ65" s="966"/>
      <c r="EA65" s="966"/>
      <c r="EB65" s="964"/>
      <c r="EC65" s="966"/>
      <c r="ED65" s="966"/>
      <c r="EE65" s="964"/>
    </row>
    <row r="66">
      <c r="A66" s="33">
        <f>'Schedule | 3 Division (OLD)'!P42</f>
        <v>54</v>
      </c>
      <c r="B66" s="30" t="str">
        <f>'Schedule | 3 Division (OLD)'!K42</f>
        <v>SAPPIAMO</v>
      </c>
      <c r="C66" s="906">
        <f>'Schedule | 3 Division (OLD)'!L42</f>
        <v>0</v>
      </c>
      <c r="D66" s="906">
        <f>'Schedule | 3 Division (OLD)'!N42</f>
        <v>0</v>
      </c>
      <c r="E66" s="30" t="str">
        <f>'Schedule | 3 Division (OLD)'!O42</f>
        <v>ACHIEVERS</v>
      </c>
      <c r="F66" s="30" t="str">
        <f t="shared" si="36"/>
        <v/>
      </c>
      <c r="G66" s="433" t="str">
        <f t="shared" si="37"/>
        <v/>
      </c>
      <c r="H66" s="966"/>
      <c r="I66" s="966"/>
      <c r="J66" s="964"/>
      <c r="K66" s="964"/>
      <c r="L66" s="966"/>
      <c r="M66" s="966"/>
      <c r="N66" s="966"/>
      <c r="O66" s="964"/>
      <c r="P66" s="966"/>
      <c r="Q66" s="966"/>
      <c r="R66" s="966"/>
      <c r="S66" s="964"/>
      <c r="T66" s="964"/>
      <c r="U66" s="964"/>
      <c r="V66" s="966"/>
      <c r="W66" s="966"/>
      <c r="X66" s="964"/>
      <c r="Y66" s="966"/>
      <c r="Z66" s="966"/>
      <c r="AA66" s="966"/>
      <c r="AB66" s="964"/>
      <c r="AC66" s="964"/>
      <c r="AD66" s="966"/>
      <c r="AE66" s="966"/>
      <c r="AF66" s="966"/>
      <c r="AG66" s="964"/>
      <c r="AH66" s="966"/>
      <c r="AI66" s="966"/>
      <c r="AJ66" s="966"/>
      <c r="AK66" s="964"/>
      <c r="AL66" s="964"/>
      <c r="AM66" s="972"/>
      <c r="AN66" s="966"/>
      <c r="AO66" s="966"/>
      <c r="AP66" s="964"/>
      <c r="AQ66" s="966"/>
      <c r="AR66" s="966"/>
      <c r="AS66" s="964"/>
      <c r="AT66" s="966"/>
      <c r="AU66" s="964"/>
      <c r="AV66" s="966"/>
      <c r="AW66" s="966"/>
      <c r="AX66" s="966"/>
      <c r="AY66" s="964"/>
      <c r="AZ66" s="966"/>
      <c r="BA66" s="966"/>
      <c r="BB66" s="966"/>
      <c r="BC66" s="966"/>
      <c r="BD66" s="964"/>
      <c r="BE66" s="966"/>
      <c r="BF66" s="966"/>
      <c r="BG66" s="966"/>
      <c r="BH66" s="964"/>
      <c r="BI66" s="966"/>
      <c r="BJ66" s="966"/>
      <c r="BK66" s="964"/>
      <c r="BL66" s="966"/>
      <c r="BM66" s="964"/>
      <c r="BN66" s="966"/>
      <c r="BO66" s="966"/>
      <c r="BP66" s="966"/>
      <c r="BQ66" s="964"/>
      <c r="BR66" s="966"/>
      <c r="BS66" s="966"/>
      <c r="BT66" s="966"/>
      <c r="BU66" s="966"/>
      <c r="BV66" s="964"/>
      <c r="BW66" s="966"/>
      <c r="BX66" s="966"/>
      <c r="BY66" s="966"/>
      <c r="BZ66" s="964"/>
      <c r="CA66" s="966"/>
      <c r="CB66" s="966"/>
      <c r="CC66" s="966"/>
      <c r="CD66" s="966"/>
      <c r="CE66" s="964"/>
      <c r="CF66" s="966"/>
      <c r="CG66" s="966"/>
      <c r="CH66" s="966"/>
      <c r="CI66" s="964"/>
      <c r="CJ66" s="966"/>
      <c r="CK66" s="966"/>
      <c r="CL66" s="966"/>
      <c r="CM66" s="966"/>
      <c r="CN66" s="964"/>
      <c r="CO66" s="966"/>
      <c r="CP66" s="966"/>
      <c r="CQ66" s="966"/>
      <c r="CR66" s="964"/>
      <c r="CS66" s="966"/>
      <c r="CT66" s="966"/>
      <c r="CU66" s="966"/>
      <c r="CV66" s="966"/>
      <c r="CW66" s="964"/>
      <c r="CX66" s="972"/>
      <c r="CY66" s="966"/>
      <c r="CZ66" s="966"/>
      <c r="DA66" s="964"/>
      <c r="DB66" s="966"/>
      <c r="DC66" s="966"/>
      <c r="DD66" s="966"/>
      <c r="DE66" s="966"/>
      <c r="DF66" s="964"/>
      <c r="DG66" s="966"/>
      <c r="DH66" s="966"/>
      <c r="DI66" s="966"/>
      <c r="DJ66" s="964"/>
      <c r="DK66" s="966"/>
      <c r="DL66" s="966"/>
      <c r="DM66" s="964"/>
      <c r="DN66" s="966"/>
      <c r="DO66" s="964"/>
      <c r="DP66" s="966"/>
      <c r="DQ66" s="966"/>
      <c r="DR66" s="966"/>
      <c r="DS66" s="964"/>
      <c r="DT66" s="966"/>
      <c r="DU66" s="966"/>
      <c r="DV66" s="966"/>
      <c r="DW66" s="966"/>
      <c r="DX66" s="964"/>
      <c r="DY66" s="966"/>
      <c r="DZ66" s="966"/>
      <c r="EA66" s="966"/>
      <c r="EB66" s="964"/>
      <c r="EC66" s="966"/>
      <c r="ED66" s="966"/>
      <c r="EE66" s="964"/>
    </row>
    <row r="67">
      <c r="A67" s="33">
        <f>'Schedule | 3 Division (OLD)'!P43</f>
        <v>55</v>
      </c>
      <c r="B67" s="30" t="str">
        <f>'Schedule | 3 Division (OLD)'!K43</f>
        <v>BOGATYRI</v>
      </c>
      <c r="C67" s="906">
        <f>'Schedule | 3 Division (OLD)'!L43</f>
        <v>0</v>
      </c>
      <c r="D67" s="906">
        <f>'Schedule | 3 Division (OLD)'!N43</f>
        <v>0</v>
      </c>
      <c r="E67" s="30" t="str">
        <f>'Schedule | 3 Division (OLD)'!O43</f>
        <v>RISE</v>
      </c>
      <c r="F67" s="30" t="str">
        <f t="shared" si="36"/>
        <v/>
      </c>
      <c r="G67" s="433" t="str">
        <f t="shared" si="37"/>
        <v/>
      </c>
      <c r="H67" s="966"/>
      <c r="I67" s="966"/>
      <c r="J67" s="964"/>
      <c r="K67" s="964"/>
      <c r="L67" s="966"/>
      <c r="M67" s="966"/>
      <c r="N67" s="966"/>
      <c r="O67" s="964"/>
      <c r="P67" s="966"/>
      <c r="Q67" s="966"/>
      <c r="R67" s="966"/>
      <c r="S67" s="964"/>
      <c r="T67" s="964"/>
      <c r="U67" s="964"/>
      <c r="V67" s="966"/>
      <c r="W67" s="966"/>
      <c r="X67" s="964"/>
      <c r="Y67" s="966"/>
      <c r="Z67" s="966"/>
      <c r="AA67" s="966"/>
      <c r="AB67" s="964"/>
      <c r="AC67" s="964"/>
      <c r="AD67" s="966"/>
      <c r="AE67" s="966"/>
      <c r="AF67" s="966"/>
      <c r="AG67" s="964"/>
      <c r="AH67" s="966"/>
      <c r="AI67" s="966"/>
      <c r="AJ67" s="966"/>
      <c r="AK67" s="964"/>
      <c r="AL67" s="964"/>
      <c r="AM67" s="972"/>
      <c r="AN67" s="966"/>
      <c r="AO67" s="966"/>
      <c r="AP67" s="964"/>
      <c r="AQ67" s="966"/>
      <c r="AR67" s="966"/>
      <c r="AS67" s="964"/>
      <c r="AT67" s="966"/>
      <c r="AU67" s="964"/>
      <c r="AV67" s="966"/>
      <c r="AW67" s="966"/>
      <c r="AX67" s="966"/>
      <c r="AY67" s="964"/>
      <c r="AZ67" s="966"/>
      <c r="BA67" s="966"/>
      <c r="BB67" s="966"/>
      <c r="BC67" s="966"/>
      <c r="BD67" s="964"/>
      <c r="BE67" s="966"/>
      <c r="BF67" s="966"/>
      <c r="BG67" s="966"/>
      <c r="BH67" s="964"/>
      <c r="BI67" s="966"/>
      <c r="BJ67" s="966"/>
      <c r="BK67" s="964"/>
      <c r="BL67" s="966"/>
      <c r="BM67" s="964"/>
      <c r="BN67" s="966"/>
      <c r="BO67" s="966"/>
      <c r="BP67" s="966"/>
      <c r="BQ67" s="964"/>
      <c r="BR67" s="966"/>
      <c r="BS67" s="966"/>
      <c r="BT67" s="966"/>
      <c r="BU67" s="966"/>
      <c r="BV67" s="964"/>
      <c r="BW67" s="966"/>
      <c r="BX67" s="966"/>
      <c r="BY67" s="966"/>
      <c r="BZ67" s="964"/>
      <c r="CA67" s="966"/>
      <c r="CB67" s="966"/>
      <c r="CC67" s="966"/>
      <c r="CD67" s="966"/>
      <c r="CE67" s="964"/>
      <c r="CF67" s="966"/>
      <c r="CG67" s="966"/>
      <c r="CH67" s="966"/>
      <c r="CI67" s="964"/>
      <c r="CJ67" s="966"/>
      <c r="CK67" s="966"/>
      <c r="CL67" s="966"/>
      <c r="CM67" s="966"/>
      <c r="CN67" s="964"/>
      <c r="CO67" s="966"/>
      <c r="CP67" s="966"/>
      <c r="CQ67" s="966"/>
      <c r="CR67" s="964"/>
      <c r="CS67" s="966"/>
      <c r="CT67" s="966"/>
      <c r="CU67" s="966"/>
      <c r="CV67" s="966"/>
      <c r="CW67" s="964"/>
      <c r="CX67" s="972"/>
      <c r="CY67" s="966"/>
      <c r="CZ67" s="966"/>
      <c r="DA67" s="964"/>
      <c r="DB67" s="966"/>
      <c r="DC67" s="966"/>
      <c r="DD67" s="966"/>
      <c r="DE67" s="966"/>
      <c r="DF67" s="964"/>
      <c r="DG67" s="966"/>
      <c r="DH67" s="966"/>
      <c r="DI67" s="966"/>
      <c r="DJ67" s="964"/>
      <c r="DK67" s="966"/>
      <c r="DL67" s="966"/>
      <c r="DM67" s="964"/>
      <c r="DN67" s="966"/>
      <c r="DO67" s="964"/>
      <c r="DP67" s="966"/>
      <c r="DQ67" s="966"/>
      <c r="DR67" s="966"/>
      <c r="DS67" s="964"/>
      <c r="DT67" s="966"/>
      <c r="DU67" s="966"/>
      <c r="DV67" s="966"/>
      <c r="DW67" s="966"/>
      <c r="DX67" s="964"/>
      <c r="DY67" s="966"/>
      <c r="DZ67" s="966"/>
      <c r="EA67" s="966"/>
      <c r="EB67" s="964"/>
      <c r="EC67" s="966"/>
      <c r="ED67" s="966"/>
      <c r="EE67" s="964"/>
    </row>
    <row r="68">
      <c r="A68" s="40">
        <f>'Schedule | 3 Division (OLD)'!P44</f>
        <v>56</v>
      </c>
      <c r="B68" s="431" t="str">
        <f>'Schedule | 3 Division (OLD)'!K44</f>
        <v>ALTF4</v>
      </c>
      <c r="C68" s="914">
        <f>'Schedule | 3 Division (OLD)'!L44</f>
        <v>0</v>
      </c>
      <c r="D68" s="914">
        <f>'Schedule | 3 Division (OLD)'!N44</f>
        <v>0</v>
      </c>
      <c r="E68" s="431" t="str">
        <f>'Schedule | 3 Division (OLD)'!O44</f>
        <v>КОРМ 2</v>
      </c>
      <c r="F68" s="431" t="str">
        <f t="shared" si="36"/>
        <v/>
      </c>
      <c r="G68" s="434" t="str">
        <f t="shared" si="37"/>
        <v/>
      </c>
      <c r="H68" s="966"/>
      <c r="I68" s="966"/>
      <c r="J68" s="964"/>
      <c r="K68" s="964"/>
      <c r="L68" s="966"/>
      <c r="M68" s="966"/>
      <c r="N68" s="966"/>
      <c r="O68" s="964"/>
      <c r="P68" s="966"/>
      <c r="Q68" s="966"/>
      <c r="R68" s="966"/>
      <c r="S68" s="964"/>
      <c r="T68" s="964"/>
      <c r="U68" s="964"/>
      <c r="V68" s="966"/>
      <c r="W68" s="966"/>
      <c r="X68" s="964"/>
      <c r="Y68" s="966"/>
      <c r="Z68" s="966"/>
      <c r="AA68" s="966"/>
      <c r="AB68" s="964"/>
      <c r="AC68" s="964"/>
      <c r="AD68" s="966"/>
      <c r="AE68" s="966"/>
      <c r="AF68" s="966"/>
      <c r="AG68" s="964"/>
      <c r="AH68" s="966"/>
      <c r="AI68" s="966"/>
      <c r="AJ68" s="966"/>
      <c r="AK68" s="964"/>
      <c r="AL68" s="964"/>
      <c r="AM68" s="972"/>
      <c r="AN68" s="966"/>
      <c r="AO68" s="966"/>
      <c r="AP68" s="964"/>
      <c r="AQ68" s="966"/>
      <c r="AR68" s="966"/>
      <c r="AS68" s="964"/>
      <c r="AT68" s="966"/>
      <c r="AU68" s="964"/>
      <c r="AV68" s="966"/>
      <c r="AW68" s="966"/>
      <c r="AX68" s="966"/>
      <c r="AY68" s="964"/>
      <c r="AZ68" s="966"/>
      <c r="BA68" s="966"/>
      <c r="BB68" s="966"/>
      <c r="BC68" s="966"/>
      <c r="BD68" s="964"/>
      <c r="BE68" s="966"/>
      <c r="BF68" s="966"/>
      <c r="BG68" s="966"/>
      <c r="BH68" s="964"/>
      <c r="BI68" s="966"/>
      <c r="BJ68" s="966"/>
      <c r="BK68" s="964"/>
      <c r="BL68" s="966"/>
      <c r="BM68" s="964"/>
      <c r="BN68" s="966"/>
      <c r="BO68" s="966"/>
      <c r="BP68" s="966"/>
      <c r="BQ68" s="964"/>
      <c r="BR68" s="966"/>
      <c r="BS68" s="966"/>
      <c r="BT68" s="966"/>
      <c r="BU68" s="966"/>
      <c r="BV68" s="964"/>
      <c r="BW68" s="966"/>
      <c r="BX68" s="966"/>
      <c r="BY68" s="966"/>
      <c r="BZ68" s="964"/>
      <c r="CA68" s="966"/>
      <c r="CB68" s="966"/>
      <c r="CC68" s="966"/>
      <c r="CD68" s="966"/>
      <c r="CE68" s="964"/>
      <c r="CF68" s="966"/>
      <c r="CG68" s="966"/>
      <c r="CH68" s="966"/>
      <c r="CI68" s="964"/>
      <c r="CJ68" s="966"/>
      <c r="CK68" s="966"/>
      <c r="CL68" s="966"/>
      <c r="CM68" s="966"/>
      <c r="CN68" s="964"/>
      <c r="CO68" s="966"/>
      <c r="CP68" s="966"/>
      <c r="CQ68" s="966"/>
      <c r="CR68" s="964"/>
      <c r="CS68" s="966"/>
      <c r="CT68" s="966"/>
      <c r="CU68" s="966"/>
      <c r="CV68" s="966"/>
      <c r="CW68" s="964"/>
      <c r="CX68" s="972"/>
      <c r="CY68" s="966"/>
      <c r="CZ68" s="966"/>
      <c r="DA68" s="964"/>
      <c r="DB68" s="966"/>
      <c r="DC68" s="966"/>
      <c r="DD68" s="966"/>
      <c r="DE68" s="966"/>
      <c r="DF68" s="964"/>
      <c r="DG68" s="966"/>
      <c r="DH68" s="966"/>
      <c r="DI68" s="966"/>
      <c r="DJ68" s="964"/>
      <c r="DK68" s="966"/>
      <c r="DL68" s="966"/>
      <c r="DM68" s="964"/>
      <c r="DN68" s="966"/>
      <c r="DO68" s="964"/>
      <c r="DP68" s="966"/>
      <c r="DQ68" s="966"/>
      <c r="DR68" s="966"/>
      <c r="DS68" s="964"/>
      <c r="DT68" s="966"/>
      <c r="DU68" s="966"/>
      <c r="DV68" s="966"/>
      <c r="DW68" s="966"/>
      <c r="DX68" s="964"/>
      <c r="DY68" s="966"/>
      <c r="DZ68" s="966"/>
      <c r="EA68" s="966"/>
      <c r="EB68" s="964"/>
      <c r="EC68" s="966"/>
      <c r="ED68" s="966"/>
      <c r="EE68" s="964"/>
    </row>
  </sheetData>
  <autoFilter ref="$B$2:$I$10"/>
  <mergeCells count="296">
    <mergeCell ref="BM1:BT1"/>
    <mergeCell ref="BV1:CC1"/>
    <mergeCell ref="CE1:CL1"/>
    <mergeCell ref="CN1:CU1"/>
    <mergeCell ref="CW1:DD1"/>
    <mergeCell ref="DF1:DM1"/>
    <mergeCell ref="DO1:DV1"/>
    <mergeCell ref="DX1:EE1"/>
    <mergeCell ref="A1:I1"/>
    <mergeCell ref="K1:R1"/>
    <mergeCell ref="T1:AA1"/>
    <mergeCell ref="AC1:AJ1"/>
    <mergeCell ref="AL1:AS1"/>
    <mergeCell ref="AU1:BB1"/>
    <mergeCell ref="BD1:BK1"/>
    <mergeCell ref="AE10:AF10"/>
    <mergeCell ref="AH10:AI10"/>
    <mergeCell ref="AW10:AX10"/>
    <mergeCell ref="AZ10:BA10"/>
    <mergeCell ref="BF10:BG10"/>
    <mergeCell ref="BI10:BJ10"/>
    <mergeCell ref="BX10:BY10"/>
    <mergeCell ref="CA10:CB10"/>
    <mergeCell ref="CP10:CQ10"/>
    <mergeCell ref="CS10:CT10"/>
    <mergeCell ref="DH10:DI10"/>
    <mergeCell ref="DK10:DL10"/>
    <mergeCell ref="DQ10:DR10"/>
    <mergeCell ref="DT10:DU10"/>
    <mergeCell ref="AW20:AX20"/>
    <mergeCell ref="AZ20:BA20"/>
    <mergeCell ref="AM13:AM20"/>
    <mergeCell ref="AS13:AS20"/>
    <mergeCell ref="AU13:AU20"/>
    <mergeCell ref="AV13:AV20"/>
    <mergeCell ref="BB13:BB20"/>
    <mergeCell ref="BD13:BD20"/>
    <mergeCell ref="BE13:BE20"/>
    <mergeCell ref="BX20:BY20"/>
    <mergeCell ref="CA20:CB20"/>
    <mergeCell ref="BK13:BK20"/>
    <mergeCell ref="BM13:BM20"/>
    <mergeCell ref="BN13:BN20"/>
    <mergeCell ref="BT13:BT20"/>
    <mergeCell ref="BV13:BV20"/>
    <mergeCell ref="BW13:BW20"/>
    <mergeCell ref="CC13:CC20"/>
    <mergeCell ref="CP20:CQ20"/>
    <mergeCell ref="CS20:CT20"/>
    <mergeCell ref="CE13:CE20"/>
    <mergeCell ref="CF13:CF20"/>
    <mergeCell ref="CL13:CL20"/>
    <mergeCell ref="CN13:CN20"/>
    <mergeCell ref="CO13:CO20"/>
    <mergeCell ref="CU13:CU20"/>
    <mergeCell ref="CW13:CW20"/>
    <mergeCell ref="DH20:DI20"/>
    <mergeCell ref="DK20:DL20"/>
    <mergeCell ref="CX13:CX20"/>
    <mergeCell ref="DD13:DD20"/>
    <mergeCell ref="DF13:DF20"/>
    <mergeCell ref="DG13:DG20"/>
    <mergeCell ref="DM13:DM20"/>
    <mergeCell ref="DO13:DO20"/>
    <mergeCell ref="DP13:DP20"/>
    <mergeCell ref="K3:K10"/>
    <mergeCell ref="L3:L10"/>
    <mergeCell ref="R3:R10"/>
    <mergeCell ref="T3:T10"/>
    <mergeCell ref="U3:U10"/>
    <mergeCell ref="AA3:AA10"/>
    <mergeCell ref="AC3:AC10"/>
    <mergeCell ref="DV13:DV20"/>
    <mergeCell ref="DX13:DX20"/>
    <mergeCell ref="DY13:DY20"/>
    <mergeCell ref="EE13:EE20"/>
    <mergeCell ref="DZ20:EA20"/>
    <mergeCell ref="EC20:ED20"/>
    <mergeCell ref="V20:W20"/>
    <mergeCell ref="Y20:Z20"/>
    <mergeCell ref="AN20:AO20"/>
    <mergeCell ref="AQ20:AR20"/>
    <mergeCell ref="BF20:BG20"/>
    <mergeCell ref="BI20:BJ20"/>
    <mergeCell ref="BO20:BP20"/>
    <mergeCell ref="BR20:BS20"/>
    <mergeCell ref="CG20:CH20"/>
    <mergeCell ref="CJ20:CK20"/>
    <mergeCell ref="CY20:CZ20"/>
    <mergeCell ref="DB20:DC20"/>
    <mergeCell ref="DQ20:DR20"/>
    <mergeCell ref="DT20:DU20"/>
    <mergeCell ref="AN10:AO10"/>
    <mergeCell ref="AQ10:AR10"/>
    <mergeCell ref="AD3:AD10"/>
    <mergeCell ref="AJ3:AJ10"/>
    <mergeCell ref="AL3:AL10"/>
    <mergeCell ref="AM3:AM10"/>
    <mergeCell ref="AS3:AS10"/>
    <mergeCell ref="AU3:AU10"/>
    <mergeCell ref="AV3:AV10"/>
    <mergeCell ref="BO10:BP10"/>
    <mergeCell ref="BR10:BS10"/>
    <mergeCell ref="BB3:BB10"/>
    <mergeCell ref="BD3:BD10"/>
    <mergeCell ref="BE3:BE10"/>
    <mergeCell ref="BK3:BK10"/>
    <mergeCell ref="BM3:BM10"/>
    <mergeCell ref="BN3:BN10"/>
    <mergeCell ref="BT3:BT10"/>
    <mergeCell ref="CG10:CH10"/>
    <mergeCell ref="CJ10:CK10"/>
    <mergeCell ref="BV3:BV10"/>
    <mergeCell ref="BW3:BW10"/>
    <mergeCell ref="CC3:CC10"/>
    <mergeCell ref="CE3:CE10"/>
    <mergeCell ref="CF3:CF10"/>
    <mergeCell ref="CL3:CL10"/>
    <mergeCell ref="CN3:CN10"/>
    <mergeCell ref="CY10:CZ10"/>
    <mergeCell ref="DB10:DC10"/>
    <mergeCell ref="CO3:CO10"/>
    <mergeCell ref="CU3:CU10"/>
    <mergeCell ref="CW3:CW10"/>
    <mergeCell ref="CX3:CX10"/>
    <mergeCell ref="DD3:DD10"/>
    <mergeCell ref="DF3:DF10"/>
    <mergeCell ref="DG3:DG10"/>
    <mergeCell ref="DZ10:EA10"/>
    <mergeCell ref="EC10:ED10"/>
    <mergeCell ref="DM3:DM10"/>
    <mergeCell ref="DO3:DO10"/>
    <mergeCell ref="DP3:DP10"/>
    <mergeCell ref="DV3:DV10"/>
    <mergeCell ref="DX3:DX10"/>
    <mergeCell ref="DY3:DY10"/>
    <mergeCell ref="EE3:EE10"/>
    <mergeCell ref="AE20:AF20"/>
    <mergeCell ref="AH20:AI20"/>
    <mergeCell ref="V10:W10"/>
    <mergeCell ref="Y10:Z10"/>
    <mergeCell ref="AA13:AA20"/>
    <mergeCell ref="AC13:AC20"/>
    <mergeCell ref="AD13:AD20"/>
    <mergeCell ref="AJ13:AJ20"/>
    <mergeCell ref="AL13:AL20"/>
    <mergeCell ref="AE30:AF30"/>
    <mergeCell ref="AH30:AI30"/>
    <mergeCell ref="AA23:AA30"/>
    <mergeCell ref="AC23:AC30"/>
    <mergeCell ref="AD23:AD30"/>
    <mergeCell ref="AJ23:AJ30"/>
    <mergeCell ref="AL23:AL30"/>
    <mergeCell ref="AM23:AM30"/>
    <mergeCell ref="AS23:AS30"/>
    <mergeCell ref="BF40:BG40"/>
    <mergeCell ref="BI40:BJ40"/>
    <mergeCell ref="AU33:AU40"/>
    <mergeCell ref="AV33:AV40"/>
    <mergeCell ref="BB33:BB40"/>
    <mergeCell ref="BD33:BD40"/>
    <mergeCell ref="BE33:BE40"/>
    <mergeCell ref="BK33:BK40"/>
    <mergeCell ref="BM33:BM40"/>
    <mergeCell ref="BX40:BY40"/>
    <mergeCell ref="CA40:CB40"/>
    <mergeCell ref="BN33:BN40"/>
    <mergeCell ref="BT33:BT40"/>
    <mergeCell ref="BV33:BV40"/>
    <mergeCell ref="BW33:BW40"/>
    <mergeCell ref="CC33:CC40"/>
    <mergeCell ref="CE33:CE40"/>
    <mergeCell ref="CF33:CF40"/>
    <mergeCell ref="CY40:CZ40"/>
    <mergeCell ref="DB40:DC40"/>
    <mergeCell ref="CL33:CL40"/>
    <mergeCell ref="CN33:CN40"/>
    <mergeCell ref="CO33:CO40"/>
    <mergeCell ref="CU33:CU40"/>
    <mergeCell ref="CW33:CW40"/>
    <mergeCell ref="CX33:CX40"/>
    <mergeCell ref="DD33:DD40"/>
    <mergeCell ref="DQ40:DR40"/>
    <mergeCell ref="DT40:DU40"/>
    <mergeCell ref="DF33:DF40"/>
    <mergeCell ref="DG33:DG40"/>
    <mergeCell ref="DM33:DM40"/>
    <mergeCell ref="DO33:DO40"/>
    <mergeCell ref="DP33:DP40"/>
    <mergeCell ref="DV33:DV40"/>
    <mergeCell ref="DX33:DX40"/>
    <mergeCell ref="DY33:DY40"/>
    <mergeCell ref="EE33:EE40"/>
    <mergeCell ref="DZ40:EA40"/>
    <mergeCell ref="EC40:ED40"/>
    <mergeCell ref="M40:N40"/>
    <mergeCell ref="P40:Q40"/>
    <mergeCell ref="V40:W40"/>
    <mergeCell ref="Y40:Z40"/>
    <mergeCell ref="AE40:AF40"/>
    <mergeCell ref="AH40:AI40"/>
    <mergeCell ref="AW40:AX40"/>
    <mergeCell ref="AZ40:BA40"/>
    <mergeCell ref="BO40:BP40"/>
    <mergeCell ref="BR40:BS40"/>
    <mergeCell ref="CG40:CH40"/>
    <mergeCell ref="CJ40:CK40"/>
    <mergeCell ref="CP40:CQ40"/>
    <mergeCell ref="CS40:CT40"/>
    <mergeCell ref="DH40:DI40"/>
    <mergeCell ref="DK40:DL40"/>
    <mergeCell ref="BF30:BG30"/>
    <mergeCell ref="BI30:BJ30"/>
    <mergeCell ref="AU23:AU30"/>
    <mergeCell ref="AV23:AV30"/>
    <mergeCell ref="BB23:BB30"/>
    <mergeCell ref="BD23:BD30"/>
    <mergeCell ref="BE23:BE30"/>
    <mergeCell ref="BK23:BK30"/>
    <mergeCell ref="BM23:BM30"/>
    <mergeCell ref="BX30:BY30"/>
    <mergeCell ref="CA30:CB30"/>
    <mergeCell ref="BN23:BN30"/>
    <mergeCell ref="BT23:BT30"/>
    <mergeCell ref="BV23:BV30"/>
    <mergeCell ref="BW23:BW30"/>
    <mergeCell ref="CC23:CC30"/>
    <mergeCell ref="CE23:CE30"/>
    <mergeCell ref="CF23:CF30"/>
    <mergeCell ref="CY30:CZ30"/>
    <mergeCell ref="DB30:DC30"/>
    <mergeCell ref="CL23:CL30"/>
    <mergeCell ref="CN23:CN30"/>
    <mergeCell ref="CO23:CO30"/>
    <mergeCell ref="CU23:CU30"/>
    <mergeCell ref="CW23:CW30"/>
    <mergeCell ref="CX23:CX30"/>
    <mergeCell ref="DD23:DD30"/>
    <mergeCell ref="DQ30:DR30"/>
    <mergeCell ref="DT30:DU30"/>
    <mergeCell ref="DF23:DF30"/>
    <mergeCell ref="DG23:DG30"/>
    <mergeCell ref="DM23:DM30"/>
    <mergeCell ref="DO23:DO30"/>
    <mergeCell ref="DP23:DP30"/>
    <mergeCell ref="DV23:DV30"/>
    <mergeCell ref="DX23:DX30"/>
    <mergeCell ref="M10:N10"/>
    <mergeCell ref="P10:Q10"/>
    <mergeCell ref="A11:G11"/>
    <mergeCell ref="K13:K20"/>
    <mergeCell ref="R13:R20"/>
    <mergeCell ref="T13:T20"/>
    <mergeCell ref="U13:U20"/>
    <mergeCell ref="P20:Q20"/>
    <mergeCell ref="DY23:DY30"/>
    <mergeCell ref="EE23:EE30"/>
    <mergeCell ref="DZ30:EA30"/>
    <mergeCell ref="EC30:ED30"/>
    <mergeCell ref="V30:W30"/>
    <mergeCell ref="Y30:Z30"/>
    <mergeCell ref="AN30:AO30"/>
    <mergeCell ref="AQ30:AR30"/>
    <mergeCell ref="AW30:AX30"/>
    <mergeCell ref="AZ30:BA30"/>
    <mergeCell ref="BO30:BP30"/>
    <mergeCell ref="BR30:BS30"/>
    <mergeCell ref="CG30:CH30"/>
    <mergeCell ref="CJ30:CK30"/>
    <mergeCell ref="CP30:CQ30"/>
    <mergeCell ref="CS30:CT30"/>
    <mergeCell ref="DH30:DI30"/>
    <mergeCell ref="DK30:DL30"/>
    <mergeCell ref="L13:L20"/>
    <mergeCell ref="M20:N20"/>
    <mergeCell ref="K23:K30"/>
    <mergeCell ref="L23:L30"/>
    <mergeCell ref="R23:R30"/>
    <mergeCell ref="T23:T30"/>
    <mergeCell ref="U23:U30"/>
    <mergeCell ref="M30:N30"/>
    <mergeCell ref="P30:Q30"/>
    <mergeCell ref="K33:K40"/>
    <mergeCell ref="L33:L40"/>
    <mergeCell ref="R33:R40"/>
    <mergeCell ref="T33:T40"/>
    <mergeCell ref="U33:U40"/>
    <mergeCell ref="AN40:AO40"/>
    <mergeCell ref="AQ40:AR40"/>
    <mergeCell ref="AA33:AA40"/>
    <mergeCell ref="AC33:AC40"/>
    <mergeCell ref="AD33:AD40"/>
    <mergeCell ref="AJ33:AJ40"/>
    <mergeCell ref="AL33:AL40"/>
    <mergeCell ref="AM33:AM40"/>
    <mergeCell ref="AS33:AS40"/>
  </mergeCells>
  <dataValidations>
    <dataValidation type="list" allowBlank="1" showErrorMessage="1" sqref="M3:M9 V3:V9 AE3:AE9 AN3:AN9 AW3:AW9 BF3:BF9 BO3:BO9 BX3:BX9 CG3:CG9 CP3:CP9 CY3:CY9 DH3:DH9 DQ3:DQ9 DZ3:DZ9 M13:M19 V13:V19 AE13:AE19 AN13:AN19 AW13:AW19 BF13:BF19 BO13:BO19 BX13:BX19 CG13:CG19 CP13:CP19 CY13:CY19 DH13:DH19 DQ13:DQ19 DZ13:DZ19 M23:M29 V23:V29 AE23:AE29 AN23:AN29 AW23:AW29 BF23:BF29 BO23:BO29 BX23:BX29 CG23:CG29 CP23:CP29 CY23:CY29 DH23:DH29 DQ23:DQ29 DZ23:DZ29 M33:M39 V33:V39 AE33:AE39 AN33:AN39 AW33:AW39 BF33:BF39 BO33:BO39 BX33:BX39 CG33:CG39 CP33:CP39 CY33:CY39 DH33:DH39 DQ33:DQ39 DZ33:DZ39">
      <formula1>"Attack,Defence"</formula1>
    </dataValidation>
    <dataValidation type="list" allowBlank="1" showErrorMessage="1" sqref="O3:O9 X3:X9 AG3:AG9 AP3:AP9 AY3:AY9 BH3:BH9 BQ3:BQ9 BZ3:BZ9 CI3:CI9 CR3:CR9 DA3:DA9 DJ3:DJ9 DS3:DS9 EB3:EB9 O13:O19 X13:X19 AG13:AG19 AP13:AP19 AY13:AY19 BH13:BH19 BQ13:BQ19 BZ13:BZ19 CI13:CI19 CR13:CR19 DA13:DA19 DJ13:DJ19 DS13:DS19 EB13:EB19 O23:O29 X23:X29 AG23:AG29 AP23:AP29 AY23:AY29 BH23:BH29 BQ23:BQ29 BZ23:BZ29 CI23:CI29 CR23:CR29 DA23:DA29 DJ23:DJ29 DS23:DS29 EB23:EB29 O33:O39 X33:X39 AG33:AG39 AP33:AP39 AY33:AY39 BH33:BH39 BQ33:BQ39 BZ33:BZ39 CI33:CI39 CR33:CR39 DA33:DA39 DJ33:DJ39 DS33:DS39 EB33:EB39">
      <formula1>"Химмельсдорф,Рудники,Песчаная река,Прохоровка,Карелия,Руинберг,Ласвилль,Утёс,Затерянный город"</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sheetData>
    <row r="1">
      <c r="B1" s="973" t="s">
        <v>844</v>
      </c>
      <c r="C1" s="973" t="s">
        <v>845</v>
      </c>
    </row>
    <row r="2">
      <c r="B2" s="973"/>
      <c r="C2" s="973"/>
    </row>
    <row r="3">
      <c r="B3" s="973" t="s">
        <v>846</v>
      </c>
      <c r="C3" s="973" t="s">
        <v>846</v>
      </c>
    </row>
    <row r="4">
      <c r="B4" s="973" t="s">
        <v>357</v>
      </c>
      <c r="C4" s="973" t="s">
        <v>357</v>
      </c>
    </row>
    <row r="5">
      <c r="B5" s="973" t="s">
        <v>847</v>
      </c>
      <c r="C5" s="973" t="s">
        <v>847</v>
      </c>
    </row>
    <row r="6">
      <c r="B6" s="973" t="s">
        <v>362</v>
      </c>
      <c r="C6" s="973" t="s">
        <v>362</v>
      </c>
    </row>
    <row r="7">
      <c r="B7" s="973" t="s">
        <v>484</v>
      </c>
      <c r="C7" s="973" t="s">
        <v>484</v>
      </c>
    </row>
    <row r="8">
      <c r="B8" s="973" t="s">
        <v>848</v>
      </c>
      <c r="C8" s="973" t="s">
        <v>848</v>
      </c>
    </row>
    <row r="9">
      <c r="B9" s="973" t="s">
        <v>471</v>
      </c>
      <c r="C9" s="973" t="s">
        <v>471</v>
      </c>
    </row>
    <row r="10">
      <c r="B10" s="973" t="s">
        <v>849</v>
      </c>
      <c r="C10" s="973" t="s">
        <v>849</v>
      </c>
    </row>
    <row r="11">
      <c r="B11" s="973" t="s">
        <v>368</v>
      </c>
      <c r="C11" s="973" t="s">
        <v>368</v>
      </c>
    </row>
    <row r="12">
      <c r="B12" s="973" t="s">
        <v>332</v>
      </c>
      <c r="C12" s="973" t="s">
        <v>332</v>
      </c>
    </row>
    <row r="13">
      <c r="B13" s="973" t="s">
        <v>15</v>
      </c>
      <c r="C13" s="973" t="s">
        <v>15</v>
      </c>
    </row>
    <row r="14">
      <c r="B14" s="973" t="s">
        <v>436</v>
      </c>
      <c r="C14" s="973" t="s">
        <v>436</v>
      </c>
    </row>
    <row r="15">
      <c r="B15" s="973" t="s">
        <v>399</v>
      </c>
      <c r="C15" s="973" t="s">
        <v>399</v>
      </c>
    </row>
    <row r="16">
      <c r="B16" s="973" t="s">
        <v>413</v>
      </c>
      <c r="C16" s="973" t="s">
        <v>413</v>
      </c>
    </row>
    <row r="17">
      <c r="B17" s="973" t="s">
        <v>850</v>
      </c>
      <c r="C17" s="973" t="s">
        <v>850</v>
      </c>
    </row>
    <row r="18">
      <c r="B18" s="973" t="s">
        <v>738</v>
      </c>
      <c r="C18" s="973" t="s">
        <v>738</v>
      </c>
    </row>
    <row r="19">
      <c r="B19" s="973" t="s">
        <v>331</v>
      </c>
      <c r="C19" s="973" t="s">
        <v>331</v>
      </c>
    </row>
    <row r="20">
      <c r="B20" s="973" t="s">
        <v>483</v>
      </c>
      <c r="C20" s="973" t="s">
        <v>483</v>
      </c>
    </row>
    <row r="21">
      <c r="B21" s="973" t="s">
        <v>382</v>
      </c>
      <c r="C21" s="973" t="s">
        <v>382</v>
      </c>
    </row>
    <row r="22">
      <c r="B22" s="973" t="s">
        <v>354</v>
      </c>
      <c r="C22" s="973" t="s">
        <v>354</v>
      </c>
    </row>
    <row r="23">
      <c r="B23" s="973" t="s">
        <v>728</v>
      </c>
      <c r="C23" s="973" t="s">
        <v>728</v>
      </c>
    </row>
    <row r="24">
      <c r="B24" s="973" t="s">
        <v>380</v>
      </c>
      <c r="C24" s="973" t="s">
        <v>380</v>
      </c>
    </row>
    <row r="25">
      <c r="B25" s="973" t="s">
        <v>409</v>
      </c>
      <c r="C25" s="973" t="s">
        <v>409</v>
      </c>
    </row>
    <row r="26">
      <c r="B26" s="973" t="s">
        <v>407</v>
      </c>
      <c r="C26" s="973" t="s">
        <v>407</v>
      </c>
    </row>
    <row r="27">
      <c r="B27" s="973" t="s">
        <v>736</v>
      </c>
      <c r="C27" s="973" t="s">
        <v>736</v>
      </c>
    </row>
    <row r="28">
      <c r="B28" s="973" t="s">
        <v>410</v>
      </c>
      <c r="C28" s="973" t="s">
        <v>410</v>
      </c>
    </row>
    <row r="29">
      <c r="B29" s="973" t="s">
        <v>395</v>
      </c>
      <c r="C29" s="973" t="s">
        <v>395</v>
      </c>
    </row>
    <row r="30">
      <c r="B30" s="973" t="s">
        <v>470</v>
      </c>
      <c r="C30" s="973" t="s">
        <v>470</v>
      </c>
    </row>
    <row r="31">
      <c r="B31" s="973" t="s">
        <v>377</v>
      </c>
      <c r="C31" s="973" t="s">
        <v>377</v>
      </c>
    </row>
    <row r="32">
      <c r="B32" s="973" t="s">
        <v>414</v>
      </c>
      <c r="C32" s="973" t="s">
        <v>414</v>
      </c>
    </row>
    <row r="33">
      <c r="B33" s="973" t="s">
        <v>851</v>
      </c>
      <c r="C33" s="973" t="s">
        <v>851</v>
      </c>
    </row>
    <row r="34">
      <c r="B34" s="973" t="s">
        <v>852</v>
      </c>
      <c r="C34" s="973" t="s">
        <v>852</v>
      </c>
    </row>
    <row r="35">
      <c r="B35" s="973" t="s">
        <v>735</v>
      </c>
      <c r="C35" s="973" t="s">
        <v>735</v>
      </c>
    </row>
    <row r="36">
      <c r="B36" s="973" t="s">
        <v>853</v>
      </c>
      <c r="C36" s="973" t="s">
        <v>853</v>
      </c>
    </row>
    <row r="37">
      <c r="B37" s="973" t="s">
        <v>359</v>
      </c>
      <c r="C37" s="973" t="s">
        <v>359</v>
      </c>
    </row>
    <row r="38">
      <c r="B38" s="973" t="s">
        <v>465</v>
      </c>
      <c r="C38" s="973" t="s">
        <v>465</v>
      </c>
    </row>
    <row r="39">
      <c r="B39" s="973" t="s">
        <v>453</v>
      </c>
      <c r="C39" s="973" t="s">
        <v>453</v>
      </c>
    </row>
    <row r="40">
      <c r="B40" s="973" t="s">
        <v>334</v>
      </c>
      <c r="C40" s="973" t="s">
        <v>334</v>
      </c>
    </row>
    <row r="41">
      <c r="B41" s="973" t="s">
        <v>456</v>
      </c>
      <c r="C41" s="973" t="s">
        <v>456</v>
      </c>
    </row>
    <row r="42">
      <c r="B42" s="973" t="s">
        <v>469</v>
      </c>
      <c r="C42" s="973" t="s">
        <v>469</v>
      </c>
    </row>
    <row r="43">
      <c r="B43" s="973" t="s">
        <v>854</v>
      </c>
      <c r="C43" s="973" t="s">
        <v>854</v>
      </c>
    </row>
    <row r="44">
      <c r="B44" s="973" t="s">
        <v>412</v>
      </c>
      <c r="C44" s="973" t="s">
        <v>412</v>
      </c>
    </row>
    <row r="45">
      <c r="B45" s="973" t="s">
        <v>327</v>
      </c>
      <c r="C45" s="973" t="s">
        <v>327</v>
      </c>
    </row>
    <row r="46">
      <c r="B46" s="973" t="s">
        <v>418</v>
      </c>
      <c r="C46" s="973" t="s">
        <v>418</v>
      </c>
    </row>
    <row r="47">
      <c r="B47" s="973" t="s">
        <v>19</v>
      </c>
      <c r="C47" s="973" t="s">
        <v>19</v>
      </c>
    </row>
    <row r="48">
      <c r="B48" s="973" t="s">
        <v>346</v>
      </c>
      <c r="C48" s="973" t="s">
        <v>346</v>
      </c>
    </row>
    <row r="49">
      <c r="B49" s="973" t="s">
        <v>375</v>
      </c>
      <c r="C49" s="973" t="s">
        <v>375</v>
      </c>
    </row>
    <row r="50">
      <c r="B50" s="973" t="s">
        <v>396</v>
      </c>
      <c r="C50" s="973" t="s">
        <v>396</v>
      </c>
    </row>
    <row r="51">
      <c r="B51" s="973" t="s">
        <v>325</v>
      </c>
      <c r="C51" s="973" t="s">
        <v>325</v>
      </c>
    </row>
    <row r="52">
      <c r="B52" s="973" t="s">
        <v>329</v>
      </c>
      <c r="C52" s="973" t="s">
        <v>329</v>
      </c>
    </row>
    <row r="53">
      <c r="B53" s="973" t="s">
        <v>485</v>
      </c>
      <c r="C53" s="973" t="s">
        <v>485</v>
      </c>
    </row>
    <row r="54">
      <c r="B54" s="973" t="s">
        <v>416</v>
      </c>
      <c r="C54" s="973" t="s">
        <v>416</v>
      </c>
    </row>
    <row r="55">
      <c r="B55" s="973" t="s">
        <v>328</v>
      </c>
      <c r="C55" s="973" t="s">
        <v>328</v>
      </c>
    </row>
    <row r="56">
      <c r="B56" s="973" t="s">
        <v>317</v>
      </c>
      <c r="C56" s="973" t="s">
        <v>317</v>
      </c>
    </row>
    <row r="57">
      <c r="B57" s="973" t="s">
        <v>742</v>
      </c>
      <c r="C57" s="973" t="s">
        <v>742</v>
      </c>
    </row>
    <row r="58">
      <c r="B58" s="973" t="s">
        <v>347</v>
      </c>
      <c r="C58" s="973" t="s">
        <v>347</v>
      </c>
    </row>
    <row r="59">
      <c r="B59" s="973" t="s">
        <v>322</v>
      </c>
      <c r="C59" s="973" t="s">
        <v>322</v>
      </c>
    </row>
    <row r="60">
      <c r="B60" s="973" t="s">
        <v>361</v>
      </c>
      <c r="C60" s="973" t="s">
        <v>361</v>
      </c>
    </row>
    <row r="61">
      <c r="B61" s="973" t="s">
        <v>447</v>
      </c>
      <c r="C61" s="973" t="s">
        <v>447</v>
      </c>
    </row>
    <row r="62">
      <c r="B62" s="973" t="s">
        <v>855</v>
      </c>
      <c r="C62" s="973" t="s">
        <v>855</v>
      </c>
    </row>
    <row r="63">
      <c r="B63" s="973" t="s">
        <v>856</v>
      </c>
      <c r="C63" s="973" t="s">
        <v>856</v>
      </c>
    </row>
    <row r="64">
      <c r="B64" s="973" t="s">
        <v>788</v>
      </c>
      <c r="C64" s="973" t="s">
        <v>788</v>
      </c>
    </row>
    <row r="65">
      <c r="B65" s="973" t="s">
        <v>740</v>
      </c>
      <c r="C65" s="973" t="s">
        <v>740</v>
      </c>
    </row>
    <row r="66">
      <c r="B66" s="973" t="s">
        <v>857</v>
      </c>
      <c r="C66" s="973" t="s">
        <v>857</v>
      </c>
    </row>
    <row r="67">
      <c r="B67" s="973" t="s">
        <v>451</v>
      </c>
      <c r="C67" s="973" t="s">
        <v>451</v>
      </c>
    </row>
    <row r="68">
      <c r="B68" s="973" t="s">
        <v>438</v>
      </c>
      <c r="C68" s="973" t="s">
        <v>438</v>
      </c>
    </row>
    <row r="69">
      <c r="B69" s="973" t="s">
        <v>376</v>
      </c>
      <c r="C69" s="973" t="s">
        <v>376</v>
      </c>
    </row>
    <row r="70">
      <c r="B70" s="973" t="s">
        <v>369</v>
      </c>
      <c r="C70" s="973" t="s">
        <v>369</v>
      </c>
    </row>
    <row r="71">
      <c r="B71" s="973" t="s">
        <v>858</v>
      </c>
      <c r="C71" s="973" t="s">
        <v>858</v>
      </c>
    </row>
    <row r="72">
      <c r="B72" s="973" t="s">
        <v>384</v>
      </c>
      <c r="C72" s="973" t="s">
        <v>384</v>
      </c>
    </row>
    <row r="73">
      <c r="B73" s="973" t="s">
        <v>389</v>
      </c>
      <c r="C73" s="973" t="s">
        <v>389</v>
      </c>
    </row>
    <row r="74">
      <c r="B74" s="973" t="s">
        <v>434</v>
      </c>
      <c r="C74" s="973" t="s">
        <v>434</v>
      </c>
    </row>
    <row r="75">
      <c r="B75" s="973" t="s">
        <v>405</v>
      </c>
      <c r="C75" s="973" t="s">
        <v>405</v>
      </c>
    </row>
    <row r="76">
      <c r="B76" s="973" t="s">
        <v>432</v>
      </c>
      <c r="C76" s="973" t="s">
        <v>432</v>
      </c>
    </row>
    <row r="77">
      <c r="B77" s="973" t="s">
        <v>391</v>
      </c>
      <c r="C77" s="973" t="s">
        <v>391</v>
      </c>
    </row>
    <row r="78">
      <c r="B78" s="973" t="s">
        <v>859</v>
      </c>
      <c r="C78" s="973" t="s">
        <v>859</v>
      </c>
    </row>
    <row r="79">
      <c r="B79" s="973" t="s">
        <v>343</v>
      </c>
      <c r="C79" s="973" t="s">
        <v>343</v>
      </c>
    </row>
    <row r="80">
      <c r="B80" s="973" t="s">
        <v>737</v>
      </c>
      <c r="C80" s="973" t="s">
        <v>737</v>
      </c>
    </row>
    <row r="81">
      <c r="B81" s="973" t="s">
        <v>486</v>
      </c>
      <c r="C81" s="973" t="s">
        <v>486</v>
      </c>
    </row>
    <row r="82">
      <c r="B82" s="973" t="s">
        <v>860</v>
      </c>
      <c r="C82" s="973" t="s">
        <v>860</v>
      </c>
    </row>
    <row r="83">
      <c r="B83" s="973" t="s">
        <v>861</v>
      </c>
      <c r="C83" s="973" t="s">
        <v>861</v>
      </c>
    </row>
    <row r="84">
      <c r="B84" s="973" t="s">
        <v>445</v>
      </c>
      <c r="C84" s="973" t="s">
        <v>445</v>
      </c>
    </row>
    <row r="85">
      <c r="B85" s="973" t="s">
        <v>406</v>
      </c>
      <c r="C85" s="973" t="s">
        <v>406</v>
      </c>
    </row>
    <row r="86">
      <c r="B86" s="973" t="s">
        <v>439</v>
      </c>
      <c r="C86" s="973" t="s">
        <v>439</v>
      </c>
    </row>
    <row r="87">
      <c r="B87" s="973" t="s">
        <v>324</v>
      </c>
      <c r="C87" s="973" t="s">
        <v>324</v>
      </c>
    </row>
    <row r="88">
      <c r="B88" s="973" t="s">
        <v>446</v>
      </c>
      <c r="C88" s="973" t="s">
        <v>446</v>
      </c>
    </row>
    <row r="89">
      <c r="B89" s="973" t="s">
        <v>743</v>
      </c>
      <c r="C89" s="973" t="s">
        <v>743</v>
      </c>
    </row>
    <row r="90">
      <c r="B90" s="973" t="s">
        <v>398</v>
      </c>
      <c r="C90" s="973" t="s">
        <v>398</v>
      </c>
    </row>
    <row r="91">
      <c r="B91" s="973" t="s">
        <v>862</v>
      </c>
      <c r="C91" s="973" t="s">
        <v>862</v>
      </c>
    </row>
    <row r="92">
      <c r="B92" s="973" t="s">
        <v>730</v>
      </c>
      <c r="C92" s="973" t="s">
        <v>730</v>
      </c>
    </row>
    <row r="93">
      <c r="B93" s="973" t="s">
        <v>863</v>
      </c>
      <c r="C93" s="973" t="s">
        <v>863</v>
      </c>
    </row>
    <row r="94">
      <c r="B94" s="973" t="s">
        <v>744</v>
      </c>
      <c r="C94" s="973" t="s">
        <v>744</v>
      </c>
    </row>
    <row r="95">
      <c r="B95" s="973" t="s">
        <v>401</v>
      </c>
      <c r="C95" s="973" t="s">
        <v>401</v>
      </c>
    </row>
    <row r="96">
      <c r="B96" s="973" t="s">
        <v>864</v>
      </c>
      <c r="C96" s="973" t="s">
        <v>864</v>
      </c>
    </row>
    <row r="97">
      <c r="B97" s="973" t="s">
        <v>865</v>
      </c>
      <c r="C97" s="973" t="s">
        <v>865</v>
      </c>
    </row>
    <row r="98">
      <c r="B98" s="973" t="s">
        <v>866</v>
      </c>
      <c r="C98" s="973" t="s">
        <v>866</v>
      </c>
    </row>
    <row r="99">
      <c r="B99" s="973" t="s">
        <v>403</v>
      </c>
      <c r="C99" s="973" t="s">
        <v>403</v>
      </c>
    </row>
    <row r="100">
      <c r="B100" s="973" t="s">
        <v>739</v>
      </c>
      <c r="C100" s="973" t="s">
        <v>739</v>
      </c>
    </row>
    <row r="101">
      <c r="B101" s="973" t="s">
        <v>741</v>
      </c>
      <c r="C101" s="973" t="s">
        <v>741</v>
      </c>
    </row>
    <row r="102">
      <c r="B102" s="973" t="s">
        <v>402</v>
      </c>
      <c r="C102" s="973" t="s">
        <v>402</v>
      </c>
    </row>
    <row r="103">
      <c r="B103" s="973" t="s">
        <v>341</v>
      </c>
      <c r="C103" s="973" t="s">
        <v>341</v>
      </c>
    </row>
    <row r="104">
      <c r="B104" s="973" t="s">
        <v>404</v>
      </c>
      <c r="C104" s="973" t="s">
        <v>404</v>
      </c>
    </row>
    <row r="105">
      <c r="B105" s="973" t="s">
        <v>315</v>
      </c>
      <c r="C105" s="973" t="s">
        <v>315</v>
      </c>
    </row>
    <row r="106">
      <c r="B106" s="973" t="s">
        <v>867</v>
      </c>
      <c r="C106" s="973" t="s">
        <v>867</v>
      </c>
    </row>
    <row r="107">
      <c r="B107" s="973" t="s">
        <v>466</v>
      </c>
      <c r="C107" s="973" t="s">
        <v>466</v>
      </c>
    </row>
    <row r="108">
      <c r="B108" s="973" t="s">
        <v>747</v>
      </c>
      <c r="C108" s="973" t="s">
        <v>747</v>
      </c>
    </row>
    <row r="109">
      <c r="B109" s="973" t="s">
        <v>363</v>
      </c>
      <c r="C109" s="973" t="s">
        <v>363</v>
      </c>
    </row>
    <row r="110">
      <c r="B110" s="973" t="s">
        <v>415</v>
      </c>
      <c r="C110" s="973" t="s">
        <v>415</v>
      </c>
    </row>
    <row r="111">
      <c r="B111" s="973" t="s">
        <v>379</v>
      </c>
      <c r="C111" s="973" t="s">
        <v>379</v>
      </c>
    </row>
    <row r="112">
      <c r="B112" s="973" t="s">
        <v>868</v>
      </c>
      <c r="C112" s="973" t="s">
        <v>868</v>
      </c>
    </row>
    <row r="113">
      <c r="B113" s="973" t="s">
        <v>373</v>
      </c>
      <c r="C113" s="973" t="s">
        <v>373</v>
      </c>
    </row>
    <row r="114">
      <c r="B114" s="973" t="s">
        <v>869</v>
      </c>
      <c r="C114" s="973" t="s">
        <v>869</v>
      </c>
    </row>
    <row r="115">
      <c r="B115" s="973" t="s">
        <v>400</v>
      </c>
      <c r="C115" s="973" t="s">
        <v>400</v>
      </c>
    </row>
    <row r="116">
      <c r="B116" s="973" t="s">
        <v>348</v>
      </c>
      <c r="C116" s="973" t="s">
        <v>348</v>
      </c>
    </row>
    <row r="117">
      <c r="B117" s="973" t="s">
        <v>870</v>
      </c>
      <c r="C117" s="973" t="s">
        <v>870</v>
      </c>
    </row>
    <row r="118">
      <c r="B118" s="973" t="s">
        <v>745</v>
      </c>
      <c r="C118" s="973" t="s">
        <v>745</v>
      </c>
    </row>
    <row r="119">
      <c r="B119" s="973" t="s">
        <v>408</v>
      </c>
      <c r="C119" s="973" t="s">
        <v>408</v>
      </c>
    </row>
    <row r="120">
      <c r="B120" s="973" t="s">
        <v>871</v>
      </c>
      <c r="C120" s="973" t="s">
        <v>871</v>
      </c>
    </row>
    <row r="121">
      <c r="B121" s="973" t="s">
        <v>352</v>
      </c>
      <c r="C121" s="973" t="s">
        <v>352</v>
      </c>
    </row>
    <row r="122">
      <c r="B122" s="973" t="s">
        <v>385</v>
      </c>
      <c r="C122" s="973" t="s">
        <v>385</v>
      </c>
    </row>
    <row r="123">
      <c r="B123" s="973" t="s">
        <v>443</v>
      </c>
      <c r="C123" s="973" t="s">
        <v>443</v>
      </c>
    </row>
    <row r="124">
      <c r="B124" s="973" t="s">
        <v>371</v>
      </c>
      <c r="C124" s="973" t="s">
        <v>371</v>
      </c>
    </row>
    <row r="125">
      <c r="B125" s="973" t="s">
        <v>392</v>
      </c>
      <c r="C125" s="973" t="s">
        <v>392</v>
      </c>
    </row>
    <row r="126">
      <c r="B126" s="973" t="s">
        <v>746</v>
      </c>
      <c r="C126" s="973" t="s">
        <v>746</v>
      </c>
    </row>
    <row r="127">
      <c r="B127" s="973" t="s">
        <v>411</v>
      </c>
      <c r="C127" s="973" t="s">
        <v>411</v>
      </c>
    </row>
    <row r="128">
      <c r="B128" s="973" t="s">
        <v>872</v>
      </c>
      <c r="C128" s="973" t="s">
        <v>872</v>
      </c>
    </row>
    <row r="129">
      <c r="B129" s="973" t="s">
        <v>374</v>
      </c>
      <c r="C129" s="973" t="s">
        <v>374</v>
      </c>
    </row>
    <row r="130">
      <c r="B130" s="973" t="s">
        <v>337</v>
      </c>
      <c r="C130" s="973" t="s">
        <v>337</v>
      </c>
    </row>
    <row r="131">
      <c r="B131" s="973" t="s">
        <v>387</v>
      </c>
      <c r="C131" s="973" t="s">
        <v>387</v>
      </c>
    </row>
    <row r="132">
      <c r="B132" s="973" t="s">
        <v>873</v>
      </c>
      <c r="C132" s="973" t="s">
        <v>873</v>
      </c>
    </row>
    <row r="133">
      <c r="B133" s="973" t="s">
        <v>342</v>
      </c>
      <c r="C133" s="973" t="s">
        <v>342</v>
      </c>
    </row>
    <row r="134">
      <c r="B134" s="973" t="s">
        <v>874</v>
      </c>
      <c r="C134" s="973" t="s">
        <v>874</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11.44"/>
    <col customWidth="1" min="2" max="2" width="16.78"/>
    <col customWidth="1" min="3" max="3" width="18.89"/>
    <col customWidth="1" min="4" max="4" width="47.22"/>
    <col customWidth="1" min="5" max="5" width="54.0"/>
  </cols>
  <sheetData>
    <row r="1" ht="22.5" customHeight="1">
      <c r="A1" s="974" t="s">
        <v>0</v>
      </c>
      <c r="B1" s="974" t="s">
        <v>875</v>
      </c>
      <c r="C1" s="974" t="s">
        <v>876</v>
      </c>
      <c r="D1" s="974" t="s">
        <v>877</v>
      </c>
      <c r="E1" s="974" t="s">
        <v>878</v>
      </c>
    </row>
    <row r="2" ht="27.0" customHeight="1">
      <c r="A2" s="975">
        <v>1.0</v>
      </c>
      <c r="B2" s="976"/>
      <c r="C2" s="977"/>
      <c r="D2" s="978"/>
      <c r="E2" s="978"/>
    </row>
    <row r="3" ht="27.0" customHeight="1">
      <c r="A3" s="978">
        <v>2.0</v>
      </c>
      <c r="B3" s="978"/>
      <c r="C3" s="977"/>
      <c r="D3" s="978"/>
      <c r="E3" s="978"/>
    </row>
    <row r="4" ht="27.0" customHeight="1">
      <c r="A4" s="978">
        <v>3.0</v>
      </c>
      <c r="B4" s="978"/>
      <c r="C4" s="977"/>
      <c r="D4" s="978"/>
      <c r="E4" s="978"/>
    </row>
    <row r="5" ht="27.0" customHeight="1">
      <c r="A5" s="978">
        <v>4.0</v>
      </c>
      <c r="B5" s="978"/>
      <c r="C5" s="977"/>
      <c r="D5" s="978"/>
      <c r="E5" s="978"/>
    </row>
    <row r="6" ht="27.0" customHeight="1">
      <c r="A6" s="978">
        <v>5.0</v>
      </c>
      <c r="B6" s="976"/>
      <c r="C6" s="977"/>
      <c r="D6" s="978"/>
      <c r="E6" s="978"/>
    </row>
    <row r="7" ht="27.0" customHeight="1">
      <c r="A7" s="978">
        <v>6.0</v>
      </c>
      <c r="B7" s="976"/>
      <c r="C7" s="977"/>
      <c r="D7" s="978"/>
      <c r="E7" s="978"/>
    </row>
    <row r="8" ht="27.0" customHeight="1">
      <c r="A8" s="978">
        <v>7.0</v>
      </c>
      <c r="B8" s="978"/>
      <c r="C8" s="978"/>
      <c r="D8" s="978"/>
      <c r="E8" s="978"/>
    </row>
    <row r="9" ht="27.0" customHeight="1">
      <c r="A9" s="978">
        <v>8.0</v>
      </c>
      <c r="B9" s="978"/>
      <c r="C9" s="979"/>
      <c r="D9" s="978"/>
      <c r="E9" s="978"/>
    </row>
    <row r="10" ht="27.0" customHeight="1">
      <c r="A10" s="978">
        <v>9.0</v>
      </c>
      <c r="B10" s="978"/>
      <c r="C10" s="979"/>
      <c r="D10" s="978"/>
      <c r="E10" s="978"/>
    </row>
    <row r="11" ht="27.0" customHeight="1">
      <c r="A11" s="978">
        <v>10.0</v>
      </c>
      <c r="B11" s="978"/>
      <c r="C11" s="979"/>
      <c r="D11" s="978"/>
      <c r="E11" s="978"/>
    </row>
    <row r="12" ht="27.0" customHeight="1">
      <c r="A12" s="978">
        <v>11.0</v>
      </c>
      <c r="B12" s="978"/>
      <c r="C12" s="979"/>
      <c r="D12" s="978"/>
      <c r="E12" s="978"/>
    </row>
    <row r="13" ht="27.0" customHeight="1">
      <c r="A13" s="980">
        <v>12.0</v>
      </c>
      <c r="B13" s="978"/>
      <c r="C13" s="979"/>
      <c r="D13" s="978"/>
      <c r="E13" s="978"/>
    </row>
    <row r="14" ht="27.0" customHeight="1">
      <c r="A14" s="980">
        <v>13.0</v>
      </c>
      <c r="B14" s="981"/>
      <c r="C14" s="981"/>
      <c r="D14" s="981"/>
      <c r="E14" s="981"/>
    </row>
    <row r="15" ht="27.0" customHeight="1">
      <c r="A15" s="980">
        <v>14.0</v>
      </c>
      <c r="B15" s="978"/>
      <c r="C15" s="979"/>
      <c r="D15" s="978"/>
      <c r="E15" s="978"/>
    </row>
    <row r="16" ht="27.0" customHeight="1">
      <c r="A16" s="980">
        <v>15.0</v>
      </c>
      <c r="B16" s="978"/>
      <c r="C16" s="979"/>
      <c r="D16" s="978"/>
      <c r="E16" s="978"/>
    </row>
    <row r="17" ht="27.0" customHeight="1">
      <c r="A17" s="980">
        <v>16.0</v>
      </c>
      <c r="B17" s="981"/>
      <c r="C17" s="981"/>
      <c r="D17" s="981"/>
      <c r="E17" s="981"/>
    </row>
    <row r="18" ht="27.0" customHeight="1">
      <c r="A18" s="980">
        <v>17.0</v>
      </c>
      <c r="B18" s="978"/>
      <c r="C18" s="979"/>
      <c r="D18" s="978"/>
      <c r="E18" s="978"/>
    </row>
    <row r="19" ht="27.0" customHeight="1">
      <c r="A19" s="980">
        <v>18.0</v>
      </c>
      <c r="B19" s="978"/>
      <c r="C19" s="979"/>
      <c r="D19" s="978"/>
      <c r="E19" s="978"/>
    </row>
    <row r="20" ht="27.0" customHeight="1">
      <c r="A20" s="980">
        <v>19.0</v>
      </c>
      <c r="B20" s="978"/>
      <c r="C20" s="979"/>
      <c r="D20" s="978"/>
      <c r="E20" s="978"/>
    </row>
    <row r="21" ht="27.0" customHeight="1">
      <c r="A21" s="980">
        <v>20.0</v>
      </c>
      <c r="B21" s="978"/>
      <c r="C21" s="979"/>
      <c r="D21" s="978"/>
      <c r="E21" s="978"/>
    </row>
    <row r="22" ht="27.0" customHeight="1">
      <c r="A22" s="980">
        <v>21.0</v>
      </c>
      <c r="B22" s="978"/>
      <c r="C22" s="979"/>
      <c r="D22" s="978"/>
      <c r="E22" s="978"/>
    </row>
    <row r="23" ht="27.0" customHeight="1">
      <c r="A23" s="980">
        <v>22.0</v>
      </c>
      <c r="B23" s="978"/>
      <c r="C23" s="979"/>
      <c r="D23" s="978"/>
      <c r="E23" s="978"/>
    </row>
    <row r="24" ht="27.0" customHeight="1">
      <c r="A24" s="980">
        <v>23.0</v>
      </c>
      <c r="B24" s="978"/>
      <c r="C24" s="979"/>
      <c r="D24" s="978"/>
      <c r="E24" s="978"/>
    </row>
    <row r="25" ht="27.0" customHeight="1">
      <c r="A25" s="980">
        <v>24.0</v>
      </c>
      <c r="B25" s="978"/>
      <c r="C25" s="979"/>
      <c r="D25" s="978"/>
      <c r="E25" s="978"/>
    </row>
    <row r="26" ht="27.0" customHeight="1">
      <c r="A26" s="980">
        <v>25.0</v>
      </c>
      <c r="B26" s="978"/>
      <c r="C26" s="979"/>
      <c r="D26" s="978"/>
      <c r="E26" s="978"/>
    </row>
    <row r="27" ht="27.0" customHeight="1">
      <c r="A27" s="980">
        <v>26.0</v>
      </c>
      <c r="B27" s="978"/>
      <c r="C27" s="979"/>
      <c r="D27" s="978"/>
      <c r="E27" s="978"/>
    </row>
    <row r="28" ht="27.0" customHeight="1">
      <c r="A28" s="980">
        <v>27.0</v>
      </c>
      <c r="B28" s="978"/>
      <c r="C28" s="979"/>
      <c r="D28" s="978"/>
      <c r="E28" s="978"/>
    </row>
    <row r="29" ht="27.0" customHeight="1">
      <c r="A29" s="980">
        <v>28.0</v>
      </c>
      <c r="B29" s="978"/>
      <c r="C29" s="979"/>
      <c r="D29" s="978"/>
      <c r="E29" s="978"/>
    </row>
    <row r="30" ht="27.0" customHeight="1">
      <c r="A30" s="980">
        <v>29.0</v>
      </c>
      <c r="B30" s="978"/>
      <c r="C30" s="979"/>
      <c r="D30" s="978"/>
      <c r="E30" s="978"/>
    </row>
    <row r="31" ht="27.0" customHeight="1">
      <c r="A31" s="980">
        <v>30.0</v>
      </c>
      <c r="B31" s="978"/>
      <c r="C31" s="979"/>
      <c r="D31" s="978"/>
      <c r="E31" s="978"/>
    </row>
    <row r="32" ht="27.0" customHeight="1">
      <c r="A32" s="980">
        <v>31.0</v>
      </c>
      <c r="B32" s="978"/>
      <c r="C32" s="979"/>
      <c r="D32" s="978"/>
      <c r="E32" s="978"/>
    </row>
    <row r="33" ht="27.0" customHeight="1">
      <c r="A33" s="980">
        <v>32.0</v>
      </c>
      <c r="B33" s="978"/>
      <c r="C33" s="979"/>
      <c r="D33" s="978"/>
      <c r="E33" s="978"/>
    </row>
    <row r="34" ht="27.0" customHeight="1">
      <c r="A34" s="980">
        <v>33.0</v>
      </c>
      <c r="B34" s="978"/>
      <c r="C34" s="979"/>
      <c r="D34" s="978"/>
      <c r="E34" s="978"/>
    </row>
    <row r="35" ht="27.0" customHeight="1">
      <c r="A35" s="980">
        <v>34.0</v>
      </c>
      <c r="B35" s="978"/>
      <c r="C35" s="979"/>
      <c r="D35" s="978"/>
      <c r="E35" s="978"/>
    </row>
    <row r="36" ht="27.0" customHeight="1">
      <c r="A36" s="980">
        <v>35.0</v>
      </c>
      <c r="B36" s="978"/>
      <c r="C36" s="979"/>
      <c r="D36" s="978"/>
      <c r="E36" s="978"/>
    </row>
    <row r="37" ht="27.0" customHeight="1">
      <c r="A37" s="980">
        <v>36.0</v>
      </c>
      <c r="B37" s="981"/>
      <c r="C37" s="981"/>
      <c r="D37" s="981"/>
      <c r="E37" s="981"/>
    </row>
    <row r="38" ht="27.0" customHeight="1">
      <c r="A38" s="980">
        <v>37.0</v>
      </c>
      <c r="B38" s="978"/>
      <c r="C38" s="979"/>
      <c r="D38" s="978"/>
      <c r="E38" s="978"/>
    </row>
    <row r="39" ht="27.0" customHeight="1">
      <c r="A39" s="980">
        <v>38.0</v>
      </c>
      <c r="B39" s="978"/>
      <c r="C39" s="979"/>
      <c r="D39" s="978"/>
      <c r="E39" s="978"/>
    </row>
    <row r="40" ht="27.0" customHeight="1">
      <c r="A40" s="980">
        <v>39.0</v>
      </c>
      <c r="B40" s="978"/>
      <c r="C40" s="979"/>
      <c r="D40" s="978"/>
      <c r="E40" s="978"/>
    </row>
    <row r="41" ht="27.0" customHeight="1">
      <c r="A41" s="980">
        <v>40.0</v>
      </c>
      <c r="B41" s="981"/>
      <c r="C41" s="981"/>
      <c r="D41" s="981"/>
      <c r="E41" s="981"/>
    </row>
    <row r="42" ht="27.0" customHeight="1">
      <c r="A42" s="980">
        <v>41.0</v>
      </c>
      <c r="B42" s="981"/>
      <c r="C42" s="981"/>
      <c r="D42" s="981"/>
      <c r="E42" s="981"/>
    </row>
    <row r="43" ht="27.0" customHeight="1">
      <c r="A43" s="980">
        <v>42.0</v>
      </c>
      <c r="B43" s="978"/>
      <c r="C43" s="979"/>
      <c r="D43" s="978"/>
      <c r="E43" s="978"/>
    </row>
    <row r="44" ht="27.0" customHeight="1">
      <c r="A44" s="980">
        <v>43.0</v>
      </c>
      <c r="B44" s="981"/>
      <c r="C44" s="981"/>
      <c r="D44" s="981"/>
      <c r="E44" s="981"/>
    </row>
    <row r="45" ht="27.0" customHeight="1">
      <c r="A45" s="978">
        <v>44.0</v>
      </c>
      <c r="B45" s="976"/>
      <c r="C45" s="977"/>
      <c r="D45" s="976"/>
      <c r="E45" s="976"/>
    </row>
    <row r="46" ht="27.0" customHeight="1">
      <c r="A46" s="978">
        <v>45.0</v>
      </c>
      <c r="B46" s="976"/>
      <c r="C46" s="977"/>
      <c r="D46" s="976"/>
      <c r="E46" s="976"/>
    </row>
    <row r="47" ht="27.0" customHeight="1">
      <c r="A47" s="978">
        <v>46.0</v>
      </c>
      <c r="B47" s="982"/>
      <c r="C47" s="979"/>
      <c r="D47" s="978"/>
      <c r="E47" s="978"/>
    </row>
    <row r="48" ht="27.0" customHeight="1">
      <c r="A48" s="978">
        <v>47.0</v>
      </c>
      <c r="B48" s="982"/>
      <c r="C48" s="979"/>
      <c r="D48" s="978"/>
      <c r="E48" s="978"/>
    </row>
    <row r="49" ht="27.0" customHeight="1">
      <c r="A49" s="978">
        <v>48.0</v>
      </c>
      <c r="B49" s="982"/>
      <c r="C49" s="979"/>
      <c r="D49" s="978"/>
      <c r="E49" s="978"/>
    </row>
    <row r="50" ht="27.0" customHeight="1">
      <c r="A50" s="978">
        <v>49.0</v>
      </c>
      <c r="B50" s="982"/>
      <c r="C50" s="979"/>
      <c r="D50" s="978"/>
      <c r="E50" s="978"/>
    </row>
    <row r="51" ht="27.0" customHeight="1">
      <c r="A51" s="978">
        <v>50.0</v>
      </c>
      <c r="B51" s="982"/>
      <c r="C51" s="979"/>
      <c r="D51" s="978"/>
      <c r="E51" s="978"/>
    </row>
    <row r="52" ht="27.0" customHeight="1">
      <c r="A52" s="978">
        <v>51.0</v>
      </c>
      <c r="B52" s="982"/>
      <c r="C52" s="979"/>
      <c r="D52" s="978"/>
      <c r="E52" s="978"/>
    </row>
    <row r="53" ht="27.0" customHeight="1">
      <c r="A53" s="978">
        <v>52.0</v>
      </c>
      <c r="B53" s="982"/>
      <c r="C53" s="979"/>
      <c r="D53" s="978"/>
      <c r="E53" s="978"/>
    </row>
    <row r="54" ht="27.0" customHeight="1">
      <c r="A54" s="983">
        <v>53.0</v>
      </c>
      <c r="B54" s="984"/>
      <c r="C54" s="985"/>
      <c r="D54" s="983"/>
      <c r="E54" s="983"/>
    </row>
  </sheetData>
  <drawing r:id="rId1"/>
</worksheet>
</file>