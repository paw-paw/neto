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SCHEDULE" sheetId="2" r:id="rId6"/>
    <sheet state="visible" name="BRACKET" sheetId="3" r:id="rId7"/>
    <sheet state="hidden" name="dasasdassaddas" sheetId="4" r:id="rId8"/>
    <sheet state="hidden" name="Cópia de SCHEDULE" sheetId="5" r:id="rId9"/>
  </sheets>
  <definedNames/>
  <calcPr/>
</workbook>
</file>

<file path=xl/sharedStrings.xml><?xml version="1.0" encoding="utf-8"?>
<sst xmlns="http://schemas.openxmlformats.org/spreadsheetml/2006/main" count="550" uniqueCount="119">
  <si>
    <t>BetBoom RUSH B! Summit - Part Four</t>
  </si>
  <si>
    <t>Organizer:</t>
  </si>
  <si>
    <t>@BTSBrasilTV</t>
  </si>
  <si>
    <t>Event Series:</t>
  </si>
  <si>
    <t>Brasil ESports Tour - BEST 2026 - Event #4</t>
  </si>
  <si>
    <t>Sponsor</t>
  </si>
  <si>
    <t>BetBoom</t>
  </si>
  <si>
    <t>Rulebook:</t>
  </si>
  <si>
    <t xml:space="preserve">Rulebook </t>
  </si>
  <si>
    <t>City:</t>
  </si>
  <si>
    <t>Sao Paulo - Brazil</t>
  </si>
  <si>
    <t>Venue:</t>
  </si>
  <si>
    <t>BTSBrasilTV Studio</t>
  </si>
  <si>
    <t>Event Type:</t>
  </si>
  <si>
    <t>Open Registration</t>
  </si>
  <si>
    <t>Registration Date:</t>
  </si>
  <si>
    <t>July 2nd, 2026 at 2pm BRT</t>
  </si>
  <si>
    <t>Registration Fee:</t>
  </si>
  <si>
    <t>Participant Teams:</t>
  </si>
  <si>
    <t>8</t>
  </si>
  <si>
    <t>Start Date:</t>
  </si>
  <si>
    <t>July 15th, 2026</t>
  </si>
  <si>
    <t>End Date:</t>
  </si>
  <si>
    <t>July 19th, 2026</t>
  </si>
  <si>
    <t>VRS Region:</t>
  </si>
  <si>
    <t>Global - Open to All teams from All Regions</t>
  </si>
  <si>
    <t>VRS Seed Date:</t>
  </si>
  <si>
    <t>Official Global VRS as of July 6th,  2026</t>
  </si>
  <si>
    <t>VRS Seeding:</t>
  </si>
  <si>
    <t>Top 8 VRS seeded into Quarter Finals</t>
  </si>
  <si>
    <t>Format:</t>
  </si>
  <si>
    <t>Double Elimination Playoffs</t>
  </si>
  <si>
    <t>Matches:</t>
  </si>
  <si>
    <t>Bo3 besides the Grand Finals which are Bo5</t>
  </si>
  <si>
    <t>Prize Pool Distribution</t>
  </si>
  <si>
    <t>Prize Pool Disclaimer:</t>
  </si>
  <si>
    <t>There are no compensations besides the prize pool</t>
  </si>
  <si>
    <t>Prize Pool Payment:</t>
  </si>
  <si>
    <t>100% to Players</t>
  </si>
  <si>
    <t>Place</t>
  </si>
  <si>
    <t>Prize</t>
  </si>
  <si>
    <t>1st - (60%)</t>
  </si>
  <si>
    <t>2nd - (17,5%)</t>
  </si>
  <si>
    <t>3rd - (12,5%)</t>
  </si>
  <si>
    <t>4th - (10%)</t>
  </si>
  <si>
    <t>Total</t>
  </si>
  <si>
    <t>#</t>
  </si>
  <si>
    <t>STAGE</t>
  </si>
  <si>
    <t>ROUND</t>
  </si>
  <si>
    <t>DATE</t>
  </si>
  <si>
    <t>START TIME (BRT)</t>
  </si>
  <si>
    <t>START TIME (CET/CEST)</t>
  </si>
  <si>
    <t>TEAM A</t>
  </si>
  <si>
    <t>RESULT</t>
  </si>
  <si>
    <t>TEAM B</t>
  </si>
  <si>
    <t>MAP 1</t>
  </si>
  <si>
    <t>MAP 2</t>
  </si>
  <si>
    <t>MAP 3</t>
  </si>
  <si>
    <t>MAP 4</t>
  </si>
  <si>
    <t>MAP 5</t>
  </si>
  <si>
    <t>Winner Quarter</t>
  </si>
  <si>
    <t>A1</t>
  </si>
  <si>
    <t>Bounty Hunters</t>
  </si>
  <si>
    <t>vs.</t>
  </si>
  <si>
    <t>Vivo Keyd Stars</t>
  </si>
  <si>
    <t>-</t>
  </si>
  <si>
    <t>A2</t>
  </si>
  <si>
    <t>Fluxo Lottu</t>
  </si>
  <si>
    <t>RUSH GAMING</t>
  </si>
  <si>
    <t>Winner Semis</t>
  </si>
  <si>
    <t>B1</t>
  </si>
  <si>
    <t>ShindeN</t>
  </si>
  <si>
    <t>B2</t>
  </si>
  <si>
    <t>Gamdom Imperial</t>
  </si>
  <si>
    <t>Loser Quarters</t>
  </si>
  <si>
    <t>C1</t>
  </si>
  <si>
    <t>C2</t>
  </si>
  <si>
    <t>Winner Finals</t>
  </si>
  <si>
    <t>C3</t>
  </si>
  <si>
    <t>Loser Semis</t>
  </si>
  <si>
    <t>D1</t>
  </si>
  <si>
    <t>Winner #C1</t>
  </si>
  <si>
    <t>Winner #C2</t>
  </si>
  <si>
    <t>Showmatch</t>
  </si>
  <si>
    <t>D2</t>
  </si>
  <si>
    <t>Consolidation Finals</t>
  </si>
  <si>
    <t>D3</t>
  </si>
  <si>
    <t>Loser #C3</t>
  </si>
  <si>
    <t>Winner #D1</t>
  </si>
  <si>
    <t>Grand Finals</t>
  </si>
  <si>
    <t>E1</t>
  </si>
  <si>
    <t>Winner #C3</t>
  </si>
  <si>
    <t>Winner#D3</t>
  </si>
  <si>
    <t xml:space="preserve"> </t>
  </si>
  <si>
    <t>WInner Quarter</t>
  </si>
  <si>
    <t>Shinden</t>
  </si>
  <si>
    <t>vs</t>
  </si>
  <si>
    <t>Show Match</t>
  </si>
  <si>
    <t>UB - QUARTERS</t>
  </si>
  <si>
    <t>A3</t>
  </si>
  <si>
    <t>A4</t>
  </si>
  <si>
    <t>LB - QUARTERS</t>
  </si>
  <si>
    <t>UB - SEMIS</t>
  </si>
  <si>
    <t>B3</t>
  </si>
  <si>
    <t>B4</t>
  </si>
  <si>
    <t>LB - SEMIS</t>
  </si>
  <si>
    <t>UB - FINALS</t>
  </si>
  <si>
    <t>LB - FINAL</t>
  </si>
  <si>
    <t>SHOW MATCH</t>
  </si>
  <si>
    <t>CONS. FINALS</t>
  </si>
  <si>
    <t>GRAND FINAL</t>
  </si>
  <si>
    <t>9z</t>
  </si>
  <si>
    <t>Alka</t>
  </si>
  <si>
    <t>METANOIA Wolves</t>
  </si>
  <si>
    <t>Vasco</t>
  </si>
  <si>
    <t>Keyd Stars</t>
  </si>
  <si>
    <t>Crashers</t>
  </si>
  <si>
    <t>Legacy</t>
  </si>
  <si>
    <t>ALZON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</si>
</sst>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$]#,##0"/>
    <numFmt numFmtId="165" formatCode="[$$]#,##0.00"/>
    <numFmt numFmtId="166" formatCode="[$R$ -416]#,##0.00"/>
    <numFmt numFmtId="167" formatCode="dd/MM/yyyy"/>
    <numFmt numFmtId="168" formatCode="h:mm &quot;BRT&quot;"/>
    <numFmt numFmtId="169" formatCode="h&quot;:&quot;mm&quot; CEST&quot;"/>
    <numFmt numFmtId="170" formatCode="dd/mm/yyyy"/>
    <numFmt numFmtId="171" formatCode="m/d/yyyy h:mm:ss"/>
  </numFmts>
  <fonts count="14">
    <font>
      <sz val="10.0"/>
      <color rgb="FF000000"/>
      <name val="Arial"/>
      <scheme val="minor"/>
    </font>
    <font>
      <sz val="10.0"/>
      <color theme="1"/>
      <name val="Roboto Mono"/>
    </font>
    <font>
      <b/>
      <sz val="12.0"/>
      <color theme="1"/>
      <name val="Roboto Mono"/>
    </font>
    <font>
      <color theme="1"/>
      <name val="Roboto Condensed"/>
    </font>
    <font>
      <u/>
      <color rgb="FF0000FF"/>
      <name val="Roboto Condensed"/>
    </font>
    <font>
      <color theme="1"/>
      <name val="Arial"/>
    </font>
    <font>
      <u/>
      <color rgb="FF0000FF"/>
      <name val="Roboto Condensed"/>
    </font>
    <font>
      <color rgb="FF000000"/>
      <name val="Roboto Condensed"/>
    </font>
    <font>
      <b/>
      <color theme="1"/>
      <name val="Roboto Condensed"/>
    </font>
    <font>
      <b/>
      <color theme="1"/>
      <name val="Roboto Mono"/>
    </font>
    <font>
      <color theme="1"/>
      <name val="Roboto Mono"/>
    </font>
    <font>
      <color theme="1"/>
      <name val="Arial"/>
      <scheme val="minor"/>
    </font>
    <font>
      <b/>
      <sz val="11.0"/>
      <color theme="1"/>
      <name val="Arial"/>
    </font>
    <font/>
  </fonts>
  <fills count="17">
    <fill>
      <patternFill patternType="none"/>
    </fill>
    <fill>
      <patternFill patternType="lightGray"/>
    </fill>
    <fill>
      <patternFill patternType="solid">
        <fgColor rgb="FFB4A7D6"/>
        <bgColor rgb="FFB4A7D6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93C47D"/>
        <bgColor rgb="FF93C47D"/>
      </patternFill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FCE5CD"/>
        <bgColor rgb="FFFCE5CD"/>
      </patternFill>
    </fill>
  </fills>
  <borders count="16">
    <border/>
    <border>
      <top style="thin">
        <color rgb="FFCCCCCC"/>
      </top>
      <bottom style="thin">
        <color rgb="FFCCCCCC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 readingOrder="0" vertical="center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horizontal="right" readingOrder="0"/>
    </xf>
    <xf borderId="0" fillId="0" fontId="5" numFmtId="0" xfId="0" applyFont="1"/>
    <xf borderId="1" fillId="3" fontId="3" numFmtId="0" xfId="0" applyAlignment="1" applyBorder="1" applyFont="1">
      <alignment horizontal="right" readingOrder="0"/>
    </xf>
    <xf borderId="1" fillId="3" fontId="6" numFmtId="164" xfId="0" applyAlignment="1" applyBorder="1" applyFont="1" applyNumberFormat="1">
      <alignment horizontal="right" readingOrder="0"/>
    </xf>
    <xf borderId="1" fillId="3" fontId="3" numFmtId="164" xfId="0" applyAlignment="1" applyBorder="1" applyFont="1" applyNumberFormat="1">
      <alignment horizontal="right" readingOrder="0"/>
    </xf>
    <xf borderId="1" fillId="3" fontId="3" numFmtId="164" xfId="0" applyAlignment="1" applyBorder="1" applyFont="1" applyNumberFormat="1">
      <alignment horizontal="right" readingOrder="0"/>
    </xf>
    <xf borderId="1" fillId="3" fontId="7" numFmtId="0" xfId="0" applyAlignment="1" applyBorder="1" applyFont="1">
      <alignment horizontal="right" readingOrder="0"/>
    </xf>
    <xf borderId="1" fillId="3" fontId="7" numFmtId="165" xfId="0" applyAlignment="1" applyBorder="1" applyFont="1" applyNumberFormat="1">
      <alignment horizontal="right" readingOrder="0"/>
    </xf>
    <xf borderId="1" fillId="3" fontId="7" numFmtId="49" xfId="0" applyAlignment="1" applyBorder="1" applyFont="1" applyNumberFormat="1">
      <alignment horizontal="right" readingOrder="0"/>
    </xf>
    <xf borderId="1" fillId="3" fontId="7" numFmtId="164" xfId="0" applyAlignment="1" applyBorder="1" applyFont="1" applyNumberFormat="1">
      <alignment horizontal="right" readingOrder="0"/>
    </xf>
    <xf borderId="1" fillId="3" fontId="3" numFmtId="0" xfId="0" applyAlignment="1" applyBorder="1" applyFont="1">
      <alignment horizontal="left" readingOrder="0" vertical="center"/>
    </xf>
    <xf borderId="1" fillId="3" fontId="3" numFmtId="164" xfId="0" applyAlignment="1" applyBorder="1" applyFont="1" applyNumberFormat="1">
      <alignment horizontal="right" readingOrder="0" shrinkToFit="0" wrapText="1"/>
    </xf>
    <xf borderId="1" fillId="4" fontId="8" numFmtId="0" xfId="0" applyAlignment="1" applyBorder="1" applyFill="1" applyFont="1">
      <alignment horizontal="left" readingOrder="0" vertical="center"/>
    </xf>
    <xf borderId="1" fillId="4" fontId="8" numFmtId="164" xfId="0" applyAlignment="1" applyBorder="1" applyFont="1" applyNumberFormat="1">
      <alignment horizontal="right" readingOrder="0" shrinkToFit="0" wrapText="1"/>
    </xf>
    <xf borderId="0" fillId="5" fontId="8" numFmtId="0" xfId="0" applyAlignment="1" applyFill="1" applyFont="1">
      <alignment horizontal="center" readingOrder="0"/>
    </xf>
    <xf borderId="1" fillId="6" fontId="3" numFmtId="0" xfId="0" applyAlignment="1" applyBorder="1" applyFill="1" applyFont="1">
      <alignment readingOrder="0"/>
    </xf>
    <xf borderId="1" fillId="6" fontId="3" numFmtId="164" xfId="0" applyAlignment="1" applyBorder="1" applyFont="1" applyNumberFormat="1">
      <alignment horizontal="right" readingOrder="0"/>
    </xf>
    <xf borderId="0" fillId="6" fontId="8" numFmtId="0" xfId="0" applyAlignment="1" applyFont="1">
      <alignment horizontal="center" readingOrder="0"/>
    </xf>
    <xf borderId="2" fillId="6" fontId="3" numFmtId="0" xfId="0" applyAlignment="1" applyBorder="1" applyFont="1">
      <alignment horizontal="center" readingOrder="0"/>
    </xf>
    <xf borderId="3" fillId="6" fontId="3" numFmtId="164" xfId="0" applyAlignment="1" applyBorder="1" applyFont="1" applyNumberFormat="1">
      <alignment horizontal="center" readingOrder="0"/>
    </xf>
    <xf borderId="4" fillId="6" fontId="3" numFmtId="0" xfId="0" applyAlignment="1" applyBorder="1" applyFont="1">
      <alignment horizontal="center" readingOrder="0"/>
    </xf>
    <xf borderId="5" fillId="6" fontId="3" numFmtId="0" xfId="0" applyAlignment="1" applyBorder="1" applyFont="1">
      <alignment horizontal="center" readingOrder="0"/>
    </xf>
    <xf borderId="2" fillId="6" fontId="3" numFmtId="166" xfId="0" applyAlignment="1" applyBorder="1" applyFont="1" applyNumberFormat="1">
      <alignment horizontal="center" readingOrder="0"/>
    </xf>
    <xf borderId="0" fillId="7" fontId="8" numFmtId="0" xfId="0" applyAlignment="1" applyFill="1" applyFont="1">
      <alignment horizontal="center"/>
    </xf>
    <xf borderId="0" fillId="7" fontId="8" numFmtId="164" xfId="0" applyAlignment="1" applyFont="1" applyNumberFormat="1">
      <alignment horizontal="center" readingOrder="0"/>
    </xf>
    <xf borderId="4" fillId="8" fontId="9" numFmtId="0" xfId="0" applyAlignment="1" applyBorder="1" applyFill="1" applyFont="1">
      <alignment horizontal="center" readingOrder="0" shrinkToFit="0" vertical="center" wrapText="1"/>
    </xf>
    <xf borderId="4" fillId="9" fontId="9" numFmtId="0" xfId="0" applyAlignment="1" applyBorder="1" applyFill="1" applyFont="1">
      <alignment horizontal="center" readingOrder="0" shrinkToFit="0" vertical="center" wrapText="1"/>
    </xf>
    <xf borderId="0" fillId="9" fontId="9" numFmtId="0" xfId="0" applyAlignment="1" applyFont="1">
      <alignment horizontal="center" readingOrder="0" shrinkToFit="0" vertical="center" wrapText="1"/>
    </xf>
    <xf borderId="4" fillId="6" fontId="9" numFmtId="0" xfId="0" applyAlignment="1" applyBorder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0" fillId="10" fontId="9" numFmtId="0" xfId="0" applyAlignment="1" applyFill="1" applyFont="1">
      <alignment horizontal="center" readingOrder="0" shrinkToFit="0" vertical="center" wrapText="1"/>
    </xf>
    <xf borderId="0" fillId="2" fontId="9" numFmtId="0" xfId="0" applyAlignment="1" applyFont="1">
      <alignment horizontal="center" readingOrder="0" shrinkToFit="0" vertical="center" wrapText="1"/>
    </xf>
    <xf borderId="4" fillId="11" fontId="10" numFmtId="0" xfId="0" applyAlignment="1" applyBorder="1" applyFill="1" applyFont="1">
      <alignment horizontal="center" readingOrder="0" vertical="center"/>
    </xf>
    <xf borderId="0" fillId="11" fontId="10" numFmtId="0" xfId="0" applyAlignment="1" applyFont="1">
      <alignment horizontal="center" readingOrder="0" vertical="center"/>
    </xf>
    <xf borderId="4" fillId="11" fontId="10" numFmtId="167" xfId="0" applyAlignment="1" applyBorder="1" applyFont="1" applyNumberFormat="1">
      <alignment horizontal="center" readingOrder="0" vertical="center"/>
    </xf>
    <xf borderId="0" fillId="11" fontId="10" numFmtId="168" xfId="0" applyAlignment="1" applyFont="1" applyNumberFormat="1">
      <alignment horizontal="center" readingOrder="0" vertical="center"/>
    </xf>
    <xf borderId="6" fillId="11" fontId="10" numFmtId="169" xfId="0" applyAlignment="1" applyBorder="1" applyFont="1" applyNumberFormat="1">
      <alignment horizontal="center" readingOrder="0" vertical="center"/>
    </xf>
    <xf borderId="7" fillId="11" fontId="10" numFmtId="0" xfId="0" applyAlignment="1" applyBorder="1" applyFont="1">
      <alignment horizontal="center" vertical="center"/>
    </xf>
    <xf borderId="6" fillId="11" fontId="10" numFmtId="0" xfId="0" applyAlignment="1" applyBorder="1" applyFont="1">
      <alignment horizontal="center" readingOrder="0" vertical="center"/>
    </xf>
    <xf borderId="4" fillId="6" fontId="10" numFmtId="0" xfId="0" applyAlignment="1" applyBorder="1" applyFont="1">
      <alignment horizontal="center" readingOrder="0" vertical="center"/>
    </xf>
    <xf borderId="0" fillId="6" fontId="10" numFmtId="0" xfId="0" applyAlignment="1" applyFont="1">
      <alignment horizontal="center" readingOrder="0" vertical="center"/>
    </xf>
    <xf borderId="4" fillId="6" fontId="10" numFmtId="167" xfId="0" applyAlignment="1" applyBorder="1" applyFont="1" applyNumberFormat="1">
      <alignment horizontal="center" readingOrder="0" vertical="center"/>
    </xf>
    <xf borderId="0" fillId="6" fontId="10" numFmtId="168" xfId="0" applyAlignment="1" applyFont="1" applyNumberFormat="1">
      <alignment horizontal="center" readingOrder="0" vertical="center"/>
    </xf>
    <xf borderId="0" fillId="6" fontId="10" numFmtId="169" xfId="0" applyAlignment="1" applyFont="1" applyNumberFormat="1">
      <alignment horizontal="center" readingOrder="0" vertical="center"/>
    </xf>
    <xf borderId="7" fillId="6" fontId="10" numFmtId="0" xfId="0" applyAlignment="1" applyBorder="1" applyFont="1">
      <alignment horizontal="center" vertical="center"/>
    </xf>
    <xf borderId="6" fillId="6" fontId="10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 readingOrder="0"/>
    </xf>
    <xf borderId="0" fillId="8" fontId="10" numFmtId="0" xfId="0" applyAlignment="1" applyFont="1">
      <alignment horizontal="center" readingOrder="0"/>
    </xf>
    <xf borderId="4" fillId="8" fontId="10" numFmtId="167" xfId="0" applyAlignment="1" applyBorder="1" applyFont="1" applyNumberFormat="1">
      <alignment horizontal="center" readingOrder="0"/>
    </xf>
    <xf borderId="0" fillId="8" fontId="10" numFmtId="168" xfId="0" applyAlignment="1" applyFont="1" applyNumberFormat="1">
      <alignment horizontal="center" readingOrder="0"/>
    </xf>
    <xf borderId="6" fillId="8" fontId="10" numFmtId="169" xfId="0" applyAlignment="1" applyBorder="1" applyFont="1" applyNumberFormat="1">
      <alignment horizontal="center" readingOrder="0"/>
    </xf>
    <xf borderId="0" fillId="8" fontId="10" numFmtId="0" xfId="0" applyAlignment="1" applyFont="1">
      <alignment horizontal="center" readingOrder="0" vertical="center"/>
    </xf>
    <xf borderId="7" fillId="8" fontId="10" numFmtId="0" xfId="0" applyAlignment="1" applyBorder="1" applyFont="1">
      <alignment horizontal="center" vertical="center"/>
    </xf>
    <xf borderId="6" fillId="8" fontId="10" numFmtId="0" xfId="0" applyAlignment="1" applyBorder="1" applyFont="1">
      <alignment horizontal="center" readingOrder="0" vertical="center"/>
    </xf>
    <xf borderId="0" fillId="8" fontId="10" numFmtId="169" xfId="0" applyAlignment="1" applyFont="1" applyNumberFormat="1">
      <alignment horizontal="center" readingOrder="0"/>
    </xf>
    <xf borderId="0" fillId="8" fontId="10" numFmtId="0" xfId="0" applyAlignment="1" applyFont="1">
      <alignment horizontal="center" vertical="center"/>
    </xf>
    <xf borderId="4" fillId="3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readingOrder="0"/>
    </xf>
    <xf borderId="0" fillId="3" fontId="10" numFmtId="0" xfId="0" applyAlignment="1" applyFont="1">
      <alignment horizontal="center"/>
    </xf>
    <xf borderId="4" fillId="3" fontId="10" numFmtId="167" xfId="0" applyAlignment="1" applyBorder="1" applyFont="1" applyNumberFormat="1">
      <alignment horizontal="center" readingOrder="0"/>
    </xf>
    <xf borderId="0" fillId="3" fontId="10" numFmtId="168" xfId="0" applyAlignment="1" applyFont="1" applyNumberFormat="1">
      <alignment horizontal="center" readingOrder="0"/>
    </xf>
    <xf borderId="0" fillId="3" fontId="10" numFmtId="169" xfId="0" applyAlignment="1" applyFont="1" applyNumberFormat="1">
      <alignment horizontal="center" readingOrder="0"/>
    </xf>
    <xf borderId="0" fillId="3" fontId="10" numFmtId="0" xfId="0" applyAlignment="1" applyFont="1">
      <alignment horizontal="center" readingOrder="0" vertical="center"/>
    </xf>
    <xf borderId="7" fillId="3" fontId="10" numFmtId="0" xfId="0" applyAlignment="1" applyBorder="1" applyFont="1">
      <alignment horizontal="center" vertical="center"/>
    </xf>
    <xf borderId="6" fillId="3" fontId="10" numFmtId="0" xfId="0" applyAlignment="1" applyBorder="1" applyFont="1">
      <alignment horizontal="center" readingOrder="0" vertical="center"/>
    </xf>
    <xf borderId="6" fillId="3" fontId="10" numFmtId="0" xfId="0" applyAlignment="1" applyBorder="1" applyFont="1">
      <alignment horizontal="center"/>
    </xf>
    <xf borderId="8" fillId="3" fontId="10" numFmtId="0" xfId="0" applyAlignment="1" applyBorder="1" applyFont="1">
      <alignment horizontal="center" readingOrder="0"/>
    </xf>
    <xf borderId="9" fillId="3" fontId="10" numFmtId="0" xfId="0" applyAlignment="1" applyBorder="1" applyFont="1">
      <alignment horizontal="center"/>
    </xf>
    <xf borderId="10" fillId="3" fontId="10" numFmtId="168" xfId="0" applyAlignment="1" applyBorder="1" applyFont="1" applyNumberFormat="1">
      <alignment horizontal="center" readingOrder="0"/>
    </xf>
    <xf borderId="8" fillId="3" fontId="10" numFmtId="0" xfId="0" applyAlignment="1" applyBorder="1" applyFont="1">
      <alignment horizontal="center" readingOrder="0" vertical="center"/>
    </xf>
    <xf borderId="10" fillId="3" fontId="10" numFmtId="0" xfId="0" applyAlignment="1" applyBorder="1" applyFont="1">
      <alignment horizontal="center" readingOrder="0" vertical="center"/>
    </xf>
    <xf borderId="11" fillId="3" fontId="10" numFmtId="0" xfId="0" applyAlignment="1" applyBorder="1" applyFont="1">
      <alignment horizontal="center" vertical="center"/>
    </xf>
    <xf borderId="9" fillId="3" fontId="10" numFmtId="0" xfId="0" applyAlignment="1" applyBorder="1" applyFont="1">
      <alignment horizontal="center" readingOrder="0" vertical="center"/>
    </xf>
    <xf borderId="8" fillId="12" fontId="10" numFmtId="0" xfId="0" applyAlignment="1" applyBorder="1" applyFill="1" applyFont="1">
      <alignment horizontal="center" readingOrder="0" vertical="center"/>
    </xf>
    <xf borderId="2" fillId="12" fontId="10" numFmtId="0" xfId="0" applyAlignment="1" applyBorder="1" applyFont="1">
      <alignment horizontal="center" readingOrder="0"/>
    </xf>
    <xf borderId="12" fillId="12" fontId="10" numFmtId="0" xfId="0" applyAlignment="1" applyBorder="1" applyFont="1">
      <alignment horizontal="center"/>
    </xf>
    <xf borderId="2" fillId="12" fontId="10" numFmtId="167" xfId="0" applyAlignment="1" applyBorder="1" applyFont="1" applyNumberFormat="1">
      <alignment horizontal="center" readingOrder="0"/>
    </xf>
    <xf borderId="10" fillId="12" fontId="10" numFmtId="168" xfId="0" applyAlignment="1" applyBorder="1" applyFont="1" applyNumberFormat="1">
      <alignment horizontal="center" readingOrder="0"/>
    </xf>
    <xf borderId="12" fillId="12" fontId="10" numFmtId="169" xfId="0" applyAlignment="1" applyBorder="1" applyFont="1" applyNumberFormat="1">
      <alignment horizontal="center" readingOrder="0"/>
    </xf>
    <xf borderId="10" fillId="12" fontId="10" numFmtId="0" xfId="0" applyAlignment="1" applyBorder="1" applyFont="1">
      <alignment horizontal="center" readingOrder="0" vertical="center"/>
    </xf>
    <xf borderId="11" fillId="12" fontId="10" numFmtId="0" xfId="0" applyAlignment="1" applyBorder="1" applyFont="1">
      <alignment horizontal="center" vertical="center"/>
    </xf>
    <xf borderId="9" fillId="12" fontId="10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0" fontId="5" numFmtId="170" xfId="0" applyAlignment="1" applyFont="1" applyNumberForma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horizontal="center" readingOrder="0" vertical="center"/>
    </xf>
    <xf borderId="0" fillId="13" fontId="11" numFmtId="0" xfId="0" applyAlignment="1" applyFill="1" applyFont="1">
      <alignment vertical="center"/>
    </xf>
    <xf borderId="0" fillId="13" fontId="5" numFmtId="0" xfId="0" applyAlignment="1" applyFont="1">
      <alignment horizontal="center" vertical="center"/>
    </xf>
    <xf borderId="0" fillId="13" fontId="5" numFmtId="170" xfId="0" applyAlignment="1" applyFont="1" applyNumberFormat="1">
      <alignment vertical="center"/>
    </xf>
    <xf borderId="0" fillId="0" fontId="11" numFmtId="0" xfId="0" applyAlignment="1" applyFont="1">
      <alignment readingOrder="0" vertical="center"/>
    </xf>
    <xf borderId="0" fillId="13" fontId="5" numFmtId="0" xfId="0" applyAlignment="1" applyFont="1">
      <alignment horizontal="center" readingOrder="0" vertical="center"/>
    </xf>
    <xf borderId="0" fillId="13" fontId="5" numFmtId="0" xfId="0" applyAlignment="1" applyFont="1">
      <alignment vertical="center"/>
    </xf>
    <xf borderId="0" fillId="0" fontId="11" numFmtId="0" xfId="0" applyAlignment="1" applyFont="1">
      <alignment horizontal="center" readingOrder="0" vertical="center"/>
    </xf>
    <xf borderId="5" fillId="9" fontId="5" numFmtId="171" xfId="0" applyAlignment="1" applyBorder="1" applyFont="1" applyNumberFormat="1">
      <alignment horizontal="center" readingOrder="0" vertical="center"/>
    </xf>
    <xf borderId="13" fillId="0" fontId="13" numFmtId="0" xfId="0" applyBorder="1" applyFont="1"/>
    <xf borderId="6" fillId="0" fontId="5" numFmtId="0" xfId="0" applyAlignment="1" applyBorder="1" applyFont="1">
      <alignment horizontal="center" readingOrder="0" vertical="center"/>
    </xf>
    <xf borderId="5" fillId="6" fontId="5" numFmtId="171" xfId="0" applyAlignment="1" applyBorder="1" applyFont="1" applyNumberFormat="1">
      <alignment horizontal="center" readingOrder="0" vertical="center"/>
    </xf>
    <xf borderId="0" fillId="13" fontId="11" numFmtId="0" xfId="0" applyAlignment="1" applyFont="1">
      <alignment horizontal="center" readingOrder="0" vertical="center"/>
    </xf>
    <xf borderId="5" fillId="9" fontId="5" numFmtId="0" xfId="0" applyAlignment="1" applyBorder="1" applyFont="1">
      <alignment horizontal="center" readingOrder="0" vertical="center"/>
    </xf>
    <xf borderId="4" fillId="6" fontId="11" numFmtId="0" xfId="0" applyAlignment="1" applyBorder="1" applyFont="1">
      <alignment horizontal="center" readingOrder="0" vertical="center"/>
    </xf>
    <xf borderId="6" fillId="0" fontId="13" numFmtId="0" xfId="0" applyBorder="1" applyFont="1"/>
    <xf borderId="4" fillId="9" fontId="11" numFmtId="0" xfId="0" applyAlignment="1" applyBorder="1" applyFont="1">
      <alignment horizontal="center" readingOrder="0" vertical="center"/>
    </xf>
    <xf borderId="14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readingOrder="0" vertical="center"/>
    </xf>
    <xf borderId="14" fillId="0" fontId="11" numFmtId="0" xfId="0" applyAlignment="1" applyBorder="1" applyFont="1">
      <alignment vertical="center"/>
    </xf>
    <xf borderId="13" fillId="0" fontId="11" numFmtId="0" xfId="0" applyAlignment="1" applyBorder="1" applyFont="1">
      <alignment vertical="center"/>
    </xf>
    <xf borderId="8" fillId="9" fontId="5" numFmtId="0" xfId="0" applyAlignment="1" applyBorder="1" applyFont="1">
      <alignment horizontal="center" readingOrder="0" vertical="center"/>
    </xf>
    <xf borderId="9" fillId="0" fontId="13" numFmtId="0" xfId="0" applyBorder="1" applyFont="1"/>
    <xf borderId="8" fillId="6" fontId="5" numFmtId="0" xfId="0" applyAlignment="1" applyBorder="1" applyFont="1">
      <alignment horizontal="center" readingOrder="0" vertical="center"/>
    </xf>
    <xf borderId="5" fillId="8" fontId="5" numFmtId="171" xfId="0" applyAlignment="1" applyBorder="1" applyFont="1" applyNumberFormat="1">
      <alignment horizontal="center" readingOrder="0" vertical="center"/>
    </xf>
    <xf borderId="5" fillId="14" fontId="5" numFmtId="171" xfId="0" applyAlignment="1" applyBorder="1" applyFill="1" applyFont="1" applyNumberFormat="1">
      <alignment horizontal="center" readingOrder="0" vertical="center"/>
    </xf>
    <xf borderId="4" fillId="8" fontId="11" numFmtId="0" xfId="0" applyAlignment="1" applyBorder="1" applyFont="1">
      <alignment horizontal="center" readingOrder="0" vertical="center"/>
    </xf>
    <xf borderId="4" fillId="14" fontId="11" numFmtId="0" xfId="0" applyAlignment="1" applyBorder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14" fillId="13" fontId="11" numFmtId="0" xfId="0" applyAlignment="1" applyBorder="1" applyFont="1">
      <alignment horizontal="center" readingOrder="0" vertical="center"/>
    </xf>
    <xf borderId="14" fillId="13" fontId="5" numFmtId="0" xfId="0" applyAlignment="1" applyBorder="1" applyFont="1">
      <alignment horizontal="center" readingOrder="0" vertical="center"/>
    </xf>
    <xf borderId="14" fillId="13" fontId="11" numFmtId="0" xfId="0" applyAlignment="1" applyBorder="1" applyFont="1">
      <alignment vertical="center"/>
    </xf>
    <xf borderId="13" fillId="13" fontId="5" numFmtId="0" xfId="0" applyAlignment="1" applyBorder="1" applyFont="1">
      <alignment horizontal="center" vertical="center"/>
    </xf>
    <xf borderId="8" fillId="8" fontId="5" numFmtId="0" xfId="0" applyAlignment="1" applyBorder="1" applyFont="1">
      <alignment horizontal="center" readingOrder="0" vertical="center"/>
    </xf>
    <xf borderId="8" fillId="14" fontId="5" numFmtId="0" xfId="0" applyAlignment="1" applyBorder="1" applyFont="1">
      <alignment horizontal="center" readingOrder="0" vertical="center"/>
    </xf>
    <xf borderId="6" fillId="13" fontId="5" numFmtId="0" xfId="0" applyAlignment="1" applyBorder="1" applyFont="1">
      <alignment horizontal="center" vertical="center"/>
    </xf>
    <xf borderId="0" fillId="13" fontId="5" numFmtId="0" xfId="0" applyAlignment="1" applyFont="1">
      <alignment horizontal="right" readingOrder="0" vertical="center"/>
    </xf>
    <xf borderId="10" fillId="0" fontId="5" numFmtId="0" xfId="0" applyAlignment="1" applyBorder="1" applyFont="1">
      <alignment horizontal="center" readingOrder="0" vertical="center"/>
    </xf>
    <xf borderId="9" fillId="13" fontId="11" numFmtId="0" xfId="0" applyAlignment="1" applyBorder="1" applyFont="1">
      <alignment vertical="center"/>
    </xf>
    <xf borderId="14" fillId="0" fontId="13" numFmtId="0" xfId="0" applyBorder="1" applyFont="1"/>
    <xf borderId="0" fillId="13" fontId="11" numFmtId="0" xfId="0" applyAlignment="1" applyFont="1">
      <alignment horizontal="center" vertical="center"/>
    </xf>
    <xf borderId="6" fillId="13" fontId="5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0" fillId="13" fontId="5" numFmtId="0" xfId="0" applyAlignment="1" applyFont="1">
      <alignment vertical="center"/>
    </xf>
    <xf borderId="0" fillId="0" fontId="11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5" numFmtId="0" xfId="0" applyAlignment="1" applyFont="1">
      <alignment horizontal="right" readingOrder="0" vertical="center"/>
    </xf>
    <xf borderId="0" fillId="0" fontId="5" numFmtId="0" xfId="0" applyAlignment="1" applyFont="1">
      <alignment horizontal="left" readingOrder="0" vertical="center"/>
    </xf>
    <xf borderId="5" fillId="15" fontId="5" numFmtId="171" xfId="0" applyAlignment="1" applyBorder="1" applyFill="1" applyFont="1" applyNumberFormat="1">
      <alignment horizontal="center" readingOrder="0" vertical="center"/>
    </xf>
    <xf borderId="5" fillId="16" fontId="5" numFmtId="171" xfId="0" applyAlignment="1" applyBorder="1" applyFill="1" applyFont="1" applyNumberFormat="1">
      <alignment horizontal="center" readingOrder="0" vertical="center"/>
    </xf>
    <xf borderId="6" fillId="13" fontId="5" numFmtId="0" xfId="0" applyAlignment="1" applyBorder="1" applyFont="1">
      <alignment horizontal="center" readingOrder="0" vertical="center"/>
    </xf>
    <xf borderId="5" fillId="15" fontId="5" numFmtId="0" xfId="0" applyAlignment="1" applyBorder="1" applyFont="1">
      <alignment horizontal="center" readingOrder="0" vertical="center"/>
    </xf>
    <xf borderId="4" fillId="16" fontId="11" numFmtId="0" xfId="0" applyAlignment="1" applyBorder="1" applyFont="1">
      <alignment horizontal="center" readingOrder="0" vertical="center"/>
    </xf>
    <xf borderId="6" fillId="13" fontId="5" numFmtId="0" xfId="0" applyAlignment="1" applyBorder="1" applyFont="1">
      <alignment vertical="center"/>
    </xf>
    <xf borderId="4" fillId="15" fontId="11" numFmtId="0" xfId="0" applyAlignment="1" applyBorder="1" applyFont="1">
      <alignment horizontal="center" readingOrder="0" vertical="center"/>
    </xf>
    <xf borderId="14" fillId="0" fontId="11" numFmtId="0" xfId="0" applyBorder="1" applyFont="1"/>
    <xf borderId="13" fillId="0" fontId="11" numFmtId="0" xfId="0" applyBorder="1" applyFont="1"/>
    <xf borderId="8" fillId="15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vertical="center"/>
    </xf>
    <xf borderId="10" fillId="16" fontId="5" numFmtId="0" xfId="0" applyAlignment="1" applyBorder="1" applyFont="1">
      <alignment horizontal="center" readingOrder="0" vertical="center"/>
    </xf>
    <xf borderId="8" fillId="16" fontId="5" numFmtId="0" xfId="0" applyAlignment="1" applyBorder="1" applyFont="1">
      <alignment horizontal="center" readingOrder="0" vertical="center"/>
    </xf>
    <xf borderId="10" fillId="13" fontId="5" numFmtId="0" xfId="0" applyAlignment="1" applyBorder="1" applyFont="1">
      <alignment horizontal="center" vertical="center"/>
    </xf>
    <xf borderId="10" fillId="13" fontId="10" numFmtId="0" xfId="0" applyAlignment="1" applyBorder="1" applyFont="1">
      <alignment horizontal="center" readingOrder="0" vertical="center"/>
    </xf>
    <xf borderId="10" fillId="13" fontId="11" numFmtId="0" xfId="0" applyAlignment="1" applyBorder="1" applyFont="1">
      <alignment horizontal="center" vertical="center"/>
    </xf>
    <xf borderId="9" fillId="13" fontId="5" numFmtId="0" xfId="0" applyAlignment="1" applyBorder="1" applyFont="1">
      <alignment vertical="center"/>
    </xf>
    <xf borderId="10" fillId="0" fontId="11" numFmtId="0" xfId="0" applyBorder="1" applyFont="1"/>
    <xf borderId="9" fillId="0" fontId="11" numFmtId="0" xfId="0" applyBorder="1" applyFont="1"/>
    <xf borderId="0" fillId="0" fontId="11" numFmtId="0" xfId="0" applyAlignment="1" applyFont="1">
      <alignment readingOrder="0"/>
    </xf>
    <xf borderId="5" fillId="11" fontId="10" numFmtId="0" xfId="0" applyAlignment="1" applyBorder="1" applyFont="1">
      <alignment horizontal="center" vertical="center"/>
    </xf>
    <xf borderId="5" fillId="11" fontId="10" numFmtId="0" xfId="0" applyAlignment="1" applyBorder="1" applyFont="1">
      <alignment horizontal="center" readingOrder="0" vertical="center"/>
    </xf>
    <xf borderId="14" fillId="11" fontId="10" numFmtId="0" xfId="0" applyAlignment="1" applyBorder="1" applyFont="1">
      <alignment horizontal="center" readingOrder="0" vertical="center"/>
    </xf>
    <xf borderId="5" fillId="11" fontId="10" numFmtId="167" xfId="0" applyAlignment="1" applyBorder="1" applyFont="1" applyNumberFormat="1">
      <alignment horizontal="center" readingOrder="0" vertical="center"/>
    </xf>
    <xf borderId="14" fillId="11" fontId="10" numFmtId="168" xfId="0" applyAlignment="1" applyBorder="1" applyFont="1" applyNumberFormat="1">
      <alignment horizontal="center" readingOrder="0" vertical="center"/>
    </xf>
    <xf borderId="13" fillId="11" fontId="10" numFmtId="169" xfId="0" applyAlignment="1" applyBorder="1" applyFont="1" applyNumberFormat="1">
      <alignment horizontal="center" readingOrder="0" vertical="center"/>
    </xf>
    <xf borderId="15" fillId="11" fontId="10" numFmtId="0" xfId="0" applyAlignment="1" applyBorder="1" applyFont="1">
      <alignment horizontal="center" vertical="center"/>
    </xf>
    <xf borderId="13" fillId="11" fontId="10" numFmtId="0" xfId="0" applyAlignment="1" applyBorder="1" applyFont="1">
      <alignment horizontal="center" readingOrder="0" vertical="center"/>
    </xf>
    <xf borderId="4" fillId="11" fontId="10" numFmtId="0" xfId="0" applyAlignment="1" applyBorder="1" applyFont="1">
      <alignment horizontal="center" vertical="center"/>
    </xf>
    <xf borderId="10" fillId="11" fontId="10" numFmtId="168" xfId="0" applyAlignment="1" applyBorder="1" applyFont="1" applyNumberFormat="1">
      <alignment horizontal="center" readingOrder="0" vertical="center"/>
    </xf>
    <xf borderId="9" fillId="11" fontId="10" numFmtId="169" xfId="0" applyAlignment="1" applyBorder="1" applyFont="1" applyNumberFormat="1">
      <alignment horizontal="center" readingOrder="0" vertical="center"/>
    </xf>
    <xf borderId="10" fillId="11" fontId="10" numFmtId="0" xfId="0" applyAlignment="1" applyBorder="1" applyFont="1">
      <alignment horizontal="center" readingOrder="0" vertical="center"/>
    </xf>
    <xf borderId="9" fillId="11" fontId="10" numFmtId="0" xfId="0" applyAlignment="1" applyBorder="1" applyFont="1">
      <alignment horizontal="center" readingOrder="0" vertical="center"/>
    </xf>
    <xf borderId="5" fillId="6" fontId="10" numFmtId="0" xfId="0" applyAlignment="1" applyBorder="1" applyFont="1">
      <alignment horizontal="center" vertical="center"/>
    </xf>
    <xf borderId="5" fillId="6" fontId="10" numFmtId="0" xfId="0" applyAlignment="1" applyBorder="1" applyFont="1">
      <alignment horizontal="center" readingOrder="0" vertical="center"/>
    </xf>
    <xf borderId="14" fillId="6" fontId="10" numFmtId="0" xfId="0" applyAlignment="1" applyBorder="1" applyFont="1">
      <alignment horizontal="center" readingOrder="0" vertical="center"/>
    </xf>
    <xf borderId="5" fillId="6" fontId="10" numFmtId="167" xfId="0" applyAlignment="1" applyBorder="1" applyFont="1" applyNumberFormat="1">
      <alignment horizontal="center" readingOrder="0" vertical="center"/>
    </xf>
    <xf borderId="15" fillId="6" fontId="10" numFmtId="0" xfId="0" applyAlignment="1" applyBorder="1" applyFont="1">
      <alignment horizontal="center" vertical="center"/>
    </xf>
    <xf borderId="13" fillId="6" fontId="10" numFmtId="0" xfId="0" applyAlignment="1" applyBorder="1" applyFont="1">
      <alignment horizontal="center" readingOrder="0" vertical="center"/>
    </xf>
    <xf borderId="4" fillId="6" fontId="10" numFmtId="0" xfId="0" applyAlignment="1" applyBorder="1" applyFont="1">
      <alignment horizontal="center" vertical="center"/>
    </xf>
    <xf borderId="10" fillId="6" fontId="10" numFmtId="168" xfId="0" applyAlignment="1" applyBorder="1" applyFont="1" applyNumberFormat="1">
      <alignment horizontal="center" readingOrder="0" vertical="center"/>
    </xf>
    <xf borderId="10" fillId="6" fontId="10" numFmtId="169" xfId="0" applyAlignment="1" applyBorder="1" applyFont="1" applyNumberFormat="1">
      <alignment horizontal="center" readingOrder="0" vertical="center"/>
    </xf>
    <xf borderId="10" fillId="6" fontId="10" numFmtId="0" xfId="0" applyAlignment="1" applyBorder="1" applyFont="1">
      <alignment horizontal="center" readingOrder="0" vertical="center"/>
    </xf>
    <xf borderId="9" fillId="6" fontId="10" numFmtId="0" xfId="0" applyAlignment="1" applyBorder="1" applyFont="1">
      <alignment horizontal="center" readingOrder="0" vertical="center"/>
    </xf>
    <xf borderId="5" fillId="8" fontId="10" numFmtId="0" xfId="0" applyAlignment="1" applyBorder="1" applyFont="1">
      <alignment horizontal="center" vertical="center"/>
    </xf>
    <xf borderId="5" fillId="8" fontId="10" numFmtId="0" xfId="0" applyAlignment="1" applyBorder="1" applyFont="1">
      <alignment horizontal="center"/>
    </xf>
    <xf borderId="14" fillId="8" fontId="10" numFmtId="0" xfId="0" applyAlignment="1" applyBorder="1" applyFont="1">
      <alignment horizontal="center"/>
    </xf>
    <xf borderId="5" fillId="8" fontId="10" numFmtId="167" xfId="0" applyAlignment="1" applyBorder="1" applyFont="1" applyNumberFormat="1">
      <alignment horizontal="center" readingOrder="0"/>
    </xf>
    <xf borderId="5" fillId="8" fontId="10" numFmtId="0" xfId="0" applyAlignment="1" applyBorder="1" applyFont="1">
      <alignment horizontal="center" readingOrder="0" vertical="center"/>
    </xf>
    <xf borderId="14" fillId="8" fontId="10" numFmtId="0" xfId="0" applyAlignment="1" applyBorder="1" applyFont="1">
      <alignment horizontal="center" readingOrder="0" vertical="center"/>
    </xf>
    <xf borderId="15" fillId="8" fontId="10" numFmtId="0" xfId="0" applyAlignment="1" applyBorder="1" applyFont="1">
      <alignment horizontal="center" vertical="center"/>
    </xf>
    <xf borderId="13" fillId="8" fontId="10" numFmtId="0" xfId="0" applyAlignment="1" applyBorder="1" applyFont="1">
      <alignment horizontal="center" readingOrder="0" vertical="center"/>
    </xf>
    <xf borderId="4" fillId="8" fontId="10" numFmtId="0" xfId="0" applyAlignment="1" applyBorder="1" applyFont="1">
      <alignment horizontal="center"/>
    </xf>
    <xf borderId="0" fillId="8" fontId="10" numFmtId="0" xfId="0" applyAlignment="1" applyFont="1">
      <alignment horizontal="center"/>
    </xf>
    <xf borderId="8" fillId="8" fontId="10" numFmtId="167" xfId="0" applyAlignment="1" applyBorder="1" applyFont="1" applyNumberFormat="1">
      <alignment horizontal="center" readingOrder="0"/>
    </xf>
    <xf borderId="10" fillId="8" fontId="10" numFmtId="168" xfId="0" applyAlignment="1" applyBorder="1" applyFont="1" applyNumberFormat="1">
      <alignment horizontal="center" readingOrder="0"/>
    </xf>
    <xf borderId="9" fillId="8" fontId="10" numFmtId="169" xfId="0" applyAlignment="1" applyBorder="1" applyFont="1" applyNumberFormat="1">
      <alignment horizontal="center" readingOrder="0"/>
    </xf>
    <xf borderId="10" fillId="8" fontId="10" numFmtId="0" xfId="0" applyAlignment="1" applyBorder="1" applyFont="1">
      <alignment horizontal="center" readingOrder="0" vertical="center"/>
    </xf>
    <xf borderId="9" fillId="8" fontId="10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 readingOrder="0" vertical="center"/>
    </xf>
    <xf borderId="5" fillId="3" fontId="10" numFmtId="0" xfId="0" applyAlignment="1" applyBorder="1" applyFont="1">
      <alignment horizontal="center"/>
    </xf>
    <xf borderId="14" fillId="3" fontId="10" numFmtId="0" xfId="0" applyAlignment="1" applyBorder="1" applyFont="1">
      <alignment horizontal="center"/>
    </xf>
    <xf borderId="14" fillId="3" fontId="10" numFmtId="0" xfId="0" applyAlignment="1" applyBorder="1" applyFont="1">
      <alignment horizontal="center" readingOrder="0" vertical="center"/>
    </xf>
    <xf borderId="15" fillId="3" fontId="10" numFmtId="0" xfId="0" applyAlignment="1" applyBorder="1" applyFont="1">
      <alignment horizontal="center" vertical="center"/>
    </xf>
    <xf borderId="13" fillId="3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/>
    </xf>
    <xf borderId="8" fillId="3" fontId="10" numFmtId="0" xfId="0" applyAlignment="1" applyBorder="1" applyFont="1">
      <alignment horizontal="center"/>
    </xf>
    <xf borderId="10" fillId="3" fontId="10" numFmtId="169" xfId="0" applyAlignment="1" applyBorder="1" applyFont="1" applyNumberFormat="1">
      <alignment horizontal="center" readingOrder="0"/>
    </xf>
    <xf borderId="2" fillId="12" fontId="10" numFmtId="0" xfId="0" applyAlignment="1" applyBorder="1" applyFont="1">
      <alignment horizontal="center"/>
    </xf>
    <xf borderId="10" fillId="12" fontId="10" numFmtId="169" xfId="0" applyAlignment="1" applyBorder="1" applyFont="1" applyNumberFormat="1">
      <alignment horizontal="center" readingOrder="0"/>
    </xf>
    <xf borderId="14" fillId="11" fontId="10" numFmtId="169" xfId="0" applyAlignment="1" applyBorder="1" applyFont="1" applyNumberFormat="1">
      <alignment horizontal="center" readingOrder="0" vertical="center"/>
    </xf>
    <xf borderId="0" fillId="11" fontId="10" numFmtId="169" xfId="0" applyAlignment="1" applyFont="1" applyNumberFormat="1">
      <alignment horizontal="center" readingOrder="0" vertical="center"/>
    </xf>
    <xf borderId="10" fillId="11" fontId="10" numFmtId="169" xfId="0" applyAlignment="1" applyBorder="1" applyFont="1" applyNumberFormat="1">
      <alignment horizontal="center" readingOrder="0" vertical="center"/>
    </xf>
    <xf borderId="5" fillId="8" fontId="10" numFmtId="167" xfId="0" applyAlignment="1" applyBorder="1" applyFont="1" applyNumberFormat="1">
      <alignment horizontal="center" readingOrder="0" vertical="center"/>
    </xf>
    <xf borderId="0" fillId="8" fontId="10" numFmtId="168" xfId="0" applyAlignment="1" applyFont="1" applyNumberFormat="1">
      <alignment horizontal="center" readingOrder="0" vertical="center"/>
    </xf>
    <xf borderId="0" fillId="8" fontId="10" numFmtId="169" xfId="0" applyAlignment="1" applyFont="1" applyNumberFormat="1">
      <alignment horizontal="center" readingOrder="0" vertical="center"/>
    </xf>
    <xf borderId="4" fillId="8" fontId="10" numFmtId="167" xfId="0" applyAlignment="1" applyBorder="1" applyFont="1" applyNumberFormat="1">
      <alignment horizontal="center" readingOrder="0" vertical="center"/>
    </xf>
    <xf borderId="10" fillId="8" fontId="10" numFmtId="168" xfId="0" applyAlignment="1" applyBorder="1" applyFont="1" applyNumberFormat="1">
      <alignment horizontal="center" readingOrder="0" vertical="center"/>
    </xf>
    <xf borderId="10" fillId="8" fontId="10" numFmtId="169" xfId="0" applyAlignment="1" applyBorder="1" applyFont="1" applyNumberFormat="1">
      <alignment horizontal="center" readingOrder="0" vertical="center"/>
    </xf>
    <xf borderId="5" fillId="3" fontId="10" numFmtId="167" xfId="0" applyAlignment="1" applyBorder="1" applyFont="1" applyNumberFormat="1">
      <alignment horizontal="center" readingOrder="0" vertical="center"/>
    </xf>
    <xf borderId="0" fillId="3" fontId="10" numFmtId="168" xfId="0" applyAlignment="1" applyFont="1" applyNumberFormat="1">
      <alignment horizontal="center" readingOrder="0" vertical="center"/>
    </xf>
    <xf borderId="0" fillId="3" fontId="10" numFmtId="169" xfId="0" applyAlignment="1" applyFont="1" applyNumberFormat="1">
      <alignment horizontal="center" readingOrder="0" vertical="center"/>
    </xf>
    <xf borderId="4" fillId="3" fontId="10" numFmtId="167" xfId="0" applyAlignment="1" applyBorder="1" applyFont="1" applyNumberFormat="1">
      <alignment horizontal="center" readingOrder="0" vertical="center"/>
    </xf>
    <xf borderId="10" fillId="3" fontId="10" numFmtId="168" xfId="0" applyAlignment="1" applyBorder="1" applyFont="1" applyNumberFormat="1">
      <alignment horizontal="center" readingOrder="0" vertical="center"/>
    </xf>
    <xf borderId="10" fillId="3" fontId="10" numFmtId="169" xfId="0" applyAlignment="1" applyBorder="1" applyFont="1" applyNumberFormat="1">
      <alignment horizontal="center" readingOrder="0" vertical="center"/>
    </xf>
    <xf borderId="2" fillId="12" fontId="10" numFmtId="0" xfId="0" applyAlignment="1" applyBorder="1" applyFont="1">
      <alignment horizontal="center" readingOrder="0" vertical="center"/>
    </xf>
    <xf borderId="12" fillId="12" fontId="10" numFmtId="0" xfId="0" applyAlignment="1" applyBorder="1" applyFont="1">
      <alignment horizontal="center" readingOrder="0" vertical="center"/>
    </xf>
    <xf borderId="2" fillId="12" fontId="10" numFmtId="167" xfId="0" applyAlignment="1" applyBorder="1" applyFont="1" applyNumberFormat="1">
      <alignment horizontal="center" readingOrder="0" vertical="center"/>
    </xf>
    <xf borderId="10" fillId="12" fontId="10" numFmtId="168" xfId="0" applyAlignment="1" applyBorder="1" applyFont="1" applyNumberFormat="1">
      <alignment horizontal="center" readingOrder="0" vertical="center"/>
    </xf>
    <xf borderId="10" fillId="12" fontId="10" numFmtId="169" xfId="0" applyAlignment="1" applyBorder="1" applyFont="1" applyNumberFormat="1">
      <alignment horizontal="center" readingOrder="0" vertical="center"/>
    </xf>
    <xf borderId="10" fillId="12" fontId="10" numFmtId="0" xfId="0" applyAlignment="1" applyBorder="1" applyFont="1">
      <alignment horizontal="center" vertical="center"/>
    </xf>
    <xf borderId="9" fillId="12" fontId="10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stagram.com/btsbrasiltv/" TargetMode="External"/><Relationship Id="rId2" Type="http://schemas.openxmlformats.org/officeDocument/2006/relationships/hyperlink" Target="https://docs.google.com/document/d/1d7HND1aUXgS5VBd07nGR0gU3269TmpjRzmmPDT_ymLQ/edit?tab=t.0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25"/>
    <col customWidth="1" min="2" max="2" width="17.88"/>
    <col customWidth="1" min="3" max="3" width="36.75"/>
    <col customWidth="1" min="4" max="4" width="2.0"/>
  </cols>
  <sheetData>
    <row r="1">
      <c r="A1" s="1"/>
      <c r="B1" s="2" t="s">
        <v>0</v>
      </c>
      <c r="D1" s="1"/>
    </row>
    <row r="2">
      <c r="A2" s="1"/>
      <c r="D2" s="1"/>
    </row>
    <row r="3">
      <c r="A3" s="1"/>
      <c r="B3" s="3" t="s">
        <v>1</v>
      </c>
      <c r="C3" s="4" t="s">
        <v>2</v>
      </c>
      <c r="D3" s="5"/>
    </row>
    <row r="4">
      <c r="A4" s="1"/>
      <c r="B4" s="3" t="s">
        <v>3</v>
      </c>
      <c r="C4" s="6" t="s">
        <v>4</v>
      </c>
      <c r="D4" s="5"/>
    </row>
    <row r="5">
      <c r="A5" s="1"/>
      <c r="B5" s="3" t="s">
        <v>5</v>
      </c>
      <c r="C5" s="6" t="s">
        <v>6</v>
      </c>
      <c r="D5" s="5"/>
    </row>
    <row r="6">
      <c r="A6" s="1"/>
      <c r="B6" s="3" t="s">
        <v>7</v>
      </c>
      <c r="C6" s="7" t="s">
        <v>8</v>
      </c>
      <c r="D6" s="5"/>
    </row>
    <row r="7">
      <c r="A7" s="1"/>
      <c r="B7" s="3" t="s">
        <v>9</v>
      </c>
      <c r="C7" s="8" t="s">
        <v>10</v>
      </c>
      <c r="D7" s="5"/>
    </row>
    <row r="8">
      <c r="A8" s="1"/>
      <c r="B8" s="3" t="s">
        <v>11</v>
      </c>
      <c r="C8" s="8" t="s">
        <v>12</v>
      </c>
      <c r="D8" s="5"/>
    </row>
    <row r="9">
      <c r="A9" s="1"/>
      <c r="B9" s="3" t="s">
        <v>13</v>
      </c>
      <c r="C9" s="9" t="s">
        <v>14</v>
      </c>
      <c r="D9" s="5"/>
    </row>
    <row r="10">
      <c r="A10" s="1"/>
      <c r="B10" s="3" t="s">
        <v>15</v>
      </c>
      <c r="C10" s="10" t="s">
        <v>16</v>
      </c>
      <c r="D10" s="5"/>
    </row>
    <row r="11">
      <c r="A11" s="1"/>
      <c r="B11" s="3" t="s">
        <v>17</v>
      </c>
      <c r="C11" s="11">
        <v>1250.0</v>
      </c>
      <c r="D11" s="5"/>
    </row>
    <row r="12">
      <c r="A12" s="1"/>
      <c r="B12" s="3" t="s">
        <v>18</v>
      </c>
      <c r="C12" s="12" t="s">
        <v>19</v>
      </c>
      <c r="D12" s="5"/>
    </row>
    <row r="13">
      <c r="A13" s="1"/>
      <c r="B13" s="3" t="s">
        <v>20</v>
      </c>
      <c r="C13" s="13" t="s">
        <v>21</v>
      </c>
      <c r="D13" s="5"/>
    </row>
    <row r="14">
      <c r="A14" s="1"/>
      <c r="B14" s="3" t="s">
        <v>22</v>
      </c>
      <c r="C14" s="13" t="s">
        <v>23</v>
      </c>
      <c r="D14" s="5"/>
    </row>
    <row r="15">
      <c r="A15" s="1"/>
      <c r="B15" s="3" t="s">
        <v>24</v>
      </c>
      <c r="C15" s="9" t="s">
        <v>25</v>
      </c>
      <c r="D15" s="5"/>
    </row>
    <row r="16">
      <c r="A16" s="1"/>
      <c r="B16" s="3" t="s">
        <v>26</v>
      </c>
      <c r="C16" s="9" t="s">
        <v>27</v>
      </c>
      <c r="D16" s="5"/>
    </row>
    <row r="17">
      <c r="A17" s="1"/>
      <c r="B17" s="14" t="s">
        <v>28</v>
      </c>
      <c r="C17" s="15" t="s">
        <v>29</v>
      </c>
      <c r="D17" s="5"/>
    </row>
    <row r="18">
      <c r="A18" s="1"/>
      <c r="B18" s="16" t="s">
        <v>30</v>
      </c>
      <c r="C18" s="17" t="s">
        <v>31</v>
      </c>
      <c r="D18" s="5"/>
    </row>
    <row r="19">
      <c r="A19" s="1"/>
      <c r="B19" s="16" t="s">
        <v>32</v>
      </c>
      <c r="C19" s="17" t="s">
        <v>33</v>
      </c>
      <c r="D19" s="5"/>
    </row>
    <row r="20">
      <c r="A20" s="1"/>
      <c r="B20" s="18" t="s">
        <v>34</v>
      </c>
      <c r="D20" s="5"/>
    </row>
    <row r="21">
      <c r="A21" s="1"/>
      <c r="B21" s="19" t="s">
        <v>35</v>
      </c>
      <c r="C21" s="20" t="s">
        <v>36</v>
      </c>
      <c r="D21" s="5"/>
    </row>
    <row r="22">
      <c r="A22" s="1"/>
      <c r="B22" s="19" t="s">
        <v>37</v>
      </c>
      <c r="C22" s="20" t="s">
        <v>38</v>
      </c>
      <c r="D22" s="5"/>
    </row>
    <row r="23">
      <c r="A23" s="1"/>
      <c r="B23" s="21" t="s">
        <v>39</v>
      </c>
      <c r="C23" s="21" t="s">
        <v>40</v>
      </c>
      <c r="D23" s="5"/>
    </row>
    <row r="24">
      <c r="A24" s="1"/>
      <c r="B24" s="22" t="s">
        <v>41</v>
      </c>
      <c r="C24" s="23">
        <f>C28*60%</f>
        <v>30000</v>
      </c>
      <c r="D24" s="5"/>
    </row>
    <row r="25">
      <c r="A25" s="1"/>
      <c r="B25" s="24" t="s">
        <v>42</v>
      </c>
      <c r="C25" s="23">
        <f>C28*17.5%</f>
        <v>8750</v>
      </c>
      <c r="D25" s="5"/>
    </row>
    <row r="26">
      <c r="A26" s="1"/>
      <c r="B26" s="25" t="s">
        <v>43</v>
      </c>
      <c r="C26" s="23">
        <f>C28*12.5%</f>
        <v>6250</v>
      </c>
      <c r="D26" s="5"/>
    </row>
    <row r="27">
      <c r="A27" s="1"/>
      <c r="B27" s="26" t="s">
        <v>44</v>
      </c>
      <c r="C27" s="23">
        <f>C28*10%</f>
        <v>5000</v>
      </c>
      <c r="D27" s="5"/>
    </row>
    <row r="28">
      <c r="A28" s="1"/>
      <c r="B28" s="27" t="s">
        <v>45</v>
      </c>
      <c r="C28" s="28">
        <v>50000.0</v>
      </c>
      <c r="D28" s="5"/>
    </row>
    <row r="29" ht="12.0" customHeight="1">
      <c r="A29" s="1"/>
      <c r="D29" s="5"/>
    </row>
  </sheetData>
  <mergeCells count="2">
    <mergeCell ref="B1:C2"/>
    <mergeCell ref="B20:C20"/>
  </mergeCells>
  <hyperlinks>
    <hyperlink r:id="rId1" ref="C3"/>
    <hyperlink r:id="rId2" ref="C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21.0"/>
    <col customWidth="1" min="3" max="3" width="6.0"/>
    <col customWidth="1" min="4" max="4" width="12.63"/>
    <col customWidth="1" min="5" max="6" width="11.0"/>
    <col customWidth="1" min="7" max="7" width="19.0"/>
    <col customWidth="1" min="8" max="8" width="4.25"/>
    <col customWidth="1" min="9" max="9" width="4.0"/>
    <col customWidth="1" min="10" max="10" width="4.5"/>
    <col customWidth="1" min="11" max="11" width="17.5"/>
    <col customWidth="1" min="12" max="12" width="4.25"/>
    <col customWidth="1" min="13" max="21" width="4.13"/>
  </cols>
  <sheetData>
    <row r="1">
      <c r="A1" s="29" t="s">
        <v>46</v>
      </c>
      <c r="B1" s="30" t="s">
        <v>47</v>
      </c>
      <c r="C1" s="31" t="s">
        <v>48</v>
      </c>
      <c r="D1" s="32" t="s">
        <v>49</v>
      </c>
      <c r="E1" s="33" t="s">
        <v>50</v>
      </c>
      <c r="F1" s="33" t="s">
        <v>51</v>
      </c>
      <c r="G1" s="34" t="s">
        <v>52</v>
      </c>
      <c r="H1" s="35" t="s">
        <v>53</v>
      </c>
      <c r="K1" s="36" t="s">
        <v>54</v>
      </c>
      <c r="L1" s="35" t="s">
        <v>55</v>
      </c>
      <c r="N1" s="35" t="s">
        <v>56</v>
      </c>
      <c r="P1" s="35" t="s">
        <v>57</v>
      </c>
      <c r="R1" s="35" t="s">
        <v>58</v>
      </c>
      <c r="T1" s="35" t="s">
        <v>59</v>
      </c>
    </row>
    <row r="2">
      <c r="A2" s="37">
        <v>1.0</v>
      </c>
      <c r="B2" s="37" t="s">
        <v>60</v>
      </c>
      <c r="C2" s="38" t="s">
        <v>61</v>
      </c>
      <c r="D2" s="39">
        <v>46218.0</v>
      </c>
      <c r="E2" s="40">
        <v>0.5416666666666666</v>
      </c>
      <c r="F2" s="41">
        <v>0.75</v>
      </c>
      <c r="G2" s="38" t="s">
        <v>62</v>
      </c>
      <c r="H2" s="38">
        <v>2.0</v>
      </c>
      <c r="I2" s="42" t="s">
        <v>63</v>
      </c>
      <c r="J2" s="38">
        <v>1.0</v>
      </c>
      <c r="K2" s="43" t="s">
        <v>64</v>
      </c>
      <c r="L2" s="38">
        <v>7.0</v>
      </c>
      <c r="M2" s="43">
        <v>13.0</v>
      </c>
      <c r="N2" s="38">
        <v>13.0</v>
      </c>
      <c r="O2" s="43">
        <v>11.0</v>
      </c>
      <c r="P2" s="38">
        <v>16.0</v>
      </c>
      <c r="Q2" s="43">
        <v>14.0</v>
      </c>
      <c r="R2" s="38" t="s">
        <v>65</v>
      </c>
      <c r="S2" s="43" t="s">
        <v>65</v>
      </c>
      <c r="T2" s="38" t="s">
        <v>65</v>
      </c>
      <c r="U2" s="43" t="s">
        <v>65</v>
      </c>
    </row>
    <row r="3">
      <c r="A3" s="37">
        <v>2.0</v>
      </c>
      <c r="B3" s="37" t="s">
        <v>60</v>
      </c>
      <c r="C3" s="38" t="s">
        <v>66</v>
      </c>
      <c r="D3" s="39">
        <v>46218.0</v>
      </c>
      <c r="E3" s="40">
        <v>0.6666666666666666</v>
      </c>
      <c r="F3" s="41">
        <v>0.875</v>
      </c>
      <c r="G3" s="38" t="s">
        <v>67</v>
      </c>
      <c r="H3" s="38">
        <v>2.0</v>
      </c>
      <c r="I3" s="42" t="s">
        <v>63</v>
      </c>
      <c r="J3" s="38">
        <v>0.0</v>
      </c>
      <c r="K3" s="43" t="s">
        <v>68</v>
      </c>
      <c r="L3" s="38">
        <v>13.0</v>
      </c>
      <c r="M3" s="43">
        <v>6.0</v>
      </c>
      <c r="N3" s="38">
        <v>13.0</v>
      </c>
      <c r="O3" s="43">
        <v>2.0</v>
      </c>
      <c r="P3" s="38" t="s">
        <v>65</v>
      </c>
      <c r="Q3" s="43" t="s">
        <v>65</v>
      </c>
      <c r="R3" s="38" t="s">
        <v>65</v>
      </c>
      <c r="S3" s="43" t="s">
        <v>65</v>
      </c>
      <c r="T3" s="38" t="s">
        <v>65</v>
      </c>
      <c r="U3" s="43" t="s">
        <v>65</v>
      </c>
    </row>
    <row r="4">
      <c r="A4" s="44">
        <v>3.0</v>
      </c>
      <c r="B4" s="44" t="s">
        <v>69</v>
      </c>
      <c r="C4" s="45" t="s">
        <v>70</v>
      </c>
      <c r="D4" s="46">
        <v>46219.0</v>
      </c>
      <c r="E4" s="47">
        <v>0.5416666666666666</v>
      </c>
      <c r="F4" s="48">
        <v>0.75</v>
      </c>
      <c r="G4" s="44" t="s">
        <v>71</v>
      </c>
      <c r="H4" s="45">
        <v>0.0</v>
      </c>
      <c r="I4" s="49" t="s">
        <v>63</v>
      </c>
      <c r="J4" s="45">
        <v>2.0</v>
      </c>
      <c r="K4" s="50" t="s">
        <v>62</v>
      </c>
      <c r="L4" s="45">
        <v>5.0</v>
      </c>
      <c r="M4" s="50">
        <v>13.0</v>
      </c>
      <c r="N4" s="45">
        <v>10.0</v>
      </c>
      <c r="O4" s="50">
        <v>13.0</v>
      </c>
      <c r="P4" s="45" t="s">
        <v>65</v>
      </c>
      <c r="Q4" s="50" t="s">
        <v>65</v>
      </c>
      <c r="R4" s="45" t="s">
        <v>65</v>
      </c>
      <c r="S4" s="50" t="s">
        <v>65</v>
      </c>
      <c r="T4" s="45" t="s">
        <v>65</v>
      </c>
      <c r="U4" s="50" t="s">
        <v>65</v>
      </c>
    </row>
    <row r="5">
      <c r="A5" s="44">
        <v>4.0</v>
      </c>
      <c r="B5" s="44" t="s">
        <v>69</v>
      </c>
      <c r="C5" s="45" t="s">
        <v>72</v>
      </c>
      <c r="D5" s="46">
        <v>46219.0</v>
      </c>
      <c r="E5" s="47">
        <v>0.6666666666666666</v>
      </c>
      <c r="F5" s="48">
        <v>0.875</v>
      </c>
      <c r="G5" s="44" t="s">
        <v>73</v>
      </c>
      <c r="H5" s="45">
        <v>1.0</v>
      </c>
      <c r="I5" s="49" t="s">
        <v>63</v>
      </c>
      <c r="J5" s="45">
        <v>2.0</v>
      </c>
      <c r="K5" s="50" t="s">
        <v>67</v>
      </c>
      <c r="L5" s="45">
        <v>15.0</v>
      </c>
      <c r="M5" s="50">
        <v>19.0</v>
      </c>
      <c r="N5" s="45">
        <v>13.0</v>
      </c>
      <c r="O5" s="50">
        <v>7.0</v>
      </c>
      <c r="P5" s="45">
        <v>6.0</v>
      </c>
      <c r="Q5" s="50">
        <v>13.0</v>
      </c>
      <c r="R5" s="45" t="s">
        <v>65</v>
      </c>
      <c r="S5" s="50" t="s">
        <v>65</v>
      </c>
      <c r="T5" s="45" t="s">
        <v>65</v>
      </c>
      <c r="U5" s="50" t="s">
        <v>65</v>
      </c>
    </row>
    <row r="6">
      <c r="A6" s="51">
        <v>5.0</v>
      </c>
      <c r="B6" s="52" t="s">
        <v>74</v>
      </c>
      <c r="C6" s="53" t="s">
        <v>75</v>
      </c>
      <c r="D6" s="54">
        <v>46220.0</v>
      </c>
      <c r="E6" s="55">
        <v>0.5416666666666666</v>
      </c>
      <c r="F6" s="56">
        <v>0.75</v>
      </c>
      <c r="G6" s="51" t="s">
        <v>64</v>
      </c>
      <c r="H6" s="57">
        <v>0.0</v>
      </c>
      <c r="I6" s="58" t="s">
        <v>63</v>
      </c>
      <c r="J6" s="57">
        <v>1.0</v>
      </c>
      <c r="K6" s="59" t="s">
        <v>73</v>
      </c>
      <c r="L6" s="57">
        <v>10.0</v>
      </c>
      <c r="M6" s="59">
        <v>13.0</v>
      </c>
      <c r="N6" s="57" t="s">
        <v>65</v>
      </c>
      <c r="O6" s="59" t="s">
        <v>65</v>
      </c>
      <c r="P6" s="57" t="s">
        <v>65</v>
      </c>
      <c r="Q6" s="59" t="s">
        <v>65</v>
      </c>
      <c r="R6" s="57" t="s">
        <v>65</v>
      </c>
      <c r="S6" s="59" t="s">
        <v>65</v>
      </c>
      <c r="T6" s="57" t="s">
        <v>65</v>
      </c>
      <c r="U6" s="59" t="s">
        <v>65</v>
      </c>
    </row>
    <row r="7">
      <c r="A7" s="51">
        <v>6.0</v>
      </c>
      <c r="B7" s="52" t="s">
        <v>74</v>
      </c>
      <c r="C7" s="53" t="s">
        <v>76</v>
      </c>
      <c r="D7" s="54">
        <v>46220.0</v>
      </c>
      <c r="E7" s="55">
        <v>0.6666666666666666</v>
      </c>
      <c r="F7" s="56">
        <v>0.875</v>
      </c>
      <c r="G7" s="51" t="s">
        <v>68</v>
      </c>
      <c r="H7" s="57">
        <v>0.0</v>
      </c>
      <c r="I7" s="58" t="s">
        <v>63</v>
      </c>
      <c r="J7" s="57">
        <v>0.0</v>
      </c>
      <c r="K7" s="59" t="s">
        <v>71</v>
      </c>
      <c r="L7" s="57" t="s">
        <v>65</v>
      </c>
      <c r="M7" s="59" t="s">
        <v>65</v>
      </c>
      <c r="N7" s="57" t="s">
        <v>65</v>
      </c>
      <c r="O7" s="59" t="s">
        <v>65</v>
      </c>
      <c r="P7" s="57" t="s">
        <v>65</v>
      </c>
      <c r="Q7" s="59" t="s">
        <v>65</v>
      </c>
      <c r="R7" s="57" t="s">
        <v>65</v>
      </c>
      <c r="S7" s="59" t="s">
        <v>65</v>
      </c>
      <c r="T7" s="57" t="s">
        <v>65</v>
      </c>
      <c r="U7" s="59" t="s">
        <v>65</v>
      </c>
    </row>
    <row r="8">
      <c r="A8" s="57">
        <v>7.0</v>
      </c>
      <c r="B8" s="52" t="s">
        <v>77</v>
      </c>
      <c r="C8" s="53" t="s">
        <v>78</v>
      </c>
      <c r="D8" s="54">
        <v>46220.0</v>
      </c>
      <c r="E8" s="55">
        <v>0.7916666666666666</v>
      </c>
      <c r="F8" s="60">
        <v>1.0</v>
      </c>
      <c r="G8" s="51" t="s">
        <v>62</v>
      </c>
      <c r="H8" s="59">
        <v>0.0</v>
      </c>
      <c r="I8" s="61" t="s">
        <v>63</v>
      </c>
      <c r="J8" s="51">
        <v>0.0</v>
      </c>
      <c r="K8" s="57" t="s">
        <v>67</v>
      </c>
      <c r="L8" s="51" t="s">
        <v>65</v>
      </c>
      <c r="M8" s="59" t="s">
        <v>65</v>
      </c>
      <c r="N8" s="57" t="s">
        <v>65</v>
      </c>
      <c r="O8" s="59" t="s">
        <v>65</v>
      </c>
      <c r="P8" s="57" t="s">
        <v>65</v>
      </c>
      <c r="Q8" s="59" t="s">
        <v>65</v>
      </c>
      <c r="R8" s="57" t="s">
        <v>65</v>
      </c>
      <c r="S8" s="59" t="s">
        <v>65</v>
      </c>
      <c r="T8" s="57" t="s">
        <v>65</v>
      </c>
      <c r="U8" s="57" t="s">
        <v>65</v>
      </c>
    </row>
    <row r="9" ht="15.75" customHeight="1">
      <c r="A9" s="62">
        <v>8.0</v>
      </c>
      <c r="B9" s="63" t="s">
        <v>79</v>
      </c>
      <c r="C9" s="64" t="s">
        <v>80</v>
      </c>
      <c r="D9" s="65">
        <v>46221.0</v>
      </c>
      <c r="E9" s="66">
        <v>0.5416666666666666</v>
      </c>
      <c r="F9" s="67">
        <v>0.75</v>
      </c>
      <c r="G9" s="62" t="s">
        <v>81</v>
      </c>
      <c r="H9" s="68">
        <v>0.0</v>
      </c>
      <c r="I9" s="69" t="s">
        <v>63</v>
      </c>
      <c r="J9" s="68">
        <v>0.0</v>
      </c>
      <c r="K9" s="70" t="s">
        <v>82</v>
      </c>
      <c r="L9" s="68" t="s">
        <v>65</v>
      </c>
      <c r="M9" s="70" t="s">
        <v>65</v>
      </c>
      <c r="N9" s="68" t="s">
        <v>65</v>
      </c>
      <c r="O9" s="70" t="s">
        <v>65</v>
      </c>
      <c r="P9" s="68" t="s">
        <v>65</v>
      </c>
      <c r="Q9" s="70" t="s">
        <v>65</v>
      </c>
      <c r="R9" s="68" t="s">
        <v>65</v>
      </c>
      <c r="S9" s="70" t="s">
        <v>65</v>
      </c>
      <c r="T9" s="68" t="s">
        <v>65</v>
      </c>
      <c r="U9" s="70" t="s">
        <v>65</v>
      </c>
    </row>
    <row r="10" ht="15.75" customHeight="1">
      <c r="A10" s="62">
        <v>9.0</v>
      </c>
      <c r="B10" s="63" t="s">
        <v>83</v>
      </c>
      <c r="C10" s="71" t="s">
        <v>84</v>
      </c>
      <c r="D10" s="65">
        <v>46221.0</v>
      </c>
      <c r="E10" s="66">
        <v>0.6666666666666666</v>
      </c>
      <c r="F10" s="67">
        <v>0.875</v>
      </c>
      <c r="G10" s="62" t="s">
        <v>83</v>
      </c>
      <c r="H10" s="68">
        <v>0.0</v>
      </c>
      <c r="I10" s="69" t="s">
        <v>63</v>
      </c>
      <c r="J10" s="68">
        <v>0.0</v>
      </c>
      <c r="K10" s="70" t="s">
        <v>83</v>
      </c>
      <c r="L10" s="68" t="s">
        <v>65</v>
      </c>
      <c r="M10" s="70" t="s">
        <v>65</v>
      </c>
      <c r="N10" s="68" t="s">
        <v>65</v>
      </c>
      <c r="O10" s="70" t="s">
        <v>65</v>
      </c>
      <c r="P10" s="68" t="s">
        <v>65</v>
      </c>
      <c r="Q10" s="70" t="s">
        <v>65</v>
      </c>
      <c r="R10" s="68" t="s">
        <v>65</v>
      </c>
      <c r="S10" s="70" t="s">
        <v>65</v>
      </c>
      <c r="T10" s="68" t="s">
        <v>65</v>
      </c>
      <c r="U10" s="70" t="s">
        <v>65</v>
      </c>
    </row>
    <row r="11" ht="15.75" customHeight="1">
      <c r="A11" s="62">
        <v>10.0</v>
      </c>
      <c r="B11" s="72" t="s">
        <v>85</v>
      </c>
      <c r="C11" s="73" t="s">
        <v>86</v>
      </c>
      <c r="D11" s="65">
        <v>46221.0</v>
      </c>
      <c r="E11" s="74">
        <v>0.75</v>
      </c>
      <c r="F11" s="67">
        <v>0.9583333333333334</v>
      </c>
      <c r="G11" s="75" t="s">
        <v>87</v>
      </c>
      <c r="H11" s="76">
        <v>0.0</v>
      </c>
      <c r="I11" s="77" t="s">
        <v>63</v>
      </c>
      <c r="J11" s="76">
        <v>0.0</v>
      </c>
      <c r="K11" s="78" t="s">
        <v>88</v>
      </c>
      <c r="L11" s="76" t="s">
        <v>65</v>
      </c>
      <c r="M11" s="78" t="s">
        <v>65</v>
      </c>
      <c r="N11" s="76" t="s">
        <v>65</v>
      </c>
      <c r="O11" s="78" t="s">
        <v>65</v>
      </c>
      <c r="P11" s="76" t="s">
        <v>65</v>
      </c>
      <c r="Q11" s="78" t="s">
        <v>65</v>
      </c>
      <c r="R11" s="76" t="s">
        <v>65</v>
      </c>
      <c r="S11" s="78" t="s">
        <v>65</v>
      </c>
      <c r="T11" s="76" t="s">
        <v>65</v>
      </c>
      <c r="U11" s="78" t="s">
        <v>65</v>
      </c>
    </row>
    <row r="12">
      <c r="A12" s="79">
        <v>11.0</v>
      </c>
      <c r="B12" s="80" t="s">
        <v>89</v>
      </c>
      <c r="C12" s="81" t="s">
        <v>90</v>
      </c>
      <c r="D12" s="82">
        <v>46222.0</v>
      </c>
      <c r="E12" s="83">
        <v>0.8333333333333334</v>
      </c>
      <c r="F12" s="84">
        <v>0.041666666666666664</v>
      </c>
      <c r="G12" s="79" t="s">
        <v>91</v>
      </c>
      <c r="H12" s="85">
        <v>0.0</v>
      </c>
      <c r="I12" s="86" t="s">
        <v>63</v>
      </c>
      <c r="J12" s="85">
        <v>0.0</v>
      </c>
      <c r="K12" s="87" t="s">
        <v>92</v>
      </c>
      <c r="L12" s="85" t="s">
        <v>65</v>
      </c>
      <c r="M12" s="87" t="s">
        <v>65</v>
      </c>
      <c r="N12" s="85" t="s">
        <v>65</v>
      </c>
      <c r="O12" s="87" t="s">
        <v>65</v>
      </c>
      <c r="P12" s="85" t="s">
        <v>65</v>
      </c>
      <c r="Q12" s="87" t="s">
        <v>65</v>
      </c>
      <c r="R12" s="85" t="s">
        <v>65</v>
      </c>
      <c r="S12" s="87" t="s">
        <v>65</v>
      </c>
      <c r="T12" s="85" t="s">
        <v>65</v>
      </c>
      <c r="U12" s="87" t="s">
        <v>65</v>
      </c>
    </row>
  </sheetData>
  <mergeCells count="6">
    <mergeCell ref="H1:J1"/>
    <mergeCell ref="L1:M1"/>
    <mergeCell ref="N1:O1"/>
    <mergeCell ref="P1:Q1"/>
    <mergeCell ref="R1:S1"/>
    <mergeCell ref="T1:U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63"/>
    <col customWidth="1" min="3" max="3" width="12.88"/>
    <col customWidth="1" min="4" max="5" width="2.75"/>
    <col customWidth="1" min="6" max="6" width="4.0"/>
    <col customWidth="1" min="7" max="8" width="12.25"/>
    <col customWidth="1" min="9" max="10" width="2.75"/>
    <col customWidth="1" min="11" max="11" width="4.0"/>
    <col customWidth="1" min="12" max="13" width="12.25"/>
    <col customWidth="1" min="14" max="15" width="2.75"/>
    <col customWidth="1" min="16" max="16" width="4.0"/>
    <col customWidth="1" min="17" max="18" width="12.25"/>
    <col customWidth="1" min="19" max="29" width="2.25"/>
  </cols>
  <sheetData>
    <row r="1">
      <c r="A1" s="88" t="s">
        <v>93</v>
      </c>
      <c r="C1" s="89"/>
      <c r="D1" s="89"/>
      <c r="E1" s="89"/>
      <c r="F1" s="89"/>
      <c r="G1" s="89"/>
      <c r="H1" s="89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</row>
    <row r="2">
      <c r="D2" s="89"/>
      <c r="E2" s="89"/>
      <c r="F2" s="89"/>
      <c r="G2" s="88"/>
      <c r="I2" s="91"/>
      <c r="J2" s="92"/>
      <c r="K2" s="92"/>
      <c r="L2" s="92"/>
      <c r="M2" s="93"/>
      <c r="N2" s="94"/>
      <c r="P2" s="89"/>
      <c r="Q2" s="89"/>
      <c r="R2" s="89"/>
      <c r="S2" s="94"/>
      <c r="Z2" s="94"/>
      <c r="AA2" s="94"/>
      <c r="AB2" s="94"/>
      <c r="AC2" s="94"/>
    </row>
    <row r="3">
      <c r="D3" s="89"/>
      <c r="E3" s="89"/>
      <c r="F3" s="93"/>
      <c r="I3" s="90"/>
      <c r="J3" s="90"/>
      <c r="K3" s="90"/>
      <c r="M3" s="93"/>
      <c r="N3" s="95"/>
      <c r="O3" s="95"/>
      <c r="P3" s="96"/>
      <c r="R3" s="96"/>
      <c r="S3" s="96"/>
      <c r="T3" s="96"/>
      <c r="U3" s="97"/>
      <c r="V3" s="97"/>
      <c r="W3" s="97"/>
      <c r="X3" s="97"/>
      <c r="Y3" s="97"/>
      <c r="Z3" s="97"/>
      <c r="AA3" s="97"/>
      <c r="AB3" s="97"/>
      <c r="AC3" s="97"/>
    </row>
    <row r="4">
      <c r="B4" s="88" t="s">
        <v>94</v>
      </c>
      <c r="D4" s="93"/>
      <c r="E4" s="93"/>
      <c r="F4" s="93"/>
      <c r="G4" s="88" t="s">
        <v>69</v>
      </c>
      <c r="I4" s="93"/>
      <c r="J4" s="90"/>
      <c r="K4" s="90"/>
      <c r="L4" s="90"/>
      <c r="M4" s="98"/>
      <c r="N4" s="99"/>
      <c r="P4" s="96"/>
      <c r="Q4" s="96"/>
      <c r="R4" s="95"/>
      <c r="S4" s="95"/>
      <c r="T4" s="95"/>
      <c r="U4" s="100"/>
      <c r="V4" s="100"/>
      <c r="W4" s="100"/>
      <c r="X4" s="100"/>
      <c r="Y4" s="100"/>
      <c r="Z4" s="100"/>
      <c r="AA4" s="100"/>
      <c r="AB4" s="100"/>
      <c r="AC4" s="100"/>
    </row>
    <row r="5">
      <c r="A5" s="101" t="s">
        <v>61</v>
      </c>
      <c r="B5" s="102">
        <f>SCHEDULE!D2+SCHEDULE!E2</f>
        <v>46218.54167</v>
      </c>
      <c r="C5" s="103"/>
      <c r="D5" s="89"/>
      <c r="E5" s="89"/>
      <c r="F5" s="104"/>
      <c r="G5" s="105">
        <f>SCHEDULE!D4+SCHEDULE!E4</f>
        <v>46219.54167</v>
      </c>
      <c r="H5" s="103"/>
      <c r="I5" s="93"/>
      <c r="J5" s="90"/>
      <c r="K5" s="90"/>
      <c r="L5" s="90"/>
      <c r="N5" s="106"/>
      <c r="P5" s="95"/>
      <c r="Q5" s="95"/>
      <c r="R5" s="95"/>
      <c r="S5" s="95"/>
      <c r="T5" s="95"/>
      <c r="U5" s="100"/>
      <c r="V5" s="100"/>
      <c r="W5" s="100"/>
      <c r="X5" s="100"/>
      <c r="Y5" s="100"/>
      <c r="Z5" s="100"/>
      <c r="AA5" s="100"/>
      <c r="AB5" s="100"/>
      <c r="AC5" s="100"/>
    </row>
    <row r="6">
      <c r="B6" s="107" t="s">
        <v>62</v>
      </c>
      <c r="C6" s="103"/>
      <c r="D6" s="89"/>
      <c r="E6" s="89"/>
      <c r="F6" s="104" t="s">
        <v>70</v>
      </c>
      <c r="G6" s="108" t="s">
        <v>95</v>
      </c>
      <c r="H6" s="109"/>
      <c r="I6" s="89"/>
      <c r="J6" s="89"/>
      <c r="K6" s="93"/>
      <c r="L6" s="90"/>
      <c r="N6" s="99"/>
      <c r="P6" s="96"/>
      <c r="Q6" s="96"/>
      <c r="R6" s="99"/>
      <c r="S6" s="99"/>
      <c r="U6" s="100"/>
      <c r="V6" s="100"/>
      <c r="W6" s="100"/>
      <c r="X6" s="100"/>
      <c r="Y6" s="100"/>
      <c r="Z6" s="100"/>
      <c r="AA6" s="100"/>
      <c r="AB6" s="100"/>
      <c r="AC6" s="100"/>
    </row>
    <row r="7">
      <c r="B7" s="110" t="s">
        <v>96</v>
      </c>
      <c r="C7" s="109"/>
      <c r="D7" s="111"/>
      <c r="E7" s="111"/>
      <c r="F7" s="112"/>
      <c r="G7" s="108" t="s">
        <v>96</v>
      </c>
      <c r="H7" s="109"/>
      <c r="I7" s="113"/>
      <c r="J7" s="113"/>
      <c r="K7" s="114"/>
      <c r="L7" s="91" t="s">
        <v>77</v>
      </c>
      <c r="M7" s="98"/>
      <c r="N7" s="99"/>
      <c r="O7" s="99"/>
      <c r="P7" s="96"/>
      <c r="Q7" s="99" t="s">
        <v>89</v>
      </c>
      <c r="R7" s="99"/>
      <c r="S7" s="99"/>
      <c r="T7" s="99"/>
      <c r="U7" s="100"/>
      <c r="V7" s="100"/>
      <c r="W7" s="100"/>
      <c r="X7" s="100"/>
      <c r="Y7" s="100"/>
      <c r="Z7" s="100"/>
      <c r="AA7" s="100"/>
      <c r="AB7" s="100"/>
      <c r="AC7" s="100"/>
    </row>
    <row r="8">
      <c r="B8" s="115" t="s">
        <v>64</v>
      </c>
      <c r="C8" s="116"/>
      <c r="D8" s="89"/>
      <c r="E8" s="89"/>
      <c r="F8" s="104"/>
      <c r="G8" s="117" t="s">
        <v>62</v>
      </c>
      <c r="H8" s="116"/>
      <c r="I8" s="89"/>
      <c r="J8" s="89"/>
      <c r="K8" s="104"/>
      <c r="L8" s="118">
        <f>SCHEDULE!D8+SCHEDULE!E8</f>
        <v>46220.79167</v>
      </c>
      <c r="M8" s="103"/>
      <c r="N8" s="99"/>
      <c r="O8" s="99"/>
      <c r="P8" s="96"/>
      <c r="Q8" s="119">
        <f>SCHEDULE!D12+SCHEDULE!E12</f>
        <v>46222.83333</v>
      </c>
      <c r="R8" s="103"/>
      <c r="S8" s="96"/>
      <c r="U8" s="95"/>
      <c r="V8" s="95"/>
      <c r="W8" s="95"/>
      <c r="X8" s="100"/>
      <c r="Y8" s="100"/>
      <c r="Z8" s="100"/>
      <c r="AA8" s="100"/>
      <c r="AB8" s="100"/>
      <c r="AC8" s="100"/>
    </row>
    <row r="9">
      <c r="D9" s="88"/>
      <c r="E9" s="88"/>
      <c r="F9" s="95"/>
      <c r="G9" s="106"/>
      <c r="I9" s="89"/>
      <c r="J9" s="89"/>
      <c r="K9" s="104" t="s">
        <v>78</v>
      </c>
      <c r="L9" s="120" t="s">
        <v>62</v>
      </c>
      <c r="M9" s="109"/>
      <c r="N9" s="99"/>
      <c r="O9" s="106"/>
      <c r="P9" s="99"/>
      <c r="Q9" s="121"/>
      <c r="R9" s="109"/>
      <c r="S9" s="99"/>
      <c r="U9" s="96"/>
      <c r="V9" s="96"/>
      <c r="W9" s="99"/>
      <c r="X9" s="100"/>
      <c r="Y9" s="100"/>
      <c r="Z9" s="100"/>
      <c r="AA9" s="100"/>
      <c r="AB9" s="100"/>
      <c r="AC9" s="100"/>
    </row>
    <row r="10">
      <c r="G10" s="122"/>
      <c r="I10" s="89"/>
      <c r="J10" s="89"/>
      <c r="K10" s="104"/>
      <c r="L10" s="120" t="s">
        <v>96</v>
      </c>
      <c r="M10" s="109"/>
      <c r="N10" s="123"/>
      <c r="O10" s="124"/>
      <c r="P10" s="124"/>
      <c r="Q10" s="121" t="s">
        <v>96</v>
      </c>
      <c r="R10" s="109"/>
      <c r="S10" s="125"/>
      <c r="T10" s="125"/>
      <c r="U10" s="126"/>
      <c r="V10" s="96"/>
      <c r="W10" s="99"/>
      <c r="X10" s="100"/>
      <c r="Y10" s="100"/>
      <c r="Z10" s="100"/>
      <c r="AA10" s="100"/>
      <c r="AB10" s="100"/>
      <c r="AC10" s="100"/>
    </row>
    <row r="11">
      <c r="A11" s="101" t="s">
        <v>66</v>
      </c>
      <c r="B11" s="102">
        <f>SCHEDULE!D3+SCHEDULE!E3</f>
        <v>46218.66667</v>
      </c>
      <c r="C11" s="103"/>
      <c r="D11" s="89"/>
      <c r="E11" s="89"/>
      <c r="F11" s="89"/>
      <c r="G11" s="105">
        <f>SCHEDULE!D5+SCHEDULE!E5</f>
        <v>46219.66667</v>
      </c>
      <c r="H11" s="103"/>
      <c r="I11" s="89"/>
      <c r="J11" s="89"/>
      <c r="K11" s="104"/>
      <c r="L11" s="127" t="s">
        <v>67</v>
      </c>
      <c r="M11" s="116"/>
      <c r="N11" s="106"/>
      <c r="O11" s="99"/>
      <c r="P11" s="99"/>
      <c r="Q11" s="128"/>
      <c r="R11" s="116"/>
      <c r="S11" s="95"/>
      <c r="T11" s="95"/>
      <c r="U11" s="129"/>
      <c r="V11" s="96"/>
      <c r="W11" s="99"/>
      <c r="X11" s="99"/>
      <c r="Z11" s="95"/>
      <c r="AA11" s="130"/>
      <c r="AC11" s="130"/>
    </row>
    <row r="12">
      <c r="B12" s="107" t="s">
        <v>67</v>
      </c>
      <c r="C12" s="103"/>
      <c r="D12" s="89"/>
      <c r="E12" s="89"/>
      <c r="F12" s="88" t="s">
        <v>72</v>
      </c>
      <c r="G12" s="108" t="s">
        <v>73</v>
      </c>
      <c r="H12" s="109"/>
      <c r="I12" s="131"/>
      <c r="J12" s="131"/>
      <c r="K12" s="132"/>
      <c r="N12" s="99"/>
      <c r="O12" s="96"/>
      <c r="P12" s="99"/>
      <c r="S12" s="95"/>
      <c r="T12" s="95"/>
      <c r="U12" s="129"/>
      <c r="V12" s="96"/>
      <c r="X12" s="99"/>
      <c r="Y12" s="99"/>
      <c r="Z12" s="95"/>
      <c r="AA12" s="130"/>
      <c r="AB12" s="130"/>
      <c r="AC12" s="130"/>
    </row>
    <row r="13">
      <c r="B13" s="110" t="s">
        <v>96</v>
      </c>
      <c r="C13" s="109"/>
      <c r="D13" s="124"/>
      <c r="E13" s="124"/>
      <c r="F13" s="133"/>
      <c r="G13" s="108" t="s">
        <v>96</v>
      </c>
      <c r="H13" s="109"/>
      <c r="S13" s="134"/>
      <c r="T13" s="134"/>
      <c r="U13" s="135"/>
      <c r="V13" s="100"/>
      <c r="X13" s="106"/>
      <c r="Z13" s="100"/>
      <c r="AA13" s="100"/>
      <c r="AB13" s="100"/>
      <c r="AC13" s="100"/>
    </row>
    <row r="14">
      <c r="B14" s="115" t="s">
        <v>68</v>
      </c>
      <c r="C14" s="116"/>
      <c r="D14" s="99"/>
      <c r="E14" s="99"/>
      <c r="G14" s="117" t="s">
        <v>67</v>
      </c>
      <c r="H14" s="116"/>
      <c r="I14" s="93"/>
      <c r="J14" s="136"/>
      <c r="K14" s="98"/>
      <c r="L14" s="136"/>
      <c r="N14" s="99"/>
      <c r="P14" s="96"/>
      <c r="Q14" s="96"/>
      <c r="R14" s="95"/>
      <c r="S14" s="99"/>
      <c r="U14" s="129"/>
      <c r="V14" s="96"/>
      <c r="X14" s="99"/>
      <c r="Z14" s="95"/>
      <c r="AA14" s="99"/>
      <c r="AC14" s="100"/>
    </row>
    <row r="15">
      <c r="C15" s="99"/>
      <c r="E15" s="99"/>
      <c r="G15" s="99"/>
      <c r="I15" s="91"/>
      <c r="J15" s="90"/>
      <c r="L15" s="90"/>
      <c r="N15" s="106"/>
      <c r="P15" s="95"/>
      <c r="Q15" s="95"/>
      <c r="R15" s="95"/>
      <c r="S15" s="106"/>
      <c r="U15" s="129"/>
      <c r="V15" s="96"/>
      <c r="W15" s="99"/>
      <c r="X15" s="137"/>
      <c r="Y15" s="137"/>
      <c r="Z15" s="137"/>
      <c r="AA15" s="137"/>
      <c r="AB15" s="137"/>
      <c r="AC15" s="137"/>
    </row>
    <row r="16">
      <c r="A16" s="138"/>
      <c r="D16" s="139"/>
      <c r="E16" s="139"/>
      <c r="F16" s="139"/>
      <c r="I16" s="93"/>
      <c r="J16" s="90"/>
      <c r="L16" s="90"/>
      <c r="N16" s="99"/>
      <c r="P16" s="140"/>
      <c r="Q16" s="90"/>
      <c r="R16" s="98"/>
      <c r="S16" s="99"/>
      <c r="T16" s="99"/>
      <c r="U16" s="129"/>
      <c r="V16" s="96"/>
      <c r="W16" s="99"/>
      <c r="X16" s="100"/>
      <c r="Y16" s="100"/>
      <c r="Z16" s="100"/>
      <c r="AA16" s="100"/>
      <c r="AB16" s="100"/>
      <c r="AC16" s="100"/>
    </row>
    <row r="17">
      <c r="A17" s="138"/>
      <c r="B17" s="141" t="s">
        <v>74</v>
      </c>
      <c r="D17" s="139"/>
      <c r="E17" s="139"/>
      <c r="F17" s="139"/>
      <c r="I17" s="93"/>
      <c r="J17" s="90"/>
      <c r="P17" s="136"/>
      <c r="Q17" s="91" t="s">
        <v>97</v>
      </c>
      <c r="R17" s="93"/>
      <c r="S17" s="96"/>
      <c r="U17" s="129"/>
      <c r="V17" s="96"/>
      <c r="W17" s="99"/>
      <c r="X17" s="100"/>
      <c r="Y17" s="100"/>
      <c r="Z17" s="100"/>
      <c r="AA17" s="100"/>
      <c r="AB17" s="100"/>
      <c r="AC17" s="100"/>
    </row>
    <row r="18">
      <c r="A18" s="101" t="s">
        <v>75</v>
      </c>
      <c r="B18" s="142">
        <f>SCHEDULE!D6+SCHEDULE!E6</f>
        <v>46220.54167</v>
      </c>
      <c r="C18" s="103"/>
      <c r="H18" s="138"/>
      <c r="M18" s="93"/>
      <c r="P18" s="90"/>
      <c r="Q18" s="143">
        <f>dasasdassaddas!D14 + dasasdassaddas!E14</f>
        <v>46221.66667</v>
      </c>
      <c r="R18" s="103"/>
      <c r="S18" s="99"/>
      <c r="U18" s="144"/>
      <c r="V18" s="99"/>
      <c r="W18" s="95"/>
      <c r="X18" s="100"/>
      <c r="Y18" s="100"/>
      <c r="Z18" s="100"/>
      <c r="AA18" s="100"/>
      <c r="AB18" s="100"/>
      <c r="AC18" s="100"/>
    </row>
    <row r="19">
      <c r="B19" s="145" t="s">
        <v>64</v>
      </c>
      <c r="C19" s="103"/>
      <c r="D19" s="93"/>
      <c r="E19" s="93"/>
      <c r="G19" s="138"/>
      <c r="H19" s="138"/>
      <c r="L19" s="90"/>
      <c r="M19" s="90"/>
      <c r="P19" s="91" t="s">
        <v>84</v>
      </c>
      <c r="Q19" s="146"/>
      <c r="R19" s="109"/>
      <c r="S19" s="106"/>
      <c r="U19" s="147"/>
      <c r="V19" s="137"/>
      <c r="W19" s="137"/>
      <c r="X19" s="137"/>
      <c r="Y19" s="137"/>
      <c r="Z19" s="137"/>
      <c r="AA19" s="137"/>
      <c r="AB19" s="137"/>
      <c r="AC19" s="137"/>
    </row>
    <row r="20">
      <c r="B20" s="148" t="s">
        <v>96</v>
      </c>
      <c r="C20" s="109"/>
      <c r="D20" s="149"/>
      <c r="E20" s="149"/>
      <c r="F20" s="150"/>
      <c r="G20" s="101" t="s">
        <v>79</v>
      </c>
      <c r="L20" s="91" t="s">
        <v>85</v>
      </c>
      <c r="Q20" s="146" t="s">
        <v>96</v>
      </c>
      <c r="R20" s="109"/>
      <c r="S20" s="99"/>
      <c r="U20" s="135"/>
      <c r="V20" s="100"/>
      <c r="W20" s="100"/>
      <c r="X20" s="100"/>
      <c r="Y20" s="100"/>
      <c r="Z20" s="100"/>
      <c r="AA20" s="100"/>
      <c r="AB20" s="100"/>
      <c r="AC20" s="100"/>
    </row>
    <row r="21">
      <c r="B21" s="151" t="s">
        <v>73</v>
      </c>
      <c r="C21" s="116"/>
      <c r="D21" s="89"/>
      <c r="E21" s="89"/>
      <c r="G21" s="143">
        <f>SCHEDULE!D9+SCHEDULE!E9</f>
        <v>46221.54167</v>
      </c>
      <c r="H21" s="103"/>
      <c r="L21" s="143">
        <f>SCHEDULE!D11+SCHEDULE!E11</f>
        <v>46221.75</v>
      </c>
      <c r="M21" s="103"/>
      <c r="P21" s="152"/>
      <c r="Q21" s="153"/>
      <c r="R21" s="116"/>
      <c r="S21" s="100"/>
      <c r="T21" s="100"/>
      <c r="U21" s="135"/>
      <c r="V21" s="100"/>
      <c r="W21" s="99"/>
      <c r="X21" s="99"/>
      <c r="Z21" s="95"/>
      <c r="AA21" s="99"/>
      <c r="AC21" s="100"/>
    </row>
    <row r="22">
      <c r="A22" s="138"/>
      <c r="B22" s="89"/>
      <c r="D22" s="89"/>
      <c r="E22" s="89"/>
      <c r="F22" s="101" t="s">
        <v>80</v>
      </c>
      <c r="G22" s="146"/>
      <c r="H22" s="109"/>
      <c r="I22" s="89"/>
      <c r="L22" s="146"/>
      <c r="M22" s="109"/>
      <c r="P22" s="90"/>
      <c r="Q22" s="90"/>
      <c r="R22" s="90"/>
      <c r="S22" s="100"/>
      <c r="T22" s="100"/>
      <c r="U22" s="135"/>
      <c r="V22" s="100"/>
      <c r="W22" s="100"/>
      <c r="X22" s="100"/>
      <c r="Y22" s="100"/>
      <c r="Z22" s="100"/>
      <c r="AA22" s="100"/>
      <c r="AB22" s="100"/>
      <c r="AC22" s="100"/>
    </row>
    <row r="23">
      <c r="A23" s="101" t="s">
        <v>76</v>
      </c>
      <c r="B23" s="142">
        <f>SCHEDULE!D7+SCHEDULE!E7</f>
        <v>46220.66667</v>
      </c>
      <c r="C23" s="103"/>
      <c r="G23" s="146" t="s">
        <v>96</v>
      </c>
      <c r="H23" s="109"/>
      <c r="I23" s="111"/>
      <c r="J23" s="149"/>
      <c r="K23" s="149"/>
      <c r="L23" s="146" t="s">
        <v>96</v>
      </c>
      <c r="M23" s="109"/>
      <c r="P23" s="100"/>
      <c r="Q23" s="100"/>
      <c r="R23" s="100"/>
      <c r="S23" s="100"/>
      <c r="T23" s="100"/>
      <c r="U23" s="135"/>
      <c r="V23" s="100"/>
      <c r="W23" s="100"/>
      <c r="X23" s="100"/>
      <c r="Y23" s="100"/>
      <c r="Z23" s="100"/>
      <c r="AA23" s="100"/>
      <c r="AB23" s="100"/>
      <c r="AC23" s="100"/>
    </row>
    <row r="24">
      <c r="B24" s="145" t="s">
        <v>68</v>
      </c>
      <c r="C24" s="103"/>
      <c r="D24" s="89"/>
      <c r="E24" s="89"/>
      <c r="G24" s="154"/>
      <c r="H24" s="116"/>
      <c r="I24" s="89"/>
      <c r="L24" s="154"/>
      <c r="M24" s="116"/>
      <c r="N24" s="155"/>
      <c r="O24" s="155"/>
      <c r="P24" s="156"/>
      <c r="Q24" s="156"/>
      <c r="R24" s="156"/>
      <c r="S24" s="157"/>
      <c r="T24" s="157"/>
      <c r="U24" s="158"/>
      <c r="V24" s="100"/>
      <c r="W24" s="100"/>
      <c r="X24" s="100"/>
      <c r="Y24" s="100"/>
      <c r="Z24" s="100"/>
      <c r="AA24" s="100"/>
      <c r="AB24" s="100"/>
      <c r="AC24" s="100"/>
    </row>
    <row r="25">
      <c r="B25" s="148" t="s">
        <v>96</v>
      </c>
      <c r="C25" s="109"/>
      <c r="D25" s="159"/>
      <c r="E25" s="159"/>
      <c r="F25" s="160"/>
      <c r="N25" s="90"/>
      <c r="O25" s="96"/>
      <c r="P25" s="96"/>
      <c r="Q25" s="90"/>
      <c r="R25" s="90"/>
      <c r="S25" s="90"/>
      <c r="T25" s="90"/>
      <c r="U25" s="90"/>
      <c r="V25" s="100"/>
      <c r="W25" s="100"/>
      <c r="X25" s="100"/>
      <c r="Y25" s="100"/>
      <c r="Z25" s="100"/>
      <c r="AA25" s="100"/>
      <c r="AB25" s="100"/>
      <c r="AC25" s="100"/>
    </row>
    <row r="26">
      <c r="B26" s="151" t="s">
        <v>95</v>
      </c>
      <c r="C26" s="116"/>
      <c r="M26" s="90"/>
      <c r="N26" s="90"/>
      <c r="O26" s="90"/>
      <c r="P26" s="90"/>
      <c r="Q26" s="90"/>
      <c r="R26" s="90"/>
      <c r="S26" s="90"/>
      <c r="T26" s="90"/>
      <c r="U26" s="90"/>
      <c r="V26" s="100"/>
      <c r="W26" s="100"/>
      <c r="X26" s="100"/>
      <c r="Y26" s="100"/>
      <c r="Z26" s="100"/>
      <c r="AA26" s="100"/>
      <c r="AB26" s="100"/>
      <c r="AC26" s="100"/>
    </row>
    <row r="27">
      <c r="M27" s="90"/>
      <c r="N27" s="90"/>
      <c r="O27" s="90"/>
      <c r="P27" s="90"/>
      <c r="Q27" s="90"/>
      <c r="R27" s="90"/>
      <c r="S27" s="90"/>
      <c r="T27" s="90"/>
      <c r="U27" s="90"/>
      <c r="V27" s="100"/>
      <c r="W27" s="100"/>
      <c r="X27" s="100"/>
      <c r="Y27" s="100"/>
      <c r="Z27" s="100"/>
      <c r="AA27" s="100"/>
      <c r="AB27" s="100"/>
      <c r="AC27" s="100"/>
    </row>
    <row r="28"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  <c r="AA28" s="90"/>
      <c r="AB28" s="90"/>
      <c r="AC28" s="90"/>
    </row>
    <row r="29"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  <c r="AA29" s="90"/>
      <c r="AB29" s="90"/>
      <c r="AC29" s="90"/>
    </row>
    <row r="30"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  <c r="AA30" s="90"/>
      <c r="AB30" s="90"/>
      <c r="AC30" s="90"/>
    </row>
    <row r="31"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</row>
    <row r="32"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  <c r="AA32" s="90"/>
      <c r="AB32" s="90"/>
      <c r="AC32" s="90"/>
    </row>
    <row r="33">
      <c r="A33" s="138"/>
      <c r="B33" s="89"/>
      <c r="C33" s="89"/>
      <c r="D33" s="139"/>
      <c r="E33" s="139"/>
      <c r="G33" s="161"/>
      <c r="I33" s="93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  <c r="AA33" s="90"/>
      <c r="AB33" s="90"/>
      <c r="AC33" s="90"/>
    </row>
    <row r="34">
      <c r="A34" s="138"/>
      <c r="B34" s="89"/>
      <c r="C34" s="89"/>
      <c r="D34" s="139"/>
      <c r="E34" s="139"/>
      <c r="F34" s="139"/>
      <c r="G34" s="138"/>
      <c r="H34" s="138"/>
      <c r="I34" s="93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  <c r="AA34" s="90"/>
      <c r="AB34" s="90"/>
      <c r="AC34" s="90"/>
    </row>
    <row r="35">
      <c r="A35" s="138"/>
      <c r="B35" s="89"/>
      <c r="C35" s="89"/>
      <c r="D35" s="139"/>
      <c r="E35" s="139"/>
      <c r="F35" s="139"/>
      <c r="G35" s="138"/>
      <c r="H35" s="138"/>
      <c r="I35" s="93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  <c r="AA35" s="90"/>
      <c r="AB35" s="90"/>
      <c r="AC35" s="90"/>
    </row>
  </sheetData>
  <mergeCells count="88">
    <mergeCell ref="X13:Y13"/>
    <mergeCell ref="X14:Y14"/>
    <mergeCell ref="Q10:R10"/>
    <mergeCell ref="Q11:R11"/>
    <mergeCell ref="W11:W14"/>
    <mergeCell ref="X11:Y11"/>
    <mergeCell ref="AA11:AB11"/>
    <mergeCell ref="N14:O14"/>
    <mergeCell ref="S14:T14"/>
    <mergeCell ref="AA14:AB14"/>
    <mergeCell ref="N5:O5"/>
    <mergeCell ref="N6:O6"/>
    <mergeCell ref="L8:M8"/>
    <mergeCell ref="Q8:R8"/>
    <mergeCell ref="S8:T8"/>
    <mergeCell ref="Q9:R9"/>
    <mergeCell ref="S9:T9"/>
    <mergeCell ref="L9:M9"/>
    <mergeCell ref="L10:M10"/>
    <mergeCell ref="L11:M11"/>
    <mergeCell ref="K14:K16"/>
    <mergeCell ref="N15:O15"/>
    <mergeCell ref="S15:T15"/>
    <mergeCell ref="N16:O16"/>
    <mergeCell ref="G12:H12"/>
    <mergeCell ref="E13:F13"/>
    <mergeCell ref="G13:H13"/>
    <mergeCell ref="E14:F14"/>
    <mergeCell ref="G14:H14"/>
    <mergeCell ref="C15:D15"/>
    <mergeCell ref="E15:F15"/>
    <mergeCell ref="G15:H15"/>
    <mergeCell ref="G4:H4"/>
    <mergeCell ref="G5:H5"/>
    <mergeCell ref="G7:H7"/>
    <mergeCell ref="G8:H8"/>
    <mergeCell ref="G9:H9"/>
    <mergeCell ref="G10:H10"/>
    <mergeCell ref="G11:H11"/>
    <mergeCell ref="B23:C23"/>
    <mergeCell ref="B24:C24"/>
    <mergeCell ref="B14:C14"/>
    <mergeCell ref="B17:C17"/>
    <mergeCell ref="B18:C18"/>
    <mergeCell ref="B19:C19"/>
    <mergeCell ref="B20:C20"/>
    <mergeCell ref="B21:C21"/>
    <mergeCell ref="B22:C22"/>
    <mergeCell ref="B5:C5"/>
    <mergeCell ref="B6:C6"/>
    <mergeCell ref="G2:H2"/>
    <mergeCell ref="N2:O2"/>
    <mergeCell ref="S2:Y2"/>
    <mergeCell ref="M4:M6"/>
    <mergeCell ref="N4:O4"/>
    <mergeCell ref="G6:H6"/>
    <mergeCell ref="S6:T6"/>
    <mergeCell ref="A5:A8"/>
    <mergeCell ref="B7:C7"/>
    <mergeCell ref="B8:C8"/>
    <mergeCell ref="A11:A14"/>
    <mergeCell ref="B11:C11"/>
    <mergeCell ref="B12:C12"/>
    <mergeCell ref="B13:C13"/>
    <mergeCell ref="Q20:R20"/>
    <mergeCell ref="L21:M21"/>
    <mergeCell ref="Q21:R21"/>
    <mergeCell ref="X21:Y21"/>
    <mergeCell ref="AA21:AB21"/>
    <mergeCell ref="L22:M22"/>
    <mergeCell ref="L23:M23"/>
    <mergeCell ref="L24:M24"/>
    <mergeCell ref="S17:T17"/>
    <mergeCell ref="Q18:R18"/>
    <mergeCell ref="S18:T18"/>
    <mergeCell ref="P19:P20"/>
    <mergeCell ref="Q19:R19"/>
    <mergeCell ref="S19:T19"/>
    <mergeCell ref="S20:T20"/>
    <mergeCell ref="G21:H21"/>
    <mergeCell ref="F22:F24"/>
    <mergeCell ref="G22:H22"/>
    <mergeCell ref="G23:H23"/>
    <mergeCell ref="G24:H24"/>
    <mergeCell ref="A18:A21"/>
    <mergeCell ref="A23:A26"/>
    <mergeCell ref="B25:C25"/>
    <mergeCell ref="B26:C2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18.13"/>
    <col customWidth="1" min="3" max="3" width="6.0"/>
    <col customWidth="1" min="4" max="4" width="12.63"/>
    <col customWidth="1" min="5" max="6" width="11.0"/>
    <col customWidth="1" min="7" max="7" width="19.0"/>
    <col customWidth="1" min="8" max="8" width="4.25"/>
    <col customWidth="1" min="9" max="9" width="4.0"/>
    <col customWidth="1" min="10" max="10" width="4.5"/>
    <col customWidth="1" min="11" max="11" width="17.5"/>
    <col customWidth="1" min="12" max="12" width="4.25"/>
    <col customWidth="1" min="13" max="21" width="4.13"/>
  </cols>
  <sheetData>
    <row r="1">
      <c r="A1" s="29" t="s">
        <v>46</v>
      </c>
      <c r="B1" s="30" t="s">
        <v>47</v>
      </c>
      <c r="C1" s="31" t="s">
        <v>48</v>
      </c>
      <c r="D1" s="32" t="s">
        <v>49</v>
      </c>
      <c r="E1" s="33" t="s">
        <v>50</v>
      </c>
      <c r="F1" s="33" t="s">
        <v>51</v>
      </c>
      <c r="G1" s="34" t="s">
        <v>52</v>
      </c>
      <c r="H1" s="35" t="s">
        <v>53</v>
      </c>
      <c r="K1" s="36" t="s">
        <v>54</v>
      </c>
      <c r="L1" s="35" t="s">
        <v>55</v>
      </c>
      <c r="N1" s="35" t="s">
        <v>56</v>
      </c>
      <c r="P1" s="35" t="s">
        <v>57</v>
      </c>
      <c r="R1" s="35" t="s">
        <v>58</v>
      </c>
      <c r="T1" s="35" t="s">
        <v>59</v>
      </c>
    </row>
    <row r="2">
      <c r="A2" s="162">
        <v>1.0</v>
      </c>
      <c r="B2" s="163" t="s">
        <v>98</v>
      </c>
      <c r="C2" s="164" t="s">
        <v>61</v>
      </c>
      <c r="D2" s="165">
        <v>46218.0</v>
      </c>
      <c r="E2" s="166">
        <v>0.5416666666666666</v>
      </c>
      <c r="F2" s="167">
        <f t="shared" ref="F2:F5" si="1">E2+5/24</f>
        <v>0.75</v>
      </c>
      <c r="G2" s="164"/>
      <c r="H2" s="164">
        <v>0.0</v>
      </c>
      <c r="I2" s="168" t="s">
        <v>63</v>
      </c>
      <c r="J2" s="164">
        <v>0.0</v>
      </c>
      <c r="K2" s="169"/>
      <c r="L2" s="164" t="s">
        <v>65</v>
      </c>
      <c r="M2" s="169" t="s">
        <v>65</v>
      </c>
      <c r="N2" s="164" t="s">
        <v>65</v>
      </c>
      <c r="O2" s="169" t="s">
        <v>65</v>
      </c>
      <c r="P2" s="164" t="s">
        <v>65</v>
      </c>
      <c r="Q2" s="169" t="s">
        <v>65</v>
      </c>
      <c r="R2" s="164" t="s">
        <v>65</v>
      </c>
      <c r="S2" s="169" t="s">
        <v>65</v>
      </c>
      <c r="T2" s="164" t="s">
        <v>65</v>
      </c>
      <c r="U2" s="169" t="s">
        <v>65</v>
      </c>
    </row>
    <row r="3">
      <c r="A3" s="170">
        <v>2.0</v>
      </c>
      <c r="B3" s="37" t="s">
        <v>98</v>
      </c>
      <c r="C3" s="38" t="s">
        <v>66</v>
      </c>
      <c r="D3" s="39">
        <v>46218.0</v>
      </c>
      <c r="E3" s="40">
        <v>0.6666666666666666</v>
      </c>
      <c r="F3" s="41">
        <f t="shared" si="1"/>
        <v>0.875</v>
      </c>
      <c r="G3" s="38"/>
      <c r="H3" s="38">
        <v>0.0</v>
      </c>
      <c r="I3" s="42" t="s">
        <v>63</v>
      </c>
      <c r="J3" s="38">
        <v>0.0</v>
      </c>
      <c r="K3" s="43"/>
      <c r="L3" s="38" t="s">
        <v>65</v>
      </c>
      <c r="M3" s="43" t="s">
        <v>65</v>
      </c>
      <c r="N3" s="38" t="s">
        <v>65</v>
      </c>
      <c r="O3" s="43" t="s">
        <v>65</v>
      </c>
      <c r="P3" s="38" t="s">
        <v>65</v>
      </c>
      <c r="Q3" s="43" t="s">
        <v>65</v>
      </c>
      <c r="R3" s="38" t="s">
        <v>65</v>
      </c>
      <c r="S3" s="43" t="s">
        <v>65</v>
      </c>
      <c r="T3" s="38" t="s">
        <v>65</v>
      </c>
      <c r="U3" s="43" t="s">
        <v>65</v>
      </c>
    </row>
    <row r="4">
      <c r="A4" s="170">
        <v>3.0</v>
      </c>
      <c r="B4" s="37" t="s">
        <v>98</v>
      </c>
      <c r="C4" s="38" t="s">
        <v>99</v>
      </c>
      <c r="D4" s="39">
        <v>46218.0</v>
      </c>
      <c r="E4" s="40">
        <v>0.7916666666666666</v>
      </c>
      <c r="F4" s="41">
        <f t="shared" si="1"/>
        <v>1</v>
      </c>
      <c r="G4" s="38"/>
      <c r="H4" s="38">
        <v>0.0</v>
      </c>
      <c r="I4" s="42" t="s">
        <v>63</v>
      </c>
      <c r="J4" s="38">
        <v>0.0</v>
      </c>
      <c r="K4" s="43"/>
      <c r="L4" s="38" t="s">
        <v>65</v>
      </c>
      <c r="M4" s="43" t="s">
        <v>65</v>
      </c>
      <c r="N4" s="38" t="s">
        <v>65</v>
      </c>
      <c r="O4" s="43" t="s">
        <v>65</v>
      </c>
      <c r="P4" s="38" t="s">
        <v>65</v>
      </c>
      <c r="Q4" s="43" t="s">
        <v>65</v>
      </c>
      <c r="R4" s="38" t="s">
        <v>65</v>
      </c>
      <c r="S4" s="43" t="s">
        <v>65</v>
      </c>
      <c r="T4" s="38" t="s">
        <v>65</v>
      </c>
      <c r="U4" s="43" t="s">
        <v>65</v>
      </c>
    </row>
    <row r="5">
      <c r="A5" s="170">
        <v>4.0</v>
      </c>
      <c r="B5" s="37" t="s">
        <v>98</v>
      </c>
      <c r="C5" s="38" t="s">
        <v>100</v>
      </c>
      <c r="D5" s="39">
        <v>46218.0</v>
      </c>
      <c r="E5" s="171">
        <v>0.9166666666666666</v>
      </c>
      <c r="F5" s="172">
        <f t="shared" si="1"/>
        <v>1.125</v>
      </c>
      <c r="G5" s="38"/>
      <c r="H5" s="38">
        <v>0.0</v>
      </c>
      <c r="I5" s="42" t="s">
        <v>63</v>
      </c>
      <c r="J5" s="38">
        <v>0.0</v>
      </c>
      <c r="K5" s="43"/>
      <c r="L5" s="173" t="s">
        <v>65</v>
      </c>
      <c r="M5" s="174" t="s">
        <v>65</v>
      </c>
      <c r="N5" s="173" t="s">
        <v>65</v>
      </c>
      <c r="O5" s="174" t="s">
        <v>65</v>
      </c>
      <c r="P5" s="173" t="s">
        <v>65</v>
      </c>
      <c r="Q5" s="174" t="s">
        <v>65</v>
      </c>
      <c r="R5" s="173" t="s">
        <v>65</v>
      </c>
      <c r="S5" s="174" t="s">
        <v>65</v>
      </c>
      <c r="T5" s="173" t="s">
        <v>65</v>
      </c>
      <c r="U5" s="174" t="s">
        <v>65</v>
      </c>
    </row>
    <row r="6">
      <c r="A6" s="175">
        <v>5.0</v>
      </c>
      <c r="B6" s="176" t="s">
        <v>101</v>
      </c>
      <c r="C6" s="177" t="s">
        <v>70</v>
      </c>
      <c r="D6" s="178">
        <v>46219.0</v>
      </c>
      <c r="E6" s="47">
        <v>0.5416666666666666</v>
      </c>
      <c r="F6" s="48">
        <v>0.75</v>
      </c>
      <c r="G6" s="176"/>
      <c r="H6" s="177">
        <v>0.0</v>
      </c>
      <c r="I6" s="179" t="s">
        <v>63</v>
      </c>
      <c r="J6" s="177">
        <v>0.0</v>
      </c>
      <c r="K6" s="180"/>
      <c r="L6" s="45" t="s">
        <v>65</v>
      </c>
      <c r="M6" s="50" t="s">
        <v>65</v>
      </c>
      <c r="N6" s="45" t="s">
        <v>65</v>
      </c>
      <c r="O6" s="50" t="s">
        <v>65</v>
      </c>
      <c r="P6" s="45" t="s">
        <v>65</v>
      </c>
      <c r="Q6" s="50" t="s">
        <v>65</v>
      </c>
      <c r="R6" s="45" t="s">
        <v>65</v>
      </c>
      <c r="S6" s="50" t="s">
        <v>65</v>
      </c>
      <c r="T6" s="45" t="s">
        <v>65</v>
      </c>
      <c r="U6" s="50" t="s">
        <v>65</v>
      </c>
    </row>
    <row r="7">
      <c r="A7" s="181">
        <v>6.0</v>
      </c>
      <c r="B7" s="44" t="s">
        <v>101</v>
      </c>
      <c r="C7" s="45" t="s">
        <v>72</v>
      </c>
      <c r="D7" s="46">
        <v>46219.0</v>
      </c>
      <c r="E7" s="47">
        <v>0.6666666666666666</v>
      </c>
      <c r="F7" s="48">
        <v>0.875</v>
      </c>
      <c r="G7" s="44"/>
      <c r="H7" s="45">
        <v>0.0</v>
      </c>
      <c r="I7" s="49" t="s">
        <v>63</v>
      </c>
      <c r="J7" s="45">
        <v>0.0</v>
      </c>
      <c r="K7" s="50"/>
      <c r="L7" s="45" t="s">
        <v>65</v>
      </c>
      <c r="M7" s="50" t="s">
        <v>65</v>
      </c>
      <c r="N7" s="45" t="s">
        <v>65</v>
      </c>
      <c r="O7" s="50" t="s">
        <v>65</v>
      </c>
      <c r="P7" s="45" t="s">
        <v>65</v>
      </c>
      <c r="Q7" s="50" t="s">
        <v>65</v>
      </c>
      <c r="R7" s="45" t="s">
        <v>65</v>
      </c>
      <c r="S7" s="50" t="s">
        <v>65</v>
      </c>
      <c r="T7" s="45" t="s">
        <v>65</v>
      </c>
      <c r="U7" s="50" t="s">
        <v>65</v>
      </c>
    </row>
    <row r="8">
      <c r="A8" s="181">
        <v>7.0</v>
      </c>
      <c r="B8" s="44" t="s">
        <v>102</v>
      </c>
      <c r="C8" s="45" t="s">
        <v>103</v>
      </c>
      <c r="D8" s="46">
        <v>46219.0</v>
      </c>
      <c r="E8" s="47">
        <v>0.7916666666666666</v>
      </c>
      <c r="F8" s="48">
        <v>1.0</v>
      </c>
      <c r="G8" s="44"/>
      <c r="H8" s="45">
        <v>0.0</v>
      </c>
      <c r="I8" s="49" t="s">
        <v>63</v>
      </c>
      <c r="J8" s="45">
        <v>0.0</v>
      </c>
      <c r="K8" s="50"/>
      <c r="L8" s="45" t="s">
        <v>65</v>
      </c>
      <c r="M8" s="50" t="s">
        <v>65</v>
      </c>
      <c r="N8" s="45" t="s">
        <v>65</v>
      </c>
      <c r="O8" s="50" t="s">
        <v>65</v>
      </c>
      <c r="P8" s="45" t="s">
        <v>65</v>
      </c>
      <c r="Q8" s="50" t="s">
        <v>65</v>
      </c>
      <c r="R8" s="45" t="s">
        <v>65</v>
      </c>
      <c r="S8" s="50" t="s">
        <v>65</v>
      </c>
      <c r="T8" s="45" t="s">
        <v>65</v>
      </c>
      <c r="U8" s="50" t="s">
        <v>65</v>
      </c>
    </row>
    <row r="9">
      <c r="A9" s="181">
        <v>8.0</v>
      </c>
      <c r="B9" s="44" t="s">
        <v>102</v>
      </c>
      <c r="C9" s="45" t="s">
        <v>104</v>
      </c>
      <c r="D9" s="46">
        <v>46219.0</v>
      </c>
      <c r="E9" s="182">
        <v>0.9166666666666666</v>
      </c>
      <c r="F9" s="183">
        <v>1.125</v>
      </c>
      <c r="G9" s="44"/>
      <c r="H9" s="45">
        <v>0.0</v>
      </c>
      <c r="I9" s="49" t="s">
        <v>63</v>
      </c>
      <c r="J9" s="45">
        <v>0.0</v>
      </c>
      <c r="K9" s="50"/>
      <c r="L9" s="184" t="s">
        <v>65</v>
      </c>
      <c r="M9" s="185" t="s">
        <v>65</v>
      </c>
      <c r="N9" s="184" t="s">
        <v>65</v>
      </c>
      <c r="O9" s="185" t="s">
        <v>65</v>
      </c>
      <c r="P9" s="184" t="s">
        <v>65</v>
      </c>
      <c r="Q9" s="185" t="s">
        <v>65</v>
      </c>
      <c r="R9" s="184" t="s">
        <v>65</v>
      </c>
      <c r="S9" s="185" t="s">
        <v>65</v>
      </c>
      <c r="T9" s="184" t="s">
        <v>65</v>
      </c>
      <c r="U9" s="185" t="s">
        <v>65</v>
      </c>
    </row>
    <row r="10">
      <c r="A10" s="186">
        <v>9.0</v>
      </c>
      <c r="B10" s="187" t="s">
        <v>105</v>
      </c>
      <c r="C10" s="188" t="s">
        <v>75</v>
      </c>
      <c r="D10" s="189">
        <v>46220.0</v>
      </c>
      <c r="E10" s="55">
        <v>0.5416666666666666</v>
      </c>
      <c r="F10" s="56">
        <v>0.75</v>
      </c>
      <c r="G10" s="190"/>
      <c r="H10" s="191">
        <v>0.0</v>
      </c>
      <c r="I10" s="192" t="s">
        <v>63</v>
      </c>
      <c r="J10" s="191">
        <v>0.0</v>
      </c>
      <c r="K10" s="193"/>
      <c r="L10" s="57" t="s">
        <v>65</v>
      </c>
      <c r="M10" s="59" t="s">
        <v>65</v>
      </c>
      <c r="N10" s="57" t="s">
        <v>65</v>
      </c>
      <c r="O10" s="59" t="s">
        <v>65</v>
      </c>
      <c r="P10" s="57" t="s">
        <v>65</v>
      </c>
      <c r="Q10" s="59" t="s">
        <v>65</v>
      </c>
      <c r="R10" s="57" t="s">
        <v>65</v>
      </c>
      <c r="S10" s="59" t="s">
        <v>65</v>
      </c>
      <c r="T10" s="57" t="s">
        <v>65</v>
      </c>
      <c r="U10" s="59" t="s">
        <v>65</v>
      </c>
    </row>
    <row r="11">
      <c r="A11" s="51">
        <v>10.0</v>
      </c>
      <c r="B11" s="194" t="s">
        <v>106</v>
      </c>
      <c r="C11" s="195" t="s">
        <v>78</v>
      </c>
      <c r="D11" s="54">
        <v>46220.0</v>
      </c>
      <c r="E11" s="55">
        <v>0.6666666666666666</v>
      </c>
      <c r="F11" s="56">
        <v>0.875</v>
      </c>
      <c r="G11" s="51"/>
      <c r="H11" s="57">
        <v>0.0</v>
      </c>
      <c r="I11" s="58" t="s">
        <v>63</v>
      </c>
      <c r="J11" s="57">
        <v>0.0</v>
      </c>
      <c r="K11" s="59"/>
      <c r="L11" s="57" t="s">
        <v>65</v>
      </c>
      <c r="M11" s="59" t="s">
        <v>65</v>
      </c>
      <c r="N11" s="57" t="s">
        <v>65</v>
      </c>
      <c r="O11" s="59" t="s">
        <v>65</v>
      </c>
      <c r="P11" s="57" t="s">
        <v>65</v>
      </c>
      <c r="Q11" s="59" t="s">
        <v>65</v>
      </c>
      <c r="R11" s="57" t="s">
        <v>65</v>
      </c>
      <c r="S11" s="59" t="s">
        <v>65</v>
      </c>
      <c r="T11" s="57" t="s">
        <v>65</v>
      </c>
      <c r="U11" s="59" t="s">
        <v>65</v>
      </c>
    </row>
    <row r="12">
      <c r="A12" s="51">
        <v>11.0</v>
      </c>
      <c r="B12" s="194" t="s">
        <v>105</v>
      </c>
      <c r="C12" s="195" t="s">
        <v>76</v>
      </c>
      <c r="D12" s="196">
        <v>46220.0</v>
      </c>
      <c r="E12" s="197">
        <v>0.7916666666666666</v>
      </c>
      <c r="F12" s="198">
        <v>1.0</v>
      </c>
      <c r="G12" s="51"/>
      <c r="H12" s="57">
        <v>0.0</v>
      </c>
      <c r="I12" s="58" t="s">
        <v>63</v>
      </c>
      <c r="J12" s="57">
        <v>0.0</v>
      </c>
      <c r="K12" s="59"/>
      <c r="L12" s="199" t="s">
        <v>65</v>
      </c>
      <c r="M12" s="200" t="s">
        <v>65</v>
      </c>
      <c r="N12" s="199" t="s">
        <v>65</v>
      </c>
      <c r="O12" s="200" t="s">
        <v>65</v>
      </c>
      <c r="P12" s="199" t="s">
        <v>65</v>
      </c>
      <c r="Q12" s="200" t="s">
        <v>65</v>
      </c>
      <c r="R12" s="199" t="s">
        <v>65</v>
      </c>
      <c r="S12" s="200" t="s">
        <v>65</v>
      </c>
      <c r="T12" s="199" t="s">
        <v>65</v>
      </c>
      <c r="U12" s="200" t="s">
        <v>65</v>
      </c>
    </row>
    <row r="13" ht="15.75" customHeight="1">
      <c r="A13" s="201">
        <v>12.0</v>
      </c>
      <c r="B13" s="202" t="s">
        <v>107</v>
      </c>
      <c r="C13" s="203" t="s">
        <v>80</v>
      </c>
      <c r="D13" s="65">
        <v>46221.0</v>
      </c>
      <c r="E13" s="66">
        <v>0.5416666666666666</v>
      </c>
      <c r="F13" s="67">
        <v>0.75</v>
      </c>
      <c r="G13" s="201"/>
      <c r="H13" s="204">
        <v>0.0</v>
      </c>
      <c r="I13" s="205" t="s">
        <v>63</v>
      </c>
      <c r="J13" s="204">
        <v>0.0</v>
      </c>
      <c r="K13" s="206"/>
      <c r="L13" s="68" t="s">
        <v>65</v>
      </c>
      <c r="M13" s="70" t="s">
        <v>65</v>
      </c>
      <c r="N13" s="68" t="s">
        <v>65</v>
      </c>
      <c r="O13" s="70" t="s">
        <v>65</v>
      </c>
      <c r="P13" s="68" t="s">
        <v>65</v>
      </c>
      <c r="Q13" s="70" t="s">
        <v>65</v>
      </c>
      <c r="R13" s="68" t="s">
        <v>65</v>
      </c>
      <c r="S13" s="70" t="s">
        <v>65</v>
      </c>
      <c r="T13" s="68" t="s">
        <v>65</v>
      </c>
      <c r="U13" s="70" t="s">
        <v>65</v>
      </c>
    </row>
    <row r="14" ht="15.75" customHeight="1">
      <c r="A14" s="62">
        <v>13.0</v>
      </c>
      <c r="B14" s="207" t="s">
        <v>108</v>
      </c>
      <c r="C14" s="71" t="s">
        <v>84</v>
      </c>
      <c r="D14" s="65">
        <v>46221.0</v>
      </c>
      <c r="E14" s="66">
        <v>0.6666666666666666</v>
      </c>
      <c r="F14" s="67">
        <v>0.875</v>
      </c>
      <c r="G14" s="62"/>
      <c r="H14" s="68">
        <v>0.0</v>
      </c>
      <c r="I14" s="69" t="s">
        <v>63</v>
      </c>
      <c r="J14" s="68">
        <v>0.0</v>
      </c>
      <c r="K14" s="70"/>
      <c r="L14" s="68" t="s">
        <v>65</v>
      </c>
      <c r="M14" s="70" t="s">
        <v>65</v>
      </c>
      <c r="N14" s="68" t="s">
        <v>65</v>
      </c>
      <c r="O14" s="70" t="s">
        <v>65</v>
      </c>
      <c r="P14" s="68" t="s">
        <v>65</v>
      </c>
      <c r="Q14" s="70" t="s">
        <v>65</v>
      </c>
      <c r="R14" s="68" t="s">
        <v>65</v>
      </c>
      <c r="S14" s="70" t="s">
        <v>65</v>
      </c>
      <c r="T14" s="68" t="s">
        <v>65</v>
      </c>
      <c r="U14" s="70" t="s">
        <v>65</v>
      </c>
    </row>
    <row r="15" ht="15.75" customHeight="1">
      <c r="A15" s="62">
        <v>14.0</v>
      </c>
      <c r="B15" s="208" t="s">
        <v>109</v>
      </c>
      <c r="C15" s="73" t="s">
        <v>86</v>
      </c>
      <c r="D15" s="65">
        <v>46221.0</v>
      </c>
      <c r="E15" s="74">
        <v>0.7916666666666666</v>
      </c>
      <c r="F15" s="209">
        <v>1.0</v>
      </c>
      <c r="G15" s="75"/>
      <c r="H15" s="76">
        <v>0.0</v>
      </c>
      <c r="I15" s="77" t="s">
        <v>63</v>
      </c>
      <c r="J15" s="76">
        <v>0.0</v>
      </c>
      <c r="K15" s="78"/>
      <c r="L15" s="76" t="s">
        <v>65</v>
      </c>
      <c r="M15" s="78" t="s">
        <v>65</v>
      </c>
      <c r="N15" s="76" t="s">
        <v>65</v>
      </c>
      <c r="O15" s="78" t="s">
        <v>65</v>
      </c>
      <c r="P15" s="76" t="s">
        <v>65</v>
      </c>
      <c r="Q15" s="78" t="s">
        <v>65</v>
      </c>
      <c r="R15" s="76" t="s">
        <v>65</v>
      </c>
      <c r="S15" s="78" t="s">
        <v>65</v>
      </c>
      <c r="T15" s="76" t="s">
        <v>65</v>
      </c>
      <c r="U15" s="78" t="s">
        <v>65</v>
      </c>
    </row>
    <row r="16">
      <c r="A16" s="79">
        <v>15.0</v>
      </c>
      <c r="B16" s="210" t="s">
        <v>110</v>
      </c>
      <c r="C16" s="81" t="s">
        <v>90</v>
      </c>
      <c r="D16" s="82">
        <v>46222.0</v>
      </c>
      <c r="E16" s="83">
        <v>0.8333333333333334</v>
      </c>
      <c r="F16" s="211">
        <v>0.041666666666666664</v>
      </c>
      <c r="G16" s="79"/>
      <c r="H16" s="85">
        <v>0.0</v>
      </c>
      <c r="I16" s="86" t="s">
        <v>63</v>
      </c>
      <c r="J16" s="85">
        <v>0.0</v>
      </c>
      <c r="K16" s="87"/>
      <c r="L16" s="85" t="s">
        <v>65</v>
      </c>
      <c r="M16" s="87" t="s">
        <v>65</v>
      </c>
      <c r="N16" s="85" t="s">
        <v>65</v>
      </c>
      <c r="O16" s="87" t="s">
        <v>65</v>
      </c>
      <c r="P16" s="85" t="s">
        <v>65</v>
      </c>
      <c r="Q16" s="87" t="s">
        <v>65</v>
      </c>
      <c r="R16" s="85" t="s">
        <v>65</v>
      </c>
      <c r="S16" s="87" t="s">
        <v>65</v>
      </c>
      <c r="T16" s="85" t="s">
        <v>65</v>
      </c>
      <c r="U16" s="87" t="s">
        <v>65</v>
      </c>
    </row>
  </sheetData>
  <mergeCells count="6">
    <mergeCell ref="H1:J1"/>
    <mergeCell ref="L1:M1"/>
    <mergeCell ref="N1:O1"/>
    <mergeCell ref="P1:Q1"/>
    <mergeCell ref="R1:S1"/>
    <mergeCell ref="T1:U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0"/>
    <col customWidth="1" min="2" max="2" width="18.13"/>
    <col customWidth="1" min="3" max="3" width="6.0"/>
    <col customWidth="1" min="4" max="4" width="12.63"/>
    <col customWidth="1" min="5" max="6" width="11.0"/>
    <col customWidth="1" min="7" max="7" width="19.0"/>
    <col customWidth="1" min="8" max="8" width="4.25"/>
    <col customWidth="1" min="9" max="9" width="4.0"/>
    <col customWidth="1" min="10" max="10" width="4.5"/>
    <col customWidth="1" min="11" max="11" width="17.5"/>
    <col customWidth="1" min="12" max="12" width="4.25"/>
    <col customWidth="1" min="13" max="21" width="4.13"/>
  </cols>
  <sheetData>
    <row r="1">
      <c r="A1" s="29" t="s">
        <v>46</v>
      </c>
      <c r="B1" s="30" t="s">
        <v>47</v>
      </c>
      <c r="C1" s="31" t="s">
        <v>48</v>
      </c>
      <c r="D1" s="32" t="s">
        <v>49</v>
      </c>
      <c r="E1" s="33" t="s">
        <v>50</v>
      </c>
      <c r="F1" s="33" t="s">
        <v>51</v>
      </c>
      <c r="G1" s="34" t="s">
        <v>52</v>
      </c>
      <c r="H1" s="35" t="s">
        <v>53</v>
      </c>
      <c r="K1" s="36" t="s">
        <v>54</v>
      </c>
      <c r="L1" s="35" t="s">
        <v>55</v>
      </c>
      <c r="N1" s="35" t="s">
        <v>56</v>
      </c>
      <c r="P1" s="35" t="s">
        <v>57</v>
      </c>
      <c r="R1" s="35" t="s">
        <v>58</v>
      </c>
      <c r="T1" s="35" t="s">
        <v>59</v>
      </c>
    </row>
    <row r="2">
      <c r="A2" s="162">
        <v>1.0</v>
      </c>
      <c r="B2" s="163" t="s">
        <v>98</v>
      </c>
      <c r="C2" s="164" t="s">
        <v>61</v>
      </c>
      <c r="D2" s="165">
        <v>46134.0</v>
      </c>
      <c r="E2" s="166">
        <v>0.5416666666666666</v>
      </c>
      <c r="F2" s="212">
        <f t="shared" ref="F2:F9" si="1">E2+4/24</f>
        <v>0.7083333333</v>
      </c>
      <c r="G2" s="163" t="s">
        <v>111</v>
      </c>
      <c r="H2" s="164">
        <v>2.0</v>
      </c>
      <c r="I2" s="168" t="s">
        <v>63</v>
      </c>
      <c r="J2" s="164">
        <v>0.0</v>
      </c>
      <c r="K2" s="169" t="s">
        <v>112</v>
      </c>
      <c r="L2" s="164">
        <v>13.0</v>
      </c>
      <c r="M2" s="169">
        <v>6.0</v>
      </c>
      <c r="N2" s="164">
        <v>13.0</v>
      </c>
      <c r="O2" s="169">
        <v>7.0</v>
      </c>
      <c r="P2" s="164" t="s">
        <v>65</v>
      </c>
      <c r="Q2" s="169" t="s">
        <v>65</v>
      </c>
      <c r="R2" s="164" t="s">
        <v>65</v>
      </c>
      <c r="S2" s="169" t="s">
        <v>65</v>
      </c>
      <c r="T2" s="164" t="s">
        <v>65</v>
      </c>
      <c r="U2" s="169" t="s">
        <v>65</v>
      </c>
    </row>
    <row r="3">
      <c r="A3" s="170">
        <v>2.0</v>
      </c>
      <c r="B3" s="37" t="s">
        <v>98</v>
      </c>
      <c r="C3" s="38" t="s">
        <v>66</v>
      </c>
      <c r="D3" s="39">
        <v>46134.0</v>
      </c>
      <c r="E3" s="40">
        <v>0.6666666666666666</v>
      </c>
      <c r="F3" s="213">
        <f t="shared" si="1"/>
        <v>0.8333333333</v>
      </c>
      <c r="G3" s="37" t="s">
        <v>113</v>
      </c>
      <c r="H3" s="38">
        <v>1.0</v>
      </c>
      <c r="I3" s="42" t="s">
        <v>63</v>
      </c>
      <c r="J3" s="38">
        <v>2.0</v>
      </c>
      <c r="K3" s="43" t="s">
        <v>114</v>
      </c>
      <c r="L3" s="38">
        <v>9.0</v>
      </c>
      <c r="M3" s="43">
        <v>13.0</v>
      </c>
      <c r="N3" s="38">
        <v>13.0</v>
      </c>
      <c r="O3" s="43">
        <v>9.0</v>
      </c>
      <c r="P3" s="38">
        <v>13.0</v>
      </c>
      <c r="Q3" s="43">
        <v>16.0</v>
      </c>
      <c r="R3" s="38" t="s">
        <v>65</v>
      </c>
      <c r="S3" s="43" t="s">
        <v>65</v>
      </c>
      <c r="T3" s="38" t="s">
        <v>65</v>
      </c>
      <c r="U3" s="43" t="s">
        <v>65</v>
      </c>
    </row>
    <row r="4">
      <c r="A4" s="170">
        <v>3.0</v>
      </c>
      <c r="B4" s="37" t="s">
        <v>98</v>
      </c>
      <c r="C4" s="38" t="s">
        <v>99</v>
      </c>
      <c r="D4" s="39">
        <v>46134.0</v>
      </c>
      <c r="E4" s="40">
        <v>0.7916666666666666</v>
      </c>
      <c r="F4" s="213">
        <f t="shared" si="1"/>
        <v>0.9583333333</v>
      </c>
      <c r="G4" s="37" t="s">
        <v>115</v>
      </c>
      <c r="H4" s="38">
        <v>2.0</v>
      </c>
      <c r="I4" s="42" t="s">
        <v>63</v>
      </c>
      <c r="J4" s="38">
        <v>1.0</v>
      </c>
      <c r="K4" s="43" t="s">
        <v>116</v>
      </c>
      <c r="L4" s="38">
        <v>16.0</v>
      </c>
      <c r="M4" s="43">
        <v>13.0</v>
      </c>
      <c r="N4" s="38">
        <v>6.0</v>
      </c>
      <c r="O4" s="43">
        <v>13.0</v>
      </c>
      <c r="P4" s="38">
        <v>13.0</v>
      </c>
      <c r="Q4" s="43">
        <v>2.0</v>
      </c>
      <c r="R4" s="38" t="s">
        <v>65</v>
      </c>
      <c r="S4" s="43" t="s">
        <v>65</v>
      </c>
      <c r="T4" s="38" t="s">
        <v>65</v>
      </c>
      <c r="U4" s="43" t="s">
        <v>65</v>
      </c>
    </row>
    <row r="5">
      <c r="A5" s="170">
        <v>4.0</v>
      </c>
      <c r="B5" s="37" t="s">
        <v>98</v>
      </c>
      <c r="C5" s="38" t="s">
        <v>100</v>
      </c>
      <c r="D5" s="39">
        <v>46134.0</v>
      </c>
      <c r="E5" s="171">
        <v>0.9166666666666666</v>
      </c>
      <c r="F5" s="214">
        <f t="shared" si="1"/>
        <v>1.083333333</v>
      </c>
      <c r="G5" s="37" t="s">
        <v>117</v>
      </c>
      <c r="H5" s="38">
        <v>2.0</v>
      </c>
      <c r="I5" s="42" t="s">
        <v>63</v>
      </c>
      <c r="J5" s="38">
        <v>0.0</v>
      </c>
      <c r="K5" s="43" t="s">
        <v>118</v>
      </c>
      <c r="L5" s="173">
        <v>13.0</v>
      </c>
      <c r="M5" s="174">
        <v>1.0</v>
      </c>
      <c r="N5" s="173">
        <v>13.0</v>
      </c>
      <c r="O5" s="174">
        <v>3.0</v>
      </c>
      <c r="P5" s="173" t="s">
        <v>65</v>
      </c>
      <c r="Q5" s="174" t="s">
        <v>65</v>
      </c>
      <c r="R5" s="173" t="s">
        <v>65</v>
      </c>
      <c r="S5" s="174" t="s">
        <v>65</v>
      </c>
      <c r="T5" s="173" t="s">
        <v>65</v>
      </c>
      <c r="U5" s="174" t="s">
        <v>65</v>
      </c>
    </row>
    <row r="6">
      <c r="A6" s="175">
        <v>5.0</v>
      </c>
      <c r="B6" s="176" t="s">
        <v>101</v>
      </c>
      <c r="C6" s="177" t="s">
        <v>70</v>
      </c>
      <c r="D6" s="178">
        <v>46135.0</v>
      </c>
      <c r="E6" s="47">
        <v>0.5416666666666666</v>
      </c>
      <c r="F6" s="48">
        <f t="shared" si="1"/>
        <v>0.7083333333</v>
      </c>
      <c r="G6" s="176" t="s">
        <v>112</v>
      </c>
      <c r="H6" s="177"/>
      <c r="I6" s="179" t="s">
        <v>63</v>
      </c>
      <c r="J6" s="177"/>
      <c r="K6" s="180" t="s">
        <v>113</v>
      </c>
      <c r="L6" s="45"/>
      <c r="M6" s="50"/>
      <c r="N6" s="45"/>
      <c r="O6" s="50"/>
      <c r="P6" s="45"/>
      <c r="Q6" s="50"/>
      <c r="R6" s="45"/>
      <c r="S6" s="50"/>
      <c r="T6" s="45"/>
      <c r="U6" s="50"/>
    </row>
    <row r="7">
      <c r="A7" s="181">
        <v>6.0</v>
      </c>
      <c r="B7" s="44" t="s">
        <v>101</v>
      </c>
      <c r="C7" s="45" t="s">
        <v>72</v>
      </c>
      <c r="D7" s="46">
        <v>46135.0</v>
      </c>
      <c r="E7" s="47">
        <v>0.6666666666666666</v>
      </c>
      <c r="F7" s="48">
        <f t="shared" si="1"/>
        <v>0.8333333333</v>
      </c>
      <c r="G7" s="44" t="s">
        <v>116</v>
      </c>
      <c r="H7" s="45"/>
      <c r="I7" s="49" t="s">
        <v>63</v>
      </c>
      <c r="J7" s="45"/>
      <c r="K7" s="50" t="s">
        <v>118</v>
      </c>
      <c r="L7" s="45"/>
      <c r="M7" s="50"/>
      <c r="N7" s="45"/>
      <c r="O7" s="50"/>
      <c r="P7" s="45"/>
      <c r="Q7" s="50"/>
      <c r="R7" s="45"/>
      <c r="S7" s="50"/>
      <c r="T7" s="45"/>
      <c r="U7" s="50"/>
    </row>
    <row r="8">
      <c r="A8" s="181">
        <v>7.0</v>
      </c>
      <c r="B8" s="44" t="s">
        <v>102</v>
      </c>
      <c r="C8" s="45" t="s">
        <v>103</v>
      </c>
      <c r="D8" s="46">
        <v>46135.0</v>
      </c>
      <c r="E8" s="47">
        <v>0.7916666666666666</v>
      </c>
      <c r="F8" s="48">
        <f t="shared" si="1"/>
        <v>0.9583333333</v>
      </c>
      <c r="G8" s="44" t="s">
        <v>111</v>
      </c>
      <c r="H8" s="45"/>
      <c r="I8" s="49" t="s">
        <v>63</v>
      </c>
      <c r="J8" s="45"/>
      <c r="K8" s="50" t="s">
        <v>114</v>
      </c>
      <c r="L8" s="45"/>
      <c r="M8" s="50"/>
      <c r="N8" s="45"/>
      <c r="O8" s="50"/>
      <c r="P8" s="45"/>
      <c r="Q8" s="50"/>
      <c r="R8" s="45"/>
      <c r="S8" s="50"/>
      <c r="T8" s="45"/>
      <c r="U8" s="50"/>
    </row>
    <row r="9">
      <c r="A9" s="181">
        <v>8.0</v>
      </c>
      <c r="B9" s="44" t="s">
        <v>102</v>
      </c>
      <c r="C9" s="45" t="s">
        <v>104</v>
      </c>
      <c r="D9" s="46">
        <v>46135.0</v>
      </c>
      <c r="E9" s="182">
        <v>0.9166666666666666</v>
      </c>
      <c r="F9" s="183">
        <f t="shared" si="1"/>
        <v>1.083333333</v>
      </c>
      <c r="G9" s="44" t="s">
        <v>115</v>
      </c>
      <c r="H9" s="45"/>
      <c r="I9" s="49" t="s">
        <v>63</v>
      </c>
      <c r="J9" s="45"/>
      <c r="K9" s="50" t="s">
        <v>117</v>
      </c>
      <c r="L9" s="184"/>
      <c r="M9" s="185"/>
      <c r="N9" s="184"/>
      <c r="O9" s="185"/>
      <c r="P9" s="184"/>
      <c r="Q9" s="185"/>
      <c r="R9" s="184"/>
      <c r="S9" s="185"/>
      <c r="T9" s="184"/>
      <c r="U9" s="185"/>
    </row>
    <row r="10">
      <c r="A10" s="186">
        <v>9.0</v>
      </c>
      <c r="B10" s="190" t="s">
        <v>105</v>
      </c>
      <c r="C10" s="191" t="s">
        <v>75</v>
      </c>
      <c r="D10" s="215">
        <v>46136.0</v>
      </c>
      <c r="E10" s="216">
        <v>0.5416666666666666</v>
      </c>
      <c r="F10" s="217">
        <v>0.7083333333333333</v>
      </c>
      <c r="G10" s="190"/>
      <c r="H10" s="191"/>
      <c r="I10" s="192" t="s">
        <v>63</v>
      </c>
      <c r="J10" s="191"/>
      <c r="K10" s="193"/>
      <c r="L10" s="57"/>
      <c r="M10" s="59"/>
      <c r="N10" s="57"/>
      <c r="O10" s="59"/>
      <c r="P10" s="57"/>
      <c r="Q10" s="59"/>
      <c r="R10" s="57"/>
      <c r="S10" s="59"/>
      <c r="T10" s="57"/>
      <c r="U10" s="59"/>
    </row>
    <row r="11">
      <c r="A11" s="51">
        <v>10.0</v>
      </c>
      <c r="B11" s="51" t="s">
        <v>105</v>
      </c>
      <c r="C11" s="57" t="s">
        <v>76</v>
      </c>
      <c r="D11" s="218">
        <v>46136.0</v>
      </c>
      <c r="E11" s="216">
        <v>0.6666666666666666</v>
      </c>
      <c r="F11" s="217">
        <v>0.8333333333333333</v>
      </c>
      <c r="G11" s="51"/>
      <c r="H11" s="57"/>
      <c r="I11" s="58" t="s">
        <v>63</v>
      </c>
      <c r="J11" s="57"/>
      <c r="K11" s="59"/>
      <c r="L11" s="57"/>
      <c r="M11" s="59"/>
      <c r="N11" s="57"/>
      <c r="O11" s="59"/>
      <c r="P11" s="57"/>
      <c r="Q11" s="59"/>
      <c r="R11" s="57"/>
      <c r="S11" s="59"/>
      <c r="T11" s="57"/>
      <c r="U11" s="59"/>
    </row>
    <row r="12">
      <c r="A12" s="51">
        <v>11.0</v>
      </c>
      <c r="B12" s="51" t="s">
        <v>106</v>
      </c>
      <c r="C12" s="57" t="s">
        <v>78</v>
      </c>
      <c r="D12" s="218">
        <v>46136.0</v>
      </c>
      <c r="E12" s="219">
        <v>0.7916666666666666</v>
      </c>
      <c r="F12" s="220">
        <v>0.9583333333333333</v>
      </c>
      <c r="G12" s="51"/>
      <c r="H12" s="57"/>
      <c r="I12" s="58" t="s">
        <v>63</v>
      </c>
      <c r="J12" s="57"/>
      <c r="K12" s="59"/>
      <c r="L12" s="199"/>
      <c r="M12" s="200"/>
      <c r="N12" s="199"/>
      <c r="O12" s="200"/>
      <c r="P12" s="199"/>
      <c r="Q12" s="200"/>
      <c r="R12" s="199"/>
      <c r="S12" s="200"/>
      <c r="T12" s="199"/>
      <c r="U12" s="200"/>
    </row>
    <row r="13">
      <c r="A13" s="201">
        <v>12.0</v>
      </c>
      <c r="B13" s="201" t="s">
        <v>107</v>
      </c>
      <c r="C13" s="204" t="s">
        <v>80</v>
      </c>
      <c r="D13" s="221">
        <v>46137.0</v>
      </c>
      <c r="E13" s="222">
        <v>0.5416666666666666</v>
      </c>
      <c r="F13" s="223">
        <v>0.7083333333333333</v>
      </c>
      <c r="G13" s="201"/>
      <c r="H13" s="204"/>
      <c r="I13" s="205" t="s">
        <v>63</v>
      </c>
      <c r="J13" s="204"/>
      <c r="K13" s="206"/>
      <c r="L13" s="68"/>
      <c r="M13" s="70"/>
      <c r="N13" s="68"/>
      <c r="O13" s="70"/>
      <c r="P13" s="68"/>
      <c r="Q13" s="70"/>
      <c r="R13" s="68"/>
      <c r="S13" s="70"/>
      <c r="T13" s="68"/>
      <c r="U13" s="70"/>
    </row>
    <row r="14">
      <c r="A14" s="62">
        <v>13.0</v>
      </c>
      <c r="B14" s="62" t="s">
        <v>108</v>
      </c>
      <c r="C14" s="70" t="s">
        <v>84</v>
      </c>
      <c r="D14" s="224">
        <v>46137.0</v>
      </c>
      <c r="E14" s="222">
        <v>0.6666666666666666</v>
      </c>
      <c r="F14" s="223">
        <v>0.8333333333333333</v>
      </c>
      <c r="G14" s="62"/>
      <c r="H14" s="68"/>
      <c r="I14" s="69" t="s">
        <v>63</v>
      </c>
      <c r="J14" s="68"/>
      <c r="K14" s="70"/>
      <c r="L14" s="68"/>
      <c r="M14" s="70"/>
      <c r="N14" s="68"/>
      <c r="O14" s="70"/>
      <c r="P14" s="68"/>
      <c r="Q14" s="70"/>
      <c r="R14" s="68"/>
      <c r="S14" s="70"/>
      <c r="T14" s="68"/>
      <c r="U14" s="70"/>
    </row>
    <row r="15">
      <c r="A15" s="62">
        <v>14.0</v>
      </c>
      <c r="B15" s="75" t="s">
        <v>109</v>
      </c>
      <c r="C15" s="78" t="s">
        <v>86</v>
      </c>
      <c r="D15" s="224">
        <v>46137.0</v>
      </c>
      <c r="E15" s="225">
        <v>0.75</v>
      </c>
      <c r="F15" s="226">
        <v>0.9166666666666666</v>
      </c>
      <c r="G15" s="75"/>
      <c r="H15" s="76"/>
      <c r="I15" s="77" t="s">
        <v>63</v>
      </c>
      <c r="J15" s="76"/>
      <c r="K15" s="78"/>
      <c r="L15" s="76"/>
      <c r="M15" s="78"/>
      <c r="N15" s="76"/>
      <c r="O15" s="78"/>
      <c r="P15" s="76"/>
      <c r="Q15" s="78"/>
      <c r="R15" s="76"/>
      <c r="S15" s="78"/>
      <c r="T15" s="76"/>
      <c r="U15" s="78"/>
    </row>
    <row r="16">
      <c r="A16" s="79">
        <v>15.0</v>
      </c>
      <c r="B16" s="227" t="s">
        <v>110</v>
      </c>
      <c r="C16" s="228" t="s">
        <v>90</v>
      </c>
      <c r="D16" s="229">
        <v>46138.0</v>
      </c>
      <c r="E16" s="230">
        <v>0.6666666666666666</v>
      </c>
      <c r="F16" s="231">
        <v>0.8333333333333333</v>
      </c>
      <c r="G16" s="79"/>
      <c r="H16" s="85"/>
      <c r="I16" s="86" t="s">
        <v>63</v>
      </c>
      <c r="J16" s="85"/>
      <c r="K16" s="87"/>
      <c r="L16" s="85"/>
      <c r="M16" s="87"/>
      <c r="N16" s="85"/>
      <c r="O16" s="87"/>
      <c r="P16" s="85"/>
      <c r="Q16" s="87"/>
      <c r="R16" s="232"/>
      <c r="S16" s="233"/>
      <c r="T16" s="232"/>
      <c r="U16" s="233"/>
    </row>
  </sheetData>
  <mergeCells count="6">
    <mergeCell ref="H1:J1"/>
    <mergeCell ref="L1:M1"/>
    <mergeCell ref="N1:O1"/>
    <mergeCell ref="P1:Q1"/>
    <mergeCell ref="R1:S1"/>
    <mergeCell ref="T1:U1"/>
  </mergeCells>
  <drawing r:id="rId1"/>
</worksheet>
</file>