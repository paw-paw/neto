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urnament Information" sheetId="1" r:id="rId5"/>
    <sheet state="visible" name="Schedule" sheetId="2" r:id="rId6"/>
    <sheet state="hidden" name="Schedule - Bronze Bracket" sheetId="3" r:id="rId7"/>
    <sheet state="hidden" name="Schedule SE32" sheetId="4" r:id="rId8"/>
    <sheet state="hidden" name="Swiss 24 -&gt; SE12" sheetId="5" r:id="rId9"/>
    <sheet state="visible" name="Qualification Details" sheetId="6" r:id="rId10"/>
    <sheet state="visible" name="Visualization" sheetId="7" r:id="rId11"/>
    <sheet state="hidden" name="TO UPDATE Visualization" sheetId="8" r:id="rId12"/>
    <sheet state="visible" name="Participant Information" sheetId="9" r:id="rId13"/>
    <sheet state="visible" name="Participant Rosters" sheetId="10" r:id="rId14"/>
    <sheet state="visible" name="Make Public" sheetId="11" r:id="rId15"/>
    <sheet state="hidden" name="Visualization v2" sheetId="12" r:id="rId16"/>
    <sheet state="hidden" name="stage" sheetId="13" r:id="rId17"/>
    <sheet state="hidden" name="Stage import" sheetId="14" r:id="rId18"/>
  </sheets>
  <definedNames/>
  <calcPr/>
</workbook>
</file>

<file path=xl/sharedStrings.xml><?xml version="1.0" encoding="utf-8"?>
<sst xmlns="http://schemas.openxmlformats.org/spreadsheetml/2006/main" count="698" uniqueCount="142">
  <si>
    <t>Phase 1</t>
  </si>
  <si>
    <t>Phase 2</t>
  </si>
  <si>
    <t>Playoffs</t>
  </si>
  <si>
    <t>Tournament Day #</t>
  </si>
  <si>
    <t>Date</t>
  </si>
  <si>
    <t>Week</t>
  </si>
  <si>
    <t>Stream</t>
  </si>
  <si>
    <t>Best of X</t>
  </si>
  <si>
    <t>Start Time</t>
  </si>
  <si>
    <t>Round</t>
  </si>
  <si>
    <t>Match</t>
  </si>
  <si>
    <t>Comment</t>
  </si>
  <si>
    <t>- PUBLIC-
- AST -</t>
  </si>
  <si>
    <t>- PUBLIC-
- CEST -</t>
  </si>
  <si>
    <t>- PUBLIC-
- EDT -</t>
  </si>
  <si>
    <t>- PUBLIC-
- BRT -</t>
  </si>
  <si>
    <t>- PUBLIC-
- CST -</t>
  </si>
  <si>
    <t>- PUBLIC-
- AEST-</t>
  </si>
  <si>
    <t>-6</t>
  </si>
  <si>
    <t>+5</t>
  </si>
  <si>
    <t>+7</t>
  </si>
  <si>
    <t>Stream A</t>
  </si>
  <si>
    <t>Bo2</t>
  </si>
  <si>
    <t>Group A - Round Robin R1 #1</t>
  </si>
  <si>
    <t>Ro32</t>
  </si>
  <si>
    <t>Stream B</t>
  </si>
  <si>
    <t>Group A - Round Robin R1 #2</t>
  </si>
  <si>
    <t>Stream C</t>
  </si>
  <si>
    <t>Group A - Round Robin R1 #3</t>
  </si>
  <si>
    <t>Group B - Round Robin R1 #1</t>
  </si>
  <si>
    <t>Group B - Round Robin R1 #2</t>
  </si>
  <si>
    <t>Group B - Round Robin R1 #3</t>
  </si>
  <si>
    <t>Group C - Round Robin R1 #1</t>
  </si>
  <si>
    <t>Group C - Round Robin R1 #2</t>
  </si>
  <si>
    <t>Group C - Round Robin R1 #3</t>
  </si>
  <si>
    <t>Group D - Round Robin R1 #1</t>
  </si>
  <si>
    <t>Group D - Round Robin R1 #2</t>
  </si>
  <si>
    <t>Group D - Round Robin R1 #3</t>
  </si>
  <si>
    <t>Group A - Round Robin R2 #1</t>
  </si>
  <si>
    <t>Group A - Round Robin R2 #2</t>
  </si>
  <si>
    <t>Group A - Round Robin R2 #3</t>
  </si>
  <si>
    <t>Group B - Round Robin R2 #1</t>
  </si>
  <si>
    <t>Group B - Round Robin R2 #2</t>
  </si>
  <si>
    <t>Group B - Round Robin R2 #3</t>
  </si>
  <si>
    <t>Group C - Round Robin R2 #1</t>
  </si>
  <si>
    <t>Group C - Round Robin R2 #2</t>
  </si>
  <si>
    <t>Group C - Round Robin R2 #3</t>
  </si>
  <si>
    <t>Ro16</t>
  </si>
  <si>
    <t>Group D - Round Robin R2 #1</t>
  </si>
  <si>
    <t>Group D - Round Robin R2 #2</t>
  </si>
  <si>
    <t>Group D - Round Robin R2 #3</t>
  </si>
  <si>
    <t>Group A - Round Robin R3 #1</t>
  </si>
  <si>
    <t>Group A - Round Robin R3 #2</t>
  </si>
  <si>
    <t>Group A - Round Robin R3 #3</t>
  </si>
  <si>
    <t>Group B - Round Robin R3 #1</t>
  </si>
  <si>
    <t>Group B - Round Robin R3 #2</t>
  </si>
  <si>
    <t>Group B - Round Robin R3 #3</t>
  </si>
  <si>
    <t>Group C - Round Robin R3 #1</t>
  </si>
  <si>
    <t>Group C - Round Robin R3 #2</t>
  </si>
  <si>
    <t>Group C - Round Robin R3 #3</t>
  </si>
  <si>
    <t>Ro8</t>
  </si>
  <si>
    <t>Group D - Round Robin R3 #1</t>
  </si>
  <si>
    <t>Group D - Round Robin R3 #2</t>
  </si>
  <si>
    <t>Group D - Round Robin R3 #3</t>
  </si>
  <si>
    <t>Ro4</t>
  </si>
  <si>
    <t>Group A - Round Robin R4 #1</t>
  </si>
  <si>
    <t>Group A - Round Robin R4 #2</t>
  </si>
  <si>
    <t>Bo3</t>
  </si>
  <si>
    <t>Swiss Round #1</t>
  </si>
  <si>
    <t>Group A - Round Robin R4 #3</t>
  </si>
  <si>
    <t>3rd place</t>
  </si>
  <si>
    <t>Group B - Round Robin R4 #1</t>
  </si>
  <si>
    <t>Final</t>
  </si>
  <si>
    <t>Group B - Round Robin R4 #2</t>
  </si>
  <si>
    <t>Group B - Round Robin R4 #3</t>
  </si>
  <si>
    <t>Group C - Round Robin R4 #1</t>
  </si>
  <si>
    <t>Stream D</t>
  </si>
  <si>
    <t>Group C - Round Robin R4 #2</t>
  </si>
  <si>
    <t>Group C - Round Robin R4 #3</t>
  </si>
  <si>
    <t>Group D - Round Robin R4 #1</t>
  </si>
  <si>
    <t>Group D - Round Robin R4 #2</t>
  </si>
  <si>
    <t>Group D - Round Robin R4 #3</t>
  </si>
  <si>
    <t>Group A - Round Robin R5 #1</t>
  </si>
  <si>
    <t>Group A - Round Robin R5 #2</t>
  </si>
  <si>
    <t>Group A - Round Robin R5 #3</t>
  </si>
  <si>
    <t>Group B - Round Robin R5 #1</t>
  </si>
  <si>
    <t>Group B - Round Robin R5 #2</t>
  </si>
  <si>
    <t>Group B - Round Robin R5 #3</t>
  </si>
  <si>
    <t>Bo1/Bo3</t>
  </si>
  <si>
    <t>Tiebreaker spot</t>
  </si>
  <si>
    <t>Group C - Round Robin R5 #1</t>
  </si>
  <si>
    <t>Group C - Round Robin R5 #2</t>
  </si>
  <si>
    <t>Swiss Round #2</t>
  </si>
  <si>
    <t>Group C - Round Robin R5 #3</t>
  </si>
  <si>
    <t>Group D - Round Robin R5 #1</t>
  </si>
  <si>
    <t>Group D - Round Robin R5 #2</t>
  </si>
  <si>
    <t>Group D - Round Robin R5 #3</t>
  </si>
  <si>
    <t>Survival Round 1 - 4v3 #1</t>
  </si>
  <si>
    <t>Survival Round 1 - 4v3 #2</t>
  </si>
  <si>
    <t>Survival Round 1 - 4v3 #3</t>
  </si>
  <si>
    <t>Survival Round 1 - 4v3 #4</t>
  </si>
  <si>
    <t>Survival Round 2 - v2 #1</t>
  </si>
  <si>
    <t>Survival Round 2 - v2 #2</t>
  </si>
  <si>
    <t>Survival Round 2 - v2 #3</t>
  </si>
  <si>
    <t>Survival Round 2 - v2 #4</t>
  </si>
  <si>
    <t>Playoffs - Quarterfinals #1</t>
  </si>
  <si>
    <t>Playoffs - Quarterfinals #2</t>
  </si>
  <si>
    <t>Swiss Round #3</t>
  </si>
  <si>
    <t>Playoffs - Quarterfinals #3</t>
  </si>
  <si>
    <t>Playoffs - Quarterfinals #4</t>
  </si>
  <si>
    <t>.</t>
  </si>
  <si>
    <t>Lower Bracket Round 1 #1</t>
  </si>
  <si>
    <t>Lower Bracket Round 1 #2</t>
  </si>
  <si>
    <t>Semifinals #1</t>
  </si>
  <si>
    <t>Semifinals #2</t>
  </si>
  <si>
    <t>Lower Bracket Round 2 #1</t>
  </si>
  <si>
    <t>Swiss Round #4</t>
  </si>
  <si>
    <t>Lower Bracket Round 2 #2</t>
  </si>
  <si>
    <t>Bo5</t>
  </si>
  <si>
    <t>Grand Final</t>
  </si>
  <si>
    <t>Swiss Round #5</t>
  </si>
  <si>
    <t>Swiss Round #6</t>
  </si>
  <si>
    <t>Tiebreakers (if needed)</t>
  </si>
  <si>
    <t>tiebreaker day</t>
  </si>
  <si>
    <t>Ro12</t>
  </si>
  <si>
    <t>Quarterfinal #1</t>
  </si>
  <si>
    <t>Quarterfinal #2</t>
  </si>
  <si>
    <t>Quarterfinal #3</t>
  </si>
  <si>
    <t>Quarterfinal #4</t>
  </si>
  <si>
    <t>Semifinal #1</t>
  </si>
  <si>
    <t>Internal Sheet Link</t>
  </si>
  <si>
    <t>https://docs.google.com/spreadsheets/d/1ZjwBbHTBn1uXDyQciLDU7MbwxryEGmTeQT3XQ2ZJ4Bg/edit?gid=1282797434#gid=1282797434</t>
  </si>
  <si>
    <t>Make public page</t>
  </si>
  <si>
    <t>Info</t>
  </si>
  <si>
    <t>Yes / No</t>
  </si>
  <si>
    <t>Group Stage</t>
  </si>
  <si>
    <t>Finals</t>
  </si>
  <si>
    <t>Group A</t>
  </si>
  <si>
    <t>Single Group</t>
  </si>
  <si>
    <t>Top16 overall to Finals</t>
  </si>
  <si>
    <t>Group B</t>
  </si>
  <si>
    <t>Group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</si>
</sst>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m&quot; &quot;d"/>
    <numFmt numFmtId="165" formatCode="[$$]#,##0"/>
    <numFmt numFmtId="166" formatCode="d mmmm yyyy"/>
    <numFmt numFmtId="167" formatCode="mmmm d"/>
    <numFmt numFmtId="168" formatCode="d mmmm"/>
    <numFmt numFmtId="169" formatCode="d&quot; &quot;mmmm&quot; &quot;yyyy"/>
    <numFmt numFmtId="170" formatCode="d-m"/>
  </numFmts>
  <fonts count="30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b/>
      <sz val="9.0"/>
      <color theme="1"/>
      <name val="Arial"/>
    </font>
    <font>
      <sz val="9.0"/>
      <color theme="1"/>
      <name val="Arial"/>
      <scheme val="minor"/>
    </font>
    <font>
      <color theme="1"/>
      <name val="Arial"/>
    </font>
    <font/>
    <font>
      <sz val="9.0"/>
      <color theme="1"/>
      <name val="Arial"/>
    </font>
    <font>
      <color theme="1"/>
      <name val="Arial"/>
      <scheme val="minor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sz val="8.0"/>
      <color theme="1"/>
      <name val="Arial"/>
      <scheme val="minor"/>
    </font>
    <font>
      <sz val="9.0"/>
      <color rgb="FF000000"/>
      <name val="Arial"/>
      <scheme val="minor"/>
    </font>
    <font>
      <b/>
      <sz val="19.0"/>
      <color rgb="FFFF0000"/>
      <name val="Arial"/>
    </font>
    <font>
      <b/>
      <sz val="13.0"/>
      <color theme="1"/>
      <name val="Arial"/>
    </font>
    <font>
      <b/>
      <sz val="19.0"/>
      <color theme="1"/>
      <name val="Arial"/>
    </font>
    <font>
      <u/>
      <sz val="9.0"/>
      <color rgb="FF0000FF"/>
    </font>
    <font>
      <b/>
      <sz val="8.0"/>
      <color theme="1"/>
      <name val="Arial"/>
    </font>
    <font>
      <b/>
      <sz val="7.0"/>
      <color rgb="FFFF0000"/>
      <name val="Arial"/>
    </font>
    <font>
      <sz val="8.0"/>
      <color theme="1"/>
      <name val="Arial"/>
    </font>
    <font>
      <u/>
      <color rgb="FF0000FF"/>
      <name val="Arial"/>
    </font>
    <font>
      <u/>
      <sz val="9.0"/>
      <color rgb="FF1155CC"/>
      <name val="Arial"/>
    </font>
    <font>
      <b/>
      <color theme="1"/>
      <name val="Arial"/>
    </font>
    <font>
      <u/>
      <sz val="6.0"/>
      <color rgb="FF0000FF"/>
      <name val="Arial"/>
    </font>
    <font>
      <sz val="8.0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color rgb="FF0000FF"/>
      <name val="Arial"/>
    </font>
    <font>
      <u/>
      <color rgb="FF0000FF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F8FAF8"/>
        <bgColor rgb="FFF8FAF8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B7E1CD"/>
        <bgColor rgb="FFB7E1CD"/>
      </patternFill>
    </fill>
  </fills>
  <borders count="51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bottom style="thin">
        <color rgb="FF666666"/>
      </bottom>
    </border>
    <border>
      <left style="thin">
        <color rgb="FF666666"/>
      </left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right style="thin">
        <color rgb="FF666666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bottom style="thin">
        <color rgb="FF000000"/>
      </bottom>
    </border>
    <border>
      <right style="thin">
        <color rgb="FF666666"/>
      </right>
      <bottom style="thin">
        <color rgb="FF000000"/>
      </bottom>
    </border>
    <border>
      <left style="thin">
        <color rgb="FF666666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626574"/>
      </left>
      <right style="thin">
        <color rgb="FF626574"/>
      </right>
    </border>
    <border>
      <left style="thin">
        <color rgb="FF626574"/>
      </left>
      <right style="thin">
        <color rgb="FF626574"/>
      </right>
      <bottom style="thin">
        <color rgb="FF626574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666666"/>
      </right>
      <top style="thin">
        <color rgb="FF666666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666666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666666"/>
      </right>
      <bottom style="thin">
        <color rgb="FF666666"/>
      </bottom>
    </border>
    <border>
      <top style="thin">
        <color rgb="FF666666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666666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8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ont="1">
      <alignment horizontal="center" readingOrder="0" vertical="center"/>
    </xf>
    <xf borderId="3" fillId="3" fontId="1" numFmtId="0" xfId="0" applyAlignment="1" applyBorder="1" applyFont="1">
      <alignment horizontal="center" readingOrder="0" vertical="center"/>
    </xf>
    <xf borderId="3" fillId="3" fontId="2" numFmtId="0" xfId="0" applyAlignment="1" applyBorder="1" applyFont="1">
      <alignment horizontal="center" vertical="center"/>
    </xf>
    <xf borderId="4" fillId="3" fontId="1" numFmtId="0" xfId="0" applyAlignment="1" applyBorder="1" applyFont="1">
      <alignment horizontal="center" readingOrder="0" vertical="center"/>
    </xf>
    <xf borderId="5" fillId="3" fontId="1" numFmtId="0" xfId="0" applyAlignment="1" applyBorder="1" applyFont="1">
      <alignment horizontal="center" readingOrder="0" vertical="center"/>
    </xf>
    <xf borderId="6" fillId="3" fontId="1" numFmtId="0" xfId="0" applyAlignment="1" applyBorder="1" applyFont="1">
      <alignment horizontal="center" readingOrder="0" vertical="center"/>
    </xf>
    <xf borderId="0" fillId="2" fontId="3" numFmtId="0" xfId="0" applyAlignment="1" applyFont="1">
      <alignment horizontal="center" shrinkToFit="0" vertical="center" wrapText="1"/>
    </xf>
    <xf borderId="0" fillId="2" fontId="4" numFmtId="0" xfId="0" applyAlignment="1" applyFont="1">
      <alignment vertical="center"/>
    </xf>
    <xf borderId="6" fillId="3" fontId="2" numFmtId="0" xfId="0" applyAlignment="1" applyBorder="1" applyFont="1">
      <alignment horizontal="center" vertical="center"/>
    </xf>
    <xf borderId="0" fillId="2" fontId="3" numFmtId="0" xfId="0" applyAlignment="1" applyFont="1">
      <alignment horizontal="center" readingOrder="0" vertical="center"/>
    </xf>
    <xf borderId="7" fillId="4" fontId="1" numFmtId="0" xfId="0" applyAlignment="1" applyBorder="1" applyFill="1" applyFont="1">
      <alignment horizontal="center" readingOrder="0" shrinkToFit="0" vertical="center" wrapText="1"/>
    </xf>
    <xf borderId="8" fillId="4" fontId="1" numFmtId="164" xfId="0" applyAlignment="1" applyBorder="1" applyFont="1" applyNumberFormat="1">
      <alignment horizontal="center" readingOrder="0" shrinkToFit="0" vertical="center" wrapText="1"/>
    </xf>
    <xf borderId="9" fillId="2" fontId="4" numFmtId="0" xfId="0" applyAlignment="1" applyBorder="1" applyFont="1">
      <alignment vertical="center"/>
    </xf>
    <xf borderId="7" fillId="4" fontId="1" numFmtId="0" xfId="0" applyAlignment="1" applyBorder="1" applyFont="1">
      <alignment horizontal="center" readingOrder="0" vertical="center"/>
    </xf>
    <xf borderId="8" fillId="4" fontId="2" numFmtId="0" xfId="0" applyAlignment="1" applyBorder="1" applyFont="1">
      <alignment horizontal="center" shrinkToFit="0" vertical="center" wrapText="1"/>
    </xf>
    <xf borderId="10" fillId="4" fontId="2" numFmtId="0" xfId="0" applyAlignment="1" applyBorder="1" applyFont="1">
      <alignment horizontal="center" shrinkToFit="0" vertical="center" wrapText="1"/>
    </xf>
    <xf borderId="11" fillId="0" fontId="5" numFmtId="0" xfId="0" applyBorder="1" applyFont="1"/>
    <xf borderId="12" fillId="4" fontId="2" numFmtId="0" xfId="0" applyAlignment="1" applyBorder="1" applyFont="1">
      <alignment horizontal="center" readingOrder="0"/>
    </xf>
    <xf borderId="13" fillId="0" fontId="5" numFmtId="0" xfId="0" applyBorder="1" applyFont="1"/>
    <xf borderId="14" fillId="0" fontId="5" numFmtId="0" xfId="0" applyBorder="1" applyFont="1"/>
    <xf borderId="12" fillId="4" fontId="2" numFmtId="0" xfId="0" applyAlignment="1" applyBorder="1" applyFont="1">
      <alignment horizontal="center" shrinkToFit="0" vertical="center" wrapText="1"/>
    </xf>
    <xf borderId="15" fillId="0" fontId="5" numFmtId="0" xfId="0" applyBorder="1" applyFont="1"/>
    <xf borderId="14" fillId="4" fontId="2" numFmtId="0" xfId="0" applyAlignment="1" applyBorder="1" applyFont="1">
      <alignment horizontal="center" readingOrder="0" shrinkToFit="0" vertical="center" wrapText="1"/>
    </xf>
    <xf borderId="8" fillId="5" fontId="2" numFmtId="0" xfId="0" applyAlignment="1" applyBorder="1" applyFill="1" applyFont="1">
      <alignment horizontal="center" shrinkToFit="0" vertical="center" wrapText="1"/>
    </xf>
    <xf borderId="7" fillId="4" fontId="6" numFmtId="0" xfId="0" applyAlignment="1" applyBorder="1" applyFont="1">
      <alignment horizontal="center"/>
    </xf>
    <xf borderId="14" fillId="4" fontId="6" numFmtId="0" xfId="0" applyAlignment="1" applyBorder="1" applyFont="1">
      <alignment horizontal="center"/>
    </xf>
    <xf borderId="7" fillId="6" fontId="6" numFmtId="0" xfId="0" applyAlignment="1" applyBorder="1" applyFill="1" applyFont="1">
      <alignment horizontal="center" shrinkToFit="0" vertical="center" wrapText="1"/>
    </xf>
    <xf borderId="7" fillId="7" fontId="4" numFmtId="0" xfId="0" applyAlignment="1" applyBorder="1" applyFill="1" applyFont="1">
      <alignment horizontal="center" vertical="center"/>
    </xf>
    <xf borderId="7" fillId="4" fontId="6" numFmtId="0" xfId="0" applyAlignment="1" applyBorder="1" applyFont="1">
      <alignment horizontal="center" vertical="bottom"/>
    </xf>
    <xf borderId="16" fillId="0" fontId="5" numFmtId="0" xfId="0" applyBorder="1" applyFont="1"/>
    <xf borderId="8" fillId="6" fontId="2" numFmtId="0" xfId="0" applyAlignment="1" applyBorder="1" applyFont="1">
      <alignment horizontal="center" shrinkToFit="0" vertical="center" wrapText="1"/>
    </xf>
    <xf borderId="7" fillId="4" fontId="1" numFmtId="164" xfId="0" applyAlignment="1" applyBorder="1" applyFont="1" applyNumberFormat="1">
      <alignment horizontal="center" readingOrder="0" shrinkToFit="0" vertical="center" wrapText="1"/>
    </xf>
    <xf borderId="8" fillId="6" fontId="2" numFmtId="0" xfId="0" applyAlignment="1" applyBorder="1" applyFont="1">
      <alignment horizontal="center" shrinkToFit="0" vertical="center" wrapText="1"/>
    </xf>
    <xf borderId="17" fillId="4" fontId="6" numFmtId="0" xfId="0" applyAlignment="1" applyBorder="1" applyFont="1">
      <alignment horizontal="center"/>
    </xf>
    <xf quotePrefix="1" borderId="17" fillId="4" fontId="6" numFmtId="0" xfId="0" applyAlignment="1" applyBorder="1" applyFont="1">
      <alignment horizontal="center"/>
    </xf>
    <xf borderId="0" fillId="2" fontId="4" numFmtId="0" xfId="0" applyAlignment="1" applyFont="1">
      <alignment vertical="center"/>
    </xf>
    <xf borderId="15" fillId="6" fontId="6" numFmtId="0" xfId="0" applyAlignment="1" applyBorder="1" applyFont="1">
      <alignment horizontal="center" shrinkToFit="0" vertical="center" wrapText="1"/>
    </xf>
    <xf borderId="0" fillId="6" fontId="1" numFmtId="0" xfId="0" applyAlignment="1" applyFont="1">
      <alignment horizontal="center" readingOrder="0" vertical="center"/>
    </xf>
    <xf borderId="18" fillId="6" fontId="6" numFmtId="0" xfId="0" applyAlignment="1" applyBorder="1" applyFont="1">
      <alignment horizontal="center" shrinkToFit="0" vertical="center" wrapText="1"/>
    </xf>
    <xf borderId="17" fillId="7" fontId="4" numFmtId="0" xfId="0" applyAlignment="1" applyBorder="1" applyFont="1">
      <alignment horizontal="center" vertical="center"/>
    </xf>
    <xf borderId="8" fillId="8" fontId="6" numFmtId="0" xfId="0" applyAlignment="1" applyBorder="1" applyFill="1" applyFont="1">
      <alignment horizontal="center" shrinkToFit="0" vertical="center" wrapText="1"/>
    </xf>
    <xf borderId="8" fillId="8" fontId="6" numFmtId="165" xfId="0" applyAlignment="1" applyBorder="1" applyFont="1" applyNumberFormat="1">
      <alignment horizontal="center" shrinkToFit="0" vertical="center" wrapText="1"/>
    </xf>
    <xf borderId="8" fillId="8" fontId="4" numFmtId="0" xfId="0" applyAlignment="1" applyBorder="1" applyFont="1">
      <alignment vertical="center"/>
    </xf>
    <xf borderId="0" fillId="2" fontId="4" numFmtId="0" xfId="0" applyAlignment="1" applyFont="1">
      <alignment readingOrder="0"/>
    </xf>
    <xf borderId="10" fillId="5" fontId="2" numFmtId="0" xfId="0" applyAlignment="1" applyBorder="1" applyFont="1">
      <alignment horizontal="center" vertical="center"/>
    </xf>
    <xf borderId="0" fillId="6" fontId="1" numFmtId="0" xfId="0" applyAlignment="1" applyFont="1">
      <alignment horizontal="center" vertical="center"/>
    </xf>
    <xf borderId="19" fillId="5" fontId="2" numFmtId="0" xfId="0" applyAlignment="1" applyBorder="1" applyFont="1">
      <alignment horizontal="center" vertical="center"/>
    </xf>
    <xf borderId="0" fillId="6" fontId="1" numFmtId="166" xfId="0" applyAlignment="1" applyFont="1" applyNumberFormat="1">
      <alignment horizontal="center" readingOrder="0" vertical="center"/>
    </xf>
    <xf borderId="0" fillId="4" fontId="3" numFmtId="0" xfId="0" applyAlignment="1" applyFont="1">
      <alignment horizontal="center" readingOrder="0" vertical="center"/>
    </xf>
    <xf borderId="15" fillId="6" fontId="4" numFmtId="0" xfId="0" applyAlignment="1" applyBorder="1" applyFont="1">
      <alignment vertical="center"/>
    </xf>
    <xf borderId="15" fillId="7" fontId="4" numFmtId="167" xfId="0" applyAlignment="1" applyBorder="1" applyFont="1" applyNumberFormat="1">
      <alignment vertical="center"/>
    </xf>
    <xf borderId="0" fillId="7" fontId="3" numFmtId="0" xfId="0" applyAlignment="1" applyFont="1">
      <alignment horizontal="center" readingOrder="0" vertical="center"/>
    </xf>
    <xf borderId="8" fillId="6" fontId="6" numFmtId="0" xfId="0" applyAlignment="1" applyBorder="1" applyFont="1">
      <alignment horizontal="center" shrinkToFit="0" vertical="center" wrapText="1"/>
    </xf>
    <xf borderId="0" fillId="7" fontId="2" numFmtId="20" xfId="0" applyAlignment="1" applyFont="1" applyNumberFormat="1">
      <alignment horizontal="center" readingOrder="0"/>
    </xf>
    <xf borderId="0" fillId="0" fontId="7" numFmtId="0" xfId="0" applyFont="1"/>
    <xf borderId="8" fillId="9" fontId="6" numFmtId="165" xfId="0" applyAlignment="1" applyBorder="1" applyFill="1" applyFont="1" applyNumberFormat="1">
      <alignment horizontal="center" shrinkToFit="0" vertical="center" wrapText="1"/>
    </xf>
    <xf borderId="16" fillId="9" fontId="4" numFmtId="0" xfId="0" applyAlignment="1" applyBorder="1" applyFont="1">
      <alignment vertical="center"/>
    </xf>
    <xf borderId="7" fillId="7" fontId="6" numFmtId="0" xfId="0" applyAlignment="1" applyBorder="1" applyFont="1">
      <alignment horizontal="center" vertical="center"/>
    </xf>
    <xf borderId="0" fillId="10" fontId="6" numFmtId="0" xfId="0" applyAlignment="1" applyFill="1" applyFont="1">
      <alignment horizontal="center"/>
    </xf>
    <xf borderId="11" fillId="7" fontId="6" numFmtId="0" xfId="0" applyAlignment="1" applyBorder="1" applyFont="1">
      <alignment horizontal="center" vertical="center"/>
    </xf>
    <xf borderId="0" fillId="0" fontId="7" numFmtId="0" xfId="0" applyAlignment="1" applyFont="1">
      <alignment horizontal="center"/>
    </xf>
    <xf borderId="15" fillId="7" fontId="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15" fillId="7" fontId="4" numFmtId="167" xfId="0" applyAlignment="1" applyBorder="1" applyFont="1" applyNumberFormat="1">
      <alignment horizontal="center" vertical="center"/>
    </xf>
    <xf borderId="16" fillId="6" fontId="6" numFmtId="0" xfId="0" applyAlignment="1" applyBorder="1" applyFont="1">
      <alignment horizontal="center" shrinkToFit="0" vertical="center" wrapText="1"/>
    </xf>
    <xf borderId="8" fillId="7" fontId="6" numFmtId="165" xfId="0" applyAlignment="1" applyBorder="1" applyFont="1" applyNumberFormat="1">
      <alignment horizontal="center" shrinkToFit="0" vertical="center" wrapText="1"/>
    </xf>
    <xf borderId="16" fillId="7" fontId="4" numFmtId="0" xfId="0" applyAlignment="1" applyBorder="1" applyFont="1">
      <alignment vertical="center"/>
    </xf>
    <xf borderId="20" fillId="7" fontId="6" numFmtId="0" xfId="0" applyAlignment="1" applyBorder="1" applyFont="1">
      <alignment horizontal="center" vertical="center"/>
    </xf>
    <xf borderId="21" fillId="7" fontId="6" numFmtId="0" xfId="0" applyAlignment="1" applyBorder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15" fillId="10" fontId="6" numFmtId="0" xfId="0" applyAlignment="1" applyBorder="1" applyFont="1">
      <alignment horizontal="center" vertical="center"/>
    </xf>
    <xf borderId="22" fillId="6" fontId="6" numFmtId="0" xfId="0" applyAlignment="1" applyBorder="1" applyFont="1">
      <alignment horizontal="center" shrinkToFit="0" vertical="center" wrapText="1"/>
    </xf>
    <xf borderId="15" fillId="7" fontId="4" numFmtId="0" xfId="0" applyAlignment="1" applyBorder="1" applyFont="1">
      <alignment horizontal="center" vertical="center"/>
    </xf>
    <xf borderId="23" fillId="5" fontId="2" numFmtId="0" xfId="0" applyAlignment="1" applyBorder="1" applyFont="1">
      <alignment horizontal="center" vertical="center"/>
    </xf>
    <xf borderId="24" fillId="0" fontId="5" numFmtId="0" xfId="0" applyBorder="1" applyFont="1"/>
    <xf borderId="15" fillId="10" fontId="6" numFmtId="0" xfId="0" applyAlignment="1" applyBorder="1" applyFont="1">
      <alignment horizontal="center" shrinkToFit="0" vertical="center" wrapText="1"/>
    </xf>
    <xf borderId="25" fillId="7" fontId="6" numFmtId="0" xfId="0" applyAlignment="1" applyBorder="1" applyFont="1">
      <alignment horizontal="center" shrinkToFit="0" vertical="center" wrapText="1"/>
    </xf>
    <xf borderId="26" fillId="0" fontId="5" numFmtId="0" xfId="0" applyBorder="1" applyFont="1"/>
    <xf borderId="15" fillId="11" fontId="6" numFmtId="0" xfId="0" applyAlignment="1" applyBorder="1" applyFill="1" applyFont="1">
      <alignment horizontal="center" shrinkToFit="0" vertical="center" wrapText="1"/>
    </xf>
    <xf borderId="7" fillId="5" fontId="2" numFmtId="0" xfId="0" applyAlignment="1" applyBorder="1" applyFont="1">
      <alignment horizontal="center" shrinkToFit="0" vertical="center" wrapText="1"/>
    </xf>
    <xf borderId="27" fillId="6" fontId="1" numFmtId="0" xfId="0" applyAlignment="1" applyBorder="1" applyFont="1">
      <alignment horizontal="center" vertical="center"/>
    </xf>
    <xf borderId="23" fillId="6" fontId="6" numFmtId="0" xfId="0" applyAlignment="1" applyBorder="1" applyFont="1">
      <alignment horizontal="center" shrinkToFit="0" vertical="center" wrapText="1"/>
    </xf>
    <xf borderId="0" fillId="7" fontId="3" numFmtId="20" xfId="0" applyAlignment="1" applyFont="1" applyNumberFormat="1">
      <alignment horizontal="center" vertical="center"/>
    </xf>
    <xf borderId="28" fillId="7" fontId="3" numFmtId="0" xfId="0" applyAlignment="1" applyBorder="1" applyFont="1">
      <alignment horizontal="center" readingOrder="0" vertical="center"/>
    </xf>
    <xf borderId="22" fillId="7" fontId="6" numFmtId="0" xfId="0" applyAlignment="1" applyBorder="1" applyFont="1">
      <alignment horizontal="center" shrinkToFit="0" vertical="center" wrapText="1"/>
    </xf>
    <xf borderId="17" fillId="0" fontId="5" numFmtId="0" xfId="0" applyBorder="1" applyFont="1"/>
    <xf borderId="27" fillId="2" fontId="3" numFmtId="0" xfId="0" applyAlignment="1" applyBorder="1" applyFont="1">
      <alignment horizontal="center" readingOrder="0" vertical="center"/>
    </xf>
    <xf borderId="27" fillId="6" fontId="1" numFmtId="0" xfId="0" applyAlignment="1" applyBorder="1" applyFont="1">
      <alignment horizontal="center" readingOrder="0" vertical="center"/>
    </xf>
    <xf borderId="27" fillId="6" fontId="1" numFmtId="166" xfId="0" applyAlignment="1" applyBorder="1" applyFont="1" applyNumberFormat="1">
      <alignment horizontal="center" readingOrder="0" vertical="center"/>
    </xf>
    <xf borderId="27" fillId="7" fontId="3" numFmtId="0" xfId="0" applyAlignment="1" applyBorder="1" applyFont="1">
      <alignment horizontal="center" readingOrder="0" vertical="center"/>
    </xf>
    <xf borderId="27" fillId="7" fontId="2" numFmtId="20" xfId="0" applyAlignment="1" applyBorder="1" applyFont="1" applyNumberFormat="1">
      <alignment horizontal="center" readingOrder="0"/>
    </xf>
    <xf borderId="27" fillId="0" fontId="7" numFmtId="0" xfId="0" applyBorder="1" applyFont="1"/>
    <xf borderId="22" fillId="0" fontId="5" numFmtId="0" xfId="0" applyBorder="1" applyFont="1"/>
    <xf borderId="27" fillId="0" fontId="7" numFmtId="0" xfId="0" applyAlignment="1" applyBorder="1" applyFont="1">
      <alignment horizontal="center"/>
    </xf>
    <xf borderId="29" fillId="7" fontId="6" numFmtId="0" xfId="0" applyAlignment="1" applyBorder="1" applyFont="1">
      <alignment horizontal="center" shrinkToFit="0" vertical="center" wrapText="1"/>
    </xf>
    <xf borderId="15" fillId="11" fontId="6" numFmtId="0" xfId="0" applyAlignment="1" applyBorder="1" applyFont="1">
      <alignment horizontal="center" shrinkToFit="0" vertical="center" wrapText="1"/>
    </xf>
    <xf borderId="15" fillId="7" fontId="4" numFmtId="49" xfId="0" applyAlignment="1" applyBorder="1" applyFont="1" applyNumberFormat="1">
      <alignment horizontal="center" vertical="center"/>
    </xf>
    <xf borderId="22" fillId="7" fontId="6" numFmtId="0" xfId="0" applyAlignment="1" applyBorder="1" applyFont="1">
      <alignment horizontal="center" shrinkToFit="0" vertical="center" wrapText="1"/>
    </xf>
    <xf borderId="15" fillId="10" fontId="6" numFmtId="0" xfId="0" applyAlignment="1" applyBorder="1" applyFont="1">
      <alignment horizontal="center" vertical="center"/>
    </xf>
    <xf borderId="15" fillId="10" fontId="6" numFmtId="0" xfId="0" applyAlignment="1" applyBorder="1" applyFont="1">
      <alignment horizontal="center" shrinkToFit="0" vertical="center" wrapText="1"/>
    </xf>
    <xf borderId="30" fillId="7" fontId="6" numFmtId="0" xfId="0" applyAlignment="1" applyBorder="1" applyFont="1">
      <alignment horizontal="center" shrinkToFit="0" vertical="center" wrapText="1"/>
    </xf>
    <xf borderId="16" fillId="5" fontId="2" numFmtId="0" xfId="0" applyAlignment="1" applyBorder="1" applyFont="1">
      <alignment horizontal="center" shrinkToFit="0" vertical="center" wrapText="1"/>
    </xf>
    <xf borderId="16" fillId="6" fontId="4" numFmtId="0" xfId="0" applyAlignment="1" applyBorder="1" applyFont="1">
      <alignment horizontal="center" vertical="center"/>
    </xf>
    <xf borderId="8" fillId="9" fontId="4" numFmtId="165" xfId="0" applyAlignment="1" applyBorder="1" applyFont="1" applyNumberFormat="1">
      <alignment horizontal="center" vertical="center"/>
    </xf>
    <xf borderId="23" fillId="6" fontId="6" numFmtId="0" xfId="0" applyAlignment="1" applyBorder="1" applyFont="1">
      <alignment horizontal="center" shrinkToFit="0" vertical="center" wrapText="1"/>
    </xf>
    <xf borderId="16" fillId="6" fontId="4" numFmtId="0" xfId="0" applyAlignment="1" applyBorder="1" applyFont="1">
      <alignment horizontal="center" vertical="center"/>
    </xf>
    <xf borderId="8" fillId="7" fontId="4" numFmtId="165" xfId="0" applyAlignment="1" applyBorder="1" applyFont="1" applyNumberFormat="1">
      <alignment horizontal="center" vertical="center"/>
    </xf>
    <xf borderId="16" fillId="7" fontId="8" numFmtId="0" xfId="0" applyAlignment="1" applyBorder="1" applyFont="1">
      <alignment vertical="center"/>
    </xf>
    <xf borderId="31" fillId="7" fontId="6" numFmtId="0" xfId="0" applyAlignment="1" applyBorder="1" applyFont="1">
      <alignment horizontal="center" shrinkToFit="0" vertical="center" wrapText="1"/>
    </xf>
    <xf borderId="32" fillId="0" fontId="5" numFmtId="0" xfId="0" applyBorder="1" applyFont="1"/>
    <xf borderId="15" fillId="7" fontId="4" numFmtId="0" xfId="0" applyAlignment="1" applyBorder="1" applyFont="1">
      <alignment vertical="center"/>
    </xf>
    <xf borderId="16" fillId="9" fontId="4" numFmtId="0" xfId="0" applyAlignment="1" applyBorder="1" applyFont="1">
      <alignment vertical="center"/>
    </xf>
    <xf borderId="33" fillId="0" fontId="5" numFmtId="0" xfId="0" applyBorder="1" applyFont="1"/>
    <xf borderId="34" fillId="0" fontId="5" numFmtId="0" xfId="0" applyBorder="1" applyFont="1"/>
    <xf borderId="28" fillId="6" fontId="1" numFmtId="0" xfId="0" applyAlignment="1" applyBorder="1" applyFont="1">
      <alignment horizontal="center" vertical="center"/>
    </xf>
    <xf borderId="16" fillId="7" fontId="4" numFmtId="0" xfId="0" applyAlignment="1" applyBorder="1" applyFont="1">
      <alignment vertical="center"/>
    </xf>
    <xf borderId="27" fillId="4" fontId="3" numFmtId="0" xfId="0" applyAlignment="1" applyBorder="1" applyFont="1">
      <alignment horizontal="center" readingOrder="0" vertical="center"/>
    </xf>
    <xf borderId="20" fillId="7" fontId="6" numFmtId="0" xfId="0" applyAlignment="1" applyBorder="1" applyFont="1">
      <alignment horizontal="center" shrinkToFit="0" vertical="center" wrapText="1"/>
    </xf>
    <xf borderId="33" fillId="7" fontId="6" numFmtId="0" xfId="0" applyAlignment="1" applyBorder="1" applyFont="1">
      <alignment horizontal="center" shrinkToFit="0" vertical="center" wrapText="1"/>
    </xf>
    <xf borderId="16" fillId="6" fontId="6" numFmtId="0" xfId="0" applyAlignment="1" applyBorder="1" applyFont="1">
      <alignment horizontal="center" vertical="center"/>
    </xf>
    <xf borderId="16" fillId="7" fontId="9" numFmtId="0" xfId="0" applyAlignment="1" applyBorder="1" applyFont="1">
      <alignment horizontal="center" shrinkToFit="0" vertical="center" wrapText="0"/>
    </xf>
    <xf borderId="28" fillId="2" fontId="3" numFmtId="0" xfId="0" applyAlignment="1" applyBorder="1" applyFont="1">
      <alignment horizontal="center" readingOrder="0" vertical="center"/>
    </xf>
    <xf borderId="28" fillId="0" fontId="5" numFmtId="0" xfId="0" applyBorder="1" applyFont="1"/>
    <xf borderId="28" fillId="7" fontId="2" numFmtId="20" xfId="0" applyAlignment="1" applyBorder="1" applyFont="1" applyNumberFormat="1">
      <alignment horizontal="center" readingOrder="0"/>
    </xf>
    <xf borderId="28" fillId="7" fontId="3" numFmtId="20" xfId="0" applyAlignment="1" applyBorder="1" applyFont="1" applyNumberFormat="1">
      <alignment horizontal="center" vertical="center"/>
    </xf>
    <xf borderId="31" fillId="4" fontId="2" numFmtId="0" xfId="0" applyAlignment="1" applyBorder="1" applyFont="1">
      <alignment horizontal="center" shrinkToFit="0" vertical="center" wrapText="1"/>
    </xf>
    <xf borderId="35" fillId="6" fontId="6" numFmtId="0" xfId="0" applyAlignment="1" applyBorder="1" applyFont="1">
      <alignment horizontal="center" shrinkToFit="0" vertical="center" wrapText="1"/>
    </xf>
    <xf borderId="34" fillId="0" fontId="10" numFmtId="0" xfId="0" applyAlignment="1" applyBorder="1" applyFont="1">
      <alignment shrinkToFit="0" vertical="center" wrapText="0"/>
    </xf>
    <xf borderId="36" fillId="0" fontId="5" numFmtId="0" xfId="0" applyBorder="1" applyFont="1"/>
    <xf borderId="37" fillId="0" fontId="5" numFmtId="0" xfId="0" applyBorder="1" applyFont="1"/>
    <xf borderId="38" fillId="6" fontId="6" numFmtId="0" xfId="0" applyAlignment="1" applyBorder="1" applyFont="1">
      <alignment horizontal="center" vertical="center"/>
    </xf>
    <xf borderId="20" fillId="11" fontId="6" numFmtId="0" xfId="0" applyAlignment="1" applyBorder="1" applyFont="1">
      <alignment horizontal="center" shrinkToFit="0" vertical="center" wrapText="1"/>
    </xf>
    <xf borderId="38" fillId="6" fontId="6" numFmtId="0" xfId="0" applyAlignment="1" applyBorder="1" applyFont="1">
      <alignment horizontal="center" shrinkToFit="0" vertical="center" wrapText="1"/>
    </xf>
    <xf borderId="0" fillId="12" fontId="3" numFmtId="0" xfId="0" applyAlignment="1" applyFill="1" applyFont="1">
      <alignment horizontal="center" readingOrder="0" vertical="center"/>
    </xf>
    <xf borderId="28" fillId="4" fontId="3" numFmtId="0" xfId="0" applyAlignment="1" applyBorder="1" applyFont="1">
      <alignment horizontal="center" readingOrder="0" vertical="center"/>
    </xf>
    <xf borderId="39" fillId="6" fontId="6" numFmtId="0" xfId="0" applyAlignment="1" applyBorder="1" applyFont="1">
      <alignment horizontal="center" shrinkToFit="0" vertical="center" wrapText="1"/>
    </xf>
    <xf borderId="37" fillId="0" fontId="11" numFmtId="0" xfId="0" applyAlignment="1" applyBorder="1" applyFont="1">
      <alignment shrinkToFit="0" vertical="center" wrapText="0"/>
    </xf>
    <xf borderId="0" fillId="7" fontId="12" numFmtId="0" xfId="0" applyAlignment="1" applyFont="1">
      <alignment horizontal="center" readingOrder="0" vertical="center"/>
    </xf>
    <xf borderId="0" fillId="7" fontId="3" numFmtId="0" xfId="0" applyAlignment="1" applyFont="1">
      <alignment horizontal="center" vertical="center"/>
    </xf>
    <xf borderId="27" fillId="0" fontId="3" numFmtId="0" xfId="0" applyAlignment="1" applyBorder="1" applyFont="1">
      <alignment horizontal="center" readingOrder="0" vertical="center"/>
    </xf>
    <xf borderId="27" fillId="7" fontId="3" numFmtId="20" xfId="0" applyAlignment="1" applyBorder="1" applyFont="1" applyNumberFormat="1">
      <alignment horizontal="center" vertical="center"/>
    </xf>
    <xf borderId="0" fillId="2" fontId="4" numFmtId="0" xfId="0" applyAlignment="1" applyFont="1">
      <alignment horizontal="center" vertical="center"/>
    </xf>
    <xf borderId="0" fillId="6" fontId="2" numFmtId="0" xfId="0" applyAlignment="1" applyFont="1">
      <alignment horizontal="center" vertical="center"/>
    </xf>
    <xf borderId="0" fillId="6" fontId="2" numFmtId="166" xfId="0" applyAlignment="1" applyFont="1" applyNumberFormat="1">
      <alignment horizontal="center" vertical="center"/>
    </xf>
    <xf borderId="0" fillId="4" fontId="6" numFmtId="0" xfId="0" applyAlignment="1" applyFont="1">
      <alignment horizontal="center"/>
    </xf>
    <xf borderId="0" fillId="7" fontId="4" numFmtId="0" xfId="0" applyFont="1"/>
    <xf borderId="0" fillId="7" fontId="6" numFmtId="0" xfId="0" applyAlignment="1" applyFont="1">
      <alignment horizontal="center"/>
    </xf>
    <xf borderId="0" fillId="7" fontId="2" numFmtId="20" xfId="0" applyAlignment="1" applyFont="1" applyNumberFormat="1">
      <alignment horizontal="center" vertical="bottom"/>
    </xf>
    <xf borderId="0" fillId="7" fontId="4" numFmtId="20" xfId="0" applyFont="1" applyNumberFormat="1"/>
    <xf borderId="0" fillId="13" fontId="4" numFmtId="0" xfId="0" applyAlignment="1" applyFill="1" applyFont="1">
      <alignment horizontal="center" vertical="bottom"/>
    </xf>
    <xf borderId="0" fillId="10" fontId="2" numFmtId="20" xfId="0" applyAlignment="1" applyFont="1" applyNumberFormat="1">
      <alignment horizontal="center" vertical="bottom"/>
    </xf>
    <xf borderId="0" fillId="10" fontId="4" numFmtId="20" xfId="0" applyFont="1" applyNumberFormat="1"/>
    <xf borderId="0" fillId="13" fontId="6" numFmtId="0" xfId="0" applyAlignment="1" applyFont="1">
      <alignment horizontal="center"/>
    </xf>
    <xf borderId="0" fillId="7" fontId="3" numFmtId="0" xfId="0" applyAlignment="1" applyFont="1">
      <alignment horizontal="center" vertical="center"/>
    </xf>
    <xf borderId="0" fillId="13" fontId="2" numFmtId="20" xfId="0" applyAlignment="1" applyFont="1" applyNumberFormat="1">
      <alignment horizontal="center" vertical="bottom"/>
    </xf>
    <xf borderId="0" fillId="13" fontId="4" numFmtId="20" xfId="0" applyFont="1" applyNumberFormat="1"/>
    <xf borderId="27" fillId="0" fontId="7" numFmtId="0" xfId="0" applyAlignment="1" applyBorder="1" applyFont="1">
      <alignment horizontal="center" readingOrder="0" vertical="center"/>
    </xf>
    <xf borderId="0" fillId="4" fontId="4" numFmtId="0" xfId="0" applyFont="1"/>
    <xf borderId="27" fillId="2" fontId="4" numFmtId="0" xfId="0" applyAlignment="1" applyBorder="1" applyFont="1">
      <alignment horizontal="center" vertical="center"/>
    </xf>
    <xf borderId="27" fillId="6" fontId="2" numFmtId="0" xfId="0" applyAlignment="1" applyBorder="1" applyFont="1">
      <alignment horizontal="center" vertical="center"/>
    </xf>
    <xf borderId="27" fillId="6" fontId="2" numFmtId="166" xfId="0" applyAlignment="1" applyBorder="1" applyFont="1" applyNumberFormat="1">
      <alignment horizontal="center" vertical="center"/>
    </xf>
    <xf borderId="27" fillId="4" fontId="6" numFmtId="0" xfId="0" applyAlignment="1" applyBorder="1" applyFont="1">
      <alignment horizontal="center"/>
    </xf>
    <xf borderId="27" fillId="10" fontId="6" numFmtId="0" xfId="0" applyAlignment="1" applyBorder="1" applyFont="1">
      <alignment horizontal="center"/>
    </xf>
    <xf borderId="27" fillId="10" fontId="2" numFmtId="20" xfId="0" applyAlignment="1" applyBorder="1" applyFont="1" applyNumberFormat="1">
      <alignment horizontal="center" vertical="bottom"/>
    </xf>
    <xf borderId="27" fillId="10" fontId="4" numFmtId="20" xfId="0" applyBorder="1" applyFont="1" applyNumberFormat="1"/>
    <xf borderId="28" fillId="2" fontId="4" numFmtId="0" xfId="0" applyAlignment="1" applyBorder="1" applyFont="1">
      <alignment horizontal="center" vertical="center"/>
    </xf>
    <xf borderId="28" fillId="6" fontId="2" numFmtId="0" xfId="0" applyAlignment="1" applyBorder="1" applyFont="1">
      <alignment horizontal="center" vertical="center"/>
    </xf>
    <xf borderId="28" fillId="4" fontId="4" numFmtId="0" xfId="0" applyBorder="1" applyFont="1"/>
    <xf borderId="28" fillId="7" fontId="4" numFmtId="0" xfId="0" applyBorder="1" applyFont="1"/>
    <xf borderId="28" fillId="7" fontId="2" numFmtId="20" xfId="0" applyAlignment="1" applyBorder="1" applyFont="1" applyNumberFormat="1">
      <alignment horizontal="center" vertical="bottom"/>
    </xf>
    <xf borderId="28" fillId="7" fontId="4" numFmtId="20" xfId="0" applyBorder="1" applyFont="1" applyNumberFormat="1"/>
    <xf borderId="27" fillId="10" fontId="4" numFmtId="0" xfId="0" applyBorder="1" applyFont="1"/>
    <xf borderId="27" fillId="7" fontId="3" numFmtId="0" xfId="0" applyAlignment="1" applyBorder="1" applyFont="1">
      <alignment horizontal="center" vertical="center"/>
    </xf>
    <xf borderId="0" fillId="10" fontId="4" numFmtId="0" xfId="0" applyFont="1"/>
    <xf borderId="0" fillId="6" fontId="2" numFmtId="164" xfId="0" applyAlignment="1" applyFont="1" applyNumberFormat="1">
      <alignment horizontal="center" vertical="center"/>
    </xf>
    <xf borderId="0" fillId="2" fontId="7" numFmtId="0" xfId="0" applyFont="1"/>
    <xf borderId="0" fillId="2" fontId="3" numFmtId="164" xfId="0" applyAlignment="1" applyFont="1" applyNumberFormat="1">
      <alignment horizontal="center" readingOrder="0" vertical="center"/>
    </xf>
    <xf borderId="0" fillId="2" fontId="2" numFmtId="20" xfId="0" applyAlignment="1" applyFont="1" applyNumberFormat="1">
      <alignment horizontal="center"/>
    </xf>
    <xf borderId="0" fillId="2" fontId="3" numFmtId="20" xfId="0" applyAlignment="1" applyFont="1" applyNumberFormat="1">
      <alignment horizontal="center" vertical="center"/>
    </xf>
    <xf borderId="28" fillId="6" fontId="1" numFmtId="0" xfId="0" applyAlignment="1" applyBorder="1" applyFont="1">
      <alignment horizontal="center" readingOrder="0" vertical="center"/>
    </xf>
    <xf borderId="28" fillId="0" fontId="7" numFmtId="0" xfId="0" applyAlignment="1" applyBorder="1" applyFont="1">
      <alignment horizontal="center" readingOrder="0" vertical="center"/>
    </xf>
    <xf borderId="27" fillId="2" fontId="4" numFmtId="0" xfId="0" applyBorder="1" applyFont="1"/>
    <xf borderId="27" fillId="6" fontId="2" numFmtId="0" xfId="0" applyAlignment="1" applyBorder="1" applyFont="1">
      <alignment horizontal="center"/>
    </xf>
    <xf borderId="0" fillId="2" fontId="7" numFmtId="0" xfId="0" applyAlignment="1" applyFont="1">
      <alignment horizontal="center"/>
    </xf>
    <xf borderId="0" fillId="2" fontId="4" numFmtId="0" xfId="0" applyAlignment="1" applyFont="1">
      <alignment readingOrder="0" vertical="bottom"/>
    </xf>
    <xf borderId="40" fillId="4" fontId="2" numFmtId="0" xfId="0" applyAlignment="1" applyBorder="1" applyFont="1">
      <alignment horizontal="center"/>
    </xf>
    <xf borderId="41" fillId="4" fontId="2" numFmtId="0" xfId="0" applyAlignment="1" applyBorder="1" applyFont="1">
      <alignment horizontal="center"/>
    </xf>
    <xf borderId="27" fillId="4" fontId="4" numFmtId="0" xfId="0" applyBorder="1" applyFont="1"/>
    <xf borderId="41" fillId="4" fontId="2" numFmtId="0" xfId="0" applyAlignment="1" applyBorder="1" applyFont="1">
      <alignment horizontal="center" readingOrder="0"/>
    </xf>
    <xf borderId="27" fillId="10" fontId="2" numFmtId="20" xfId="0" applyAlignment="1" applyBorder="1" applyFont="1" applyNumberFormat="1">
      <alignment horizontal="center" readingOrder="0" vertical="bottom"/>
    </xf>
    <xf borderId="42" fillId="4" fontId="2" numFmtId="0" xfId="0" applyAlignment="1" applyBorder="1" applyFont="1">
      <alignment horizontal="center" readingOrder="0"/>
    </xf>
    <xf borderId="27" fillId="10" fontId="6" numFmtId="20" xfId="0" applyAlignment="1" applyBorder="1" applyFont="1" applyNumberFormat="1">
      <alignment horizontal="right" vertical="bottom"/>
    </xf>
    <xf borderId="0" fillId="2" fontId="4" numFmtId="0" xfId="0" applyAlignment="1" applyFont="1">
      <alignment vertical="bottom"/>
    </xf>
    <xf borderId="33" fillId="0" fontId="4" numFmtId="0" xfId="0" applyAlignment="1" applyBorder="1" applyFont="1">
      <alignment horizontal="center" readingOrder="0" vertical="bottom"/>
    </xf>
    <xf borderId="0" fillId="7" fontId="13" numFmtId="0" xfId="0" applyAlignment="1" applyFont="1">
      <alignment horizontal="center" readingOrder="0"/>
    </xf>
    <xf borderId="0" fillId="0" fontId="6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34" fillId="10" fontId="4" numFmtId="166" xfId="0" applyAlignment="1" applyBorder="1" applyFont="1" applyNumberFormat="1">
      <alignment readingOrder="0" vertical="bottom"/>
    </xf>
    <xf borderId="0" fillId="2" fontId="4" numFmtId="0" xfId="0" applyAlignment="1" applyFont="1">
      <alignment horizontal="center" readingOrder="0" vertical="bottom"/>
    </xf>
    <xf borderId="27" fillId="10" fontId="4" numFmtId="0" xfId="0" applyAlignment="1" applyBorder="1" applyFont="1">
      <alignment vertical="bottom"/>
    </xf>
    <xf borderId="33" fillId="0" fontId="6" numFmtId="0" xfId="0" applyAlignment="1" applyBorder="1" applyFont="1">
      <alignment horizontal="center" readingOrder="0" vertical="bottom"/>
    </xf>
    <xf borderId="27" fillId="7" fontId="4" numFmtId="0" xfId="0" applyBorder="1" applyFont="1"/>
    <xf borderId="0" fillId="2" fontId="4" numFmtId="0" xfId="0" applyFont="1"/>
    <xf borderId="0" fillId="6" fontId="2" numFmtId="0" xfId="0" applyAlignment="1" applyFont="1">
      <alignment horizontal="center"/>
    </xf>
    <xf borderId="0" fillId="14" fontId="4" numFmtId="0" xfId="0" applyAlignment="1" applyFill="1" applyFont="1">
      <alignment horizontal="center" vertical="bottom"/>
    </xf>
    <xf borderId="0" fillId="14" fontId="4" numFmtId="0" xfId="0" applyAlignment="1" applyFont="1">
      <alignment vertical="bottom"/>
    </xf>
    <xf borderId="34" fillId="15" fontId="4" numFmtId="168" xfId="0" applyAlignment="1" applyBorder="1" applyFill="1" applyFont="1" applyNumberFormat="1">
      <alignment horizontal="right" vertical="bottom"/>
    </xf>
    <xf borderId="0" fillId="2" fontId="4" numFmtId="0" xfId="0" applyAlignment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14" fontId="4" numFmtId="168" xfId="0" applyAlignment="1" applyFont="1" applyNumberFormat="1">
      <alignment horizontal="center" vertical="bottom"/>
    </xf>
    <xf borderId="0" fillId="13" fontId="6" numFmtId="20" xfId="0" applyAlignment="1" applyFont="1" applyNumberFormat="1">
      <alignment horizontal="right" vertical="bottom"/>
    </xf>
    <xf borderId="34" fillId="15" fontId="4" numFmtId="166" xfId="0" applyAlignment="1" applyBorder="1" applyFont="1" applyNumberFormat="1">
      <alignment horizontal="right" vertical="bottom"/>
    </xf>
    <xf borderId="0" fillId="13" fontId="4" numFmtId="0" xfId="0" applyFont="1"/>
    <xf borderId="5" fillId="7" fontId="14" numFmtId="0" xfId="0" applyAlignment="1" applyBorder="1" applyFont="1">
      <alignment horizontal="left" readingOrder="0" vertical="center"/>
    </xf>
    <xf borderId="0" fillId="10" fontId="6" numFmtId="20" xfId="0" applyAlignment="1" applyFont="1" applyNumberFormat="1">
      <alignment horizontal="right" vertical="bottom"/>
    </xf>
    <xf borderId="5" fillId="7" fontId="4" numFmtId="0" xfId="0" applyBorder="1" applyFont="1"/>
    <xf borderId="0" fillId="0" fontId="3" numFmtId="0" xfId="0" applyAlignment="1" applyFont="1">
      <alignment horizontal="center" readingOrder="0"/>
    </xf>
    <xf borderId="28" fillId="2" fontId="4" numFmtId="0" xfId="0" applyBorder="1" applyFont="1"/>
    <xf borderId="28" fillId="6" fontId="2" numFmtId="0" xfId="0" applyAlignment="1" applyBorder="1" applyFont="1">
      <alignment horizontal="center"/>
    </xf>
    <xf borderId="0" fillId="7" fontId="14" numFmtId="0" xfId="0" applyAlignment="1" applyFont="1">
      <alignment horizontal="left" readingOrder="0" vertical="center"/>
    </xf>
    <xf borderId="28" fillId="0" fontId="6" numFmtId="20" xfId="0" applyAlignment="1" applyBorder="1" applyFont="1" applyNumberFormat="1">
      <alignment horizontal="right" vertical="bottom"/>
    </xf>
    <xf borderId="0" fillId="2" fontId="15" numFmtId="0" xfId="0" applyAlignment="1" applyFont="1">
      <alignment horizontal="center" vertical="bottom"/>
    </xf>
    <xf borderId="0" fillId="7" fontId="16" numFmtId="0" xfId="0" applyAlignment="1" applyFont="1">
      <alignment horizontal="center" readingOrder="0" vertical="center"/>
    </xf>
    <xf borderId="0" fillId="6" fontId="4" numFmtId="0" xfId="0" applyFont="1"/>
    <xf borderId="0" fillId="10" fontId="4" numFmtId="20" xfId="0" applyAlignment="1" applyFont="1" applyNumberFormat="1">
      <alignment vertical="bottom"/>
    </xf>
    <xf borderId="0" fillId="10" fontId="4" numFmtId="0" xfId="0" applyAlignment="1" applyFont="1">
      <alignment vertical="bottom"/>
    </xf>
    <xf borderId="0" fillId="7" fontId="4" numFmtId="0" xfId="0" applyAlignment="1" applyFont="1">
      <alignment vertical="bottom"/>
    </xf>
    <xf borderId="0" fillId="0" fontId="17" numFmtId="0" xfId="0" applyAlignment="1" applyFont="1">
      <alignment horizontal="center" readingOrder="0"/>
    </xf>
    <xf borderId="0" fillId="13" fontId="4" numFmtId="20" xfId="0" applyAlignment="1" applyFont="1" applyNumberFormat="1">
      <alignment vertical="bottom"/>
    </xf>
    <xf borderId="0" fillId="13" fontId="4" numFmtId="0" xfId="0" applyAlignment="1" applyFont="1">
      <alignment vertical="bottom"/>
    </xf>
    <xf borderId="26" fillId="4" fontId="18" numFmtId="0" xfId="0" applyAlignment="1" applyBorder="1" applyFont="1">
      <alignment horizontal="center" vertical="bottom"/>
    </xf>
    <xf borderId="26" fillId="4" fontId="4" numFmtId="0" xfId="0" applyAlignment="1" applyBorder="1" applyFont="1">
      <alignment vertical="bottom"/>
    </xf>
    <xf borderId="0" fillId="6" fontId="2" numFmtId="164" xfId="0" applyAlignment="1" applyFont="1" applyNumberFormat="1">
      <alignment horizontal="center"/>
    </xf>
    <xf borderId="0" fillId="7" fontId="12" numFmtId="0" xfId="0" applyAlignment="1" applyFont="1">
      <alignment horizontal="center"/>
    </xf>
    <xf borderId="23" fillId="7" fontId="12" numFmtId="0" xfId="0" applyAlignment="1" applyBorder="1" applyFont="1">
      <alignment horizontal="center" readingOrder="0"/>
    </xf>
    <xf borderId="0" fillId="7" fontId="4" numFmtId="0" xfId="0" applyAlignment="1" applyFont="1">
      <alignment vertical="bottom"/>
    </xf>
    <xf borderId="0" fillId="10" fontId="6" numFmtId="0" xfId="0" applyAlignment="1" applyFont="1">
      <alignment horizontal="center" readingOrder="0"/>
    </xf>
    <xf borderId="0" fillId="7" fontId="7" numFmtId="0" xfId="0" applyFont="1"/>
    <xf borderId="28" fillId="6" fontId="2" numFmtId="164" xfId="0" applyAlignment="1" applyBorder="1" applyFont="1" applyNumberFormat="1">
      <alignment horizontal="center"/>
    </xf>
    <xf borderId="0" fillId="7" fontId="4" numFmtId="0" xfId="0" applyAlignment="1" applyFont="1">
      <alignment horizontal="center" vertical="bottom"/>
    </xf>
    <xf borderId="0" fillId="14" fontId="4" numFmtId="0" xfId="0" applyAlignment="1" applyFont="1">
      <alignment horizontal="center" readingOrder="0" vertical="bottom"/>
    </xf>
    <xf borderId="43" fillId="5" fontId="19" numFmtId="0" xfId="0" applyAlignment="1" applyBorder="1" applyFont="1">
      <alignment horizontal="center" vertical="bottom"/>
    </xf>
    <xf borderId="26" fillId="6" fontId="4" numFmtId="0" xfId="0" applyAlignment="1" applyBorder="1" applyFont="1">
      <alignment readingOrder="0" vertical="bottom"/>
    </xf>
    <xf borderId="0" fillId="16" fontId="4" numFmtId="0" xfId="0" applyAlignment="1" applyFill="1" applyFont="1">
      <alignment vertical="bottom"/>
    </xf>
    <xf borderId="12" fillId="7" fontId="18" numFmtId="0" xfId="0" applyAlignment="1" applyBorder="1" applyFont="1">
      <alignment horizontal="center" vertical="bottom"/>
    </xf>
    <xf borderId="0" fillId="7" fontId="4" numFmtId="0" xfId="0" applyAlignment="1" applyFont="1">
      <alignment vertical="bottom"/>
    </xf>
    <xf borderId="0" fillId="7" fontId="4" numFmtId="0" xfId="0" applyAlignment="1" applyFont="1">
      <alignment vertical="bottom"/>
    </xf>
    <xf borderId="36" fillId="0" fontId="6" numFmtId="0" xfId="0" applyAlignment="1" applyBorder="1" applyFont="1">
      <alignment horizontal="center" readingOrder="0" vertical="bottom"/>
    </xf>
    <xf borderId="28" fillId="7" fontId="13" numFmtId="0" xfId="0" applyAlignment="1" applyBorder="1" applyFont="1">
      <alignment horizontal="center" readingOrder="0"/>
    </xf>
    <xf borderId="28" fillId="0" fontId="6" numFmtId="0" xfId="0" applyAlignment="1" applyBorder="1" applyFont="1">
      <alignment horizontal="center" readingOrder="0" vertical="bottom"/>
    </xf>
    <xf borderId="28" fillId="14" fontId="4" numFmtId="0" xfId="0" applyAlignment="1" applyBorder="1" applyFont="1">
      <alignment horizontal="center" readingOrder="0" vertical="bottom"/>
    </xf>
    <xf borderId="28" fillId="0" fontId="4" numFmtId="0" xfId="0" applyAlignment="1" applyBorder="1" applyFont="1">
      <alignment horizontal="center" readingOrder="0" vertical="bottom"/>
    </xf>
    <xf borderId="0" fillId="2" fontId="6" numFmtId="0" xfId="0" applyAlignment="1" applyFont="1">
      <alignment readingOrder="0" vertical="center"/>
    </xf>
    <xf borderId="0" fillId="2" fontId="3" numFmtId="0" xfId="0" applyAlignment="1" applyFont="1">
      <alignment vertical="center"/>
    </xf>
    <xf borderId="12" fillId="4" fontId="2" numFmtId="0" xfId="0" applyAlignment="1" applyBorder="1" applyFont="1">
      <alignment horizontal="center" vertical="center"/>
    </xf>
    <xf borderId="0" fillId="4" fontId="4" numFmtId="0" xfId="0" applyAlignment="1" applyFont="1">
      <alignment vertical="center"/>
    </xf>
    <xf borderId="12" fillId="4" fontId="2" numFmtId="0" xfId="0" applyAlignment="1" applyBorder="1" applyFont="1">
      <alignment horizontal="center" vertical="center"/>
    </xf>
    <xf borderId="0" fillId="7" fontId="18" numFmtId="0" xfId="0" applyAlignment="1" applyFont="1">
      <alignment horizontal="center" vertical="bottom"/>
    </xf>
    <xf borderId="7" fillId="6" fontId="2" numFmtId="0" xfId="0" applyAlignment="1" applyBorder="1" applyFont="1">
      <alignment horizontal="center" vertical="center"/>
    </xf>
    <xf borderId="0" fillId="7" fontId="18" numFmtId="0" xfId="0" applyAlignment="1" applyFont="1">
      <alignment vertical="bottom"/>
    </xf>
    <xf borderId="0" fillId="6" fontId="4" numFmtId="0" xfId="0" applyAlignment="1" applyFont="1">
      <alignment vertical="center"/>
    </xf>
    <xf borderId="25" fillId="5" fontId="4" numFmtId="0" xfId="0" applyAlignment="1" applyBorder="1" applyFont="1">
      <alignment vertical="center"/>
    </xf>
    <xf borderId="10" fillId="5" fontId="2" numFmtId="0" xfId="0" applyAlignment="1" applyBorder="1" applyFont="1">
      <alignment horizontal="center" vertical="center"/>
    </xf>
    <xf borderId="44" fillId="0" fontId="5" numFmtId="0" xfId="0" applyBorder="1" applyFont="1"/>
    <xf borderId="45" fillId="7" fontId="6" numFmtId="0" xfId="0" applyAlignment="1" applyBorder="1" applyFont="1">
      <alignment horizontal="center" vertical="center"/>
    </xf>
    <xf borderId="27" fillId="7" fontId="6" numFmtId="0" xfId="0" applyAlignment="1" applyBorder="1" applyFont="1">
      <alignment horizontal="center" vertical="center"/>
    </xf>
    <xf borderId="45" fillId="7" fontId="6" numFmtId="169" xfId="0" applyAlignment="1" applyBorder="1" applyFont="1" applyNumberFormat="1">
      <alignment horizontal="center" vertical="center"/>
    </xf>
    <xf borderId="32" fillId="7" fontId="6" numFmtId="0" xfId="0" applyAlignment="1" applyBorder="1" applyFont="1">
      <alignment horizontal="center" vertical="center"/>
    </xf>
    <xf borderId="0" fillId="7" fontId="4" numFmtId="0" xfId="0" applyAlignment="1" applyFont="1">
      <alignment vertical="center"/>
    </xf>
    <xf borderId="26" fillId="6" fontId="6" numFmtId="0" xfId="0" applyAlignment="1" applyBorder="1" applyFont="1">
      <alignment horizontal="center" vertical="center"/>
    </xf>
    <xf borderId="8" fillId="6" fontId="6" numFmtId="0" xfId="0" applyAlignment="1" applyBorder="1" applyFont="1">
      <alignment horizontal="center" vertical="center"/>
    </xf>
    <xf borderId="7" fillId="9" fontId="6" numFmtId="0" xfId="0" applyAlignment="1" applyBorder="1" applyFont="1">
      <alignment horizontal="center" vertical="center"/>
    </xf>
    <xf borderId="12" fillId="7" fontId="4" numFmtId="0" xfId="0" applyAlignment="1" applyBorder="1" applyFont="1">
      <alignment vertical="bottom"/>
    </xf>
    <xf borderId="8" fillId="7" fontId="20" numFmtId="0" xfId="0" applyAlignment="1" applyBorder="1" applyFont="1">
      <alignment horizontal="center" vertical="bottom"/>
    </xf>
    <xf borderId="18" fillId="7" fontId="6" numFmtId="0" xfId="0" applyAlignment="1" applyBorder="1" applyFont="1">
      <alignment horizontal="center" vertical="center"/>
    </xf>
    <xf borderId="19" fillId="8" fontId="20" numFmtId="0" xfId="0" applyAlignment="1" applyBorder="1" applyFont="1">
      <alignment horizontal="center" vertical="bottom"/>
    </xf>
    <xf borderId="0" fillId="7" fontId="6" numFmtId="0" xfId="0" applyAlignment="1" applyFont="1">
      <alignment horizontal="center" vertical="center"/>
    </xf>
    <xf borderId="18" fillId="7" fontId="6" numFmtId="169" xfId="0" applyAlignment="1" applyBorder="1" applyFont="1" applyNumberFormat="1">
      <alignment horizontal="center" vertical="center"/>
    </xf>
    <xf borderId="34" fillId="7" fontId="6" numFmtId="0" xfId="0" applyAlignment="1" applyBorder="1" applyFont="1">
      <alignment horizontal="center" vertical="center"/>
    </xf>
    <xf borderId="8" fillId="7" fontId="4" numFmtId="0" xfId="0" applyAlignment="1" applyBorder="1" applyFont="1">
      <alignment vertical="bottom"/>
    </xf>
    <xf borderId="17" fillId="7" fontId="4" numFmtId="0" xfId="0" applyAlignment="1" applyBorder="1" applyFont="1">
      <alignment vertical="center"/>
    </xf>
    <xf borderId="8" fillId="7" fontId="20" numFmtId="0" xfId="0" applyAlignment="1" applyBorder="1" applyFont="1">
      <alignment horizontal="center" vertical="bottom"/>
    </xf>
    <xf borderId="10" fillId="6" fontId="4" numFmtId="0" xfId="0" applyAlignment="1" applyBorder="1" applyFont="1">
      <alignment horizontal="center" vertical="center"/>
    </xf>
    <xf borderId="19" fillId="8" fontId="20" numFmtId="0" xfId="0" applyAlignment="1" applyBorder="1" applyFont="1">
      <alignment horizontal="center" vertical="bottom"/>
    </xf>
    <xf borderId="7" fillId="7" fontId="4" numFmtId="0" xfId="0" applyAlignment="1" applyBorder="1" applyFont="1">
      <alignment vertical="center"/>
    </xf>
    <xf borderId="22" fillId="6" fontId="4" numFmtId="0" xfId="0" applyAlignment="1" applyBorder="1" applyFont="1">
      <alignment horizontal="center" vertical="center"/>
    </xf>
    <xf borderId="43" fillId="5" fontId="19" numFmtId="0" xfId="0" applyAlignment="1" applyBorder="1" applyFont="1">
      <alignment horizontal="center" readingOrder="0" vertical="bottom"/>
    </xf>
    <xf borderId="11" fillId="7" fontId="4" numFmtId="0" xfId="0" applyAlignment="1" applyBorder="1" applyFont="1">
      <alignment vertical="bottom"/>
    </xf>
    <xf borderId="17" fillId="7" fontId="4" numFmtId="0" xfId="0" applyAlignment="1" applyBorder="1" applyFont="1">
      <alignment vertical="bottom"/>
    </xf>
    <xf borderId="9" fillId="7" fontId="4" numFmtId="0" xfId="0" applyAlignment="1" applyBorder="1" applyFont="1">
      <alignment vertical="bottom"/>
    </xf>
    <xf borderId="8" fillId="7" fontId="20" numFmtId="0" xfId="0" applyAlignment="1" applyBorder="1" applyFont="1">
      <alignment horizontal="center" vertical="bottom"/>
    </xf>
    <xf borderId="28" fillId="7" fontId="4" numFmtId="0" xfId="0" applyAlignment="1" applyBorder="1" applyFont="1">
      <alignment vertical="bottom"/>
    </xf>
    <xf borderId="45" fillId="7" fontId="20" numFmtId="0" xfId="0" applyAlignment="1" applyBorder="1" applyFont="1">
      <alignment horizontal="center" vertical="center"/>
    </xf>
    <xf borderId="0" fillId="7" fontId="4" numFmtId="0" xfId="0" applyAlignment="1" applyFont="1">
      <alignment horizontal="center" vertical="center"/>
    </xf>
    <xf borderId="15" fillId="6" fontId="6" numFmtId="0" xfId="0" applyAlignment="1" applyBorder="1" applyFont="1">
      <alignment horizontal="center" vertical="center"/>
    </xf>
    <xf borderId="39" fillId="0" fontId="5" numFmtId="0" xfId="0" applyBorder="1" applyFont="1"/>
    <xf borderId="15" fillId="7" fontId="21" numFmtId="0" xfId="0" applyAlignment="1" applyBorder="1" applyFont="1">
      <alignment vertical="center"/>
    </xf>
    <xf borderId="34" fillId="7" fontId="22" numFmtId="0" xfId="0" applyAlignment="1" applyBorder="1" applyFont="1">
      <alignment horizontal="center" vertical="center"/>
    </xf>
    <xf borderId="27" fillId="7" fontId="4" numFmtId="0" xfId="0" applyAlignment="1" applyBorder="1" applyFont="1">
      <alignment vertical="bottom"/>
    </xf>
    <xf borderId="20" fillId="6" fontId="6" numFmtId="0" xfId="0" applyAlignment="1" applyBorder="1" applyFont="1">
      <alignment horizontal="center" vertical="center"/>
    </xf>
    <xf borderId="20" fillId="7" fontId="4" numFmtId="0" xfId="0" applyAlignment="1" applyBorder="1" applyFont="1">
      <alignment vertical="center"/>
    </xf>
    <xf borderId="18" fillId="0" fontId="6" numFmtId="0" xfId="0" applyAlignment="1" applyBorder="1" applyFont="1">
      <alignment horizontal="center" vertical="center"/>
    </xf>
    <xf borderId="0" fillId="7" fontId="18" numFmtId="0" xfId="0" applyAlignment="1" applyFont="1">
      <alignment horizontal="center" vertical="bottom"/>
    </xf>
    <xf borderId="26" fillId="7" fontId="4" numFmtId="0" xfId="0" applyAlignment="1" applyBorder="1" applyFont="1">
      <alignment vertical="bottom"/>
    </xf>
    <xf borderId="18" fillId="0" fontId="6" numFmtId="0" xfId="0" applyAlignment="1" applyBorder="1" applyFont="1">
      <alignment horizontal="center" vertical="center"/>
    </xf>
    <xf borderId="18" fillId="7" fontId="6" numFmtId="0" xfId="0" applyAlignment="1" applyBorder="1" applyFont="1">
      <alignment horizontal="center" vertical="center"/>
    </xf>
    <xf borderId="28" fillId="0" fontId="7" numFmtId="0" xfId="0" applyBorder="1" applyFont="1"/>
    <xf borderId="39" fillId="0" fontId="6" numFmtId="0" xfId="0" applyAlignment="1" applyBorder="1" applyFont="1">
      <alignment horizontal="center" vertical="center"/>
    </xf>
    <xf borderId="28" fillId="7" fontId="6" numFmtId="0" xfId="0" applyAlignment="1" applyBorder="1" applyFont="1">
      <alignment horizontal="center" vertical="center"/>
    </xf>
    <xf borderId="39" fillId="7" fontId="6" numFmtId="169" xfId="0" applyAlignment="1" applyBorder="1" applyFont="1" applyNumberFormat="1">
      <alignment horizontal="center" vertical="center"/>
    </xf>
    <xf borderId="37" fillId="7" fontId="6" numFmtId="0" xfId="0" applyAlignment="1" applyBorder="1" applyFont="1">
      <alignment horizontal="center" vertical="center"/>
    </xf>
    <xf borderId="39" fillId="0" fontId="6" numFmtId="0" xfId="0" applyAlignment="1" applyBorder="1" applyFont="1">
      <alignment horizontal="center" vertical="center"/>
    </xf>
    <xf borderId="26" fillId="7" fontId="4" numFmtId="0" xfId="0" applyAlignment="1" applyBorder="1" applyFont="1">
      <alignment vertical="center"/>
    </xf>
    <xf borderId="8" fillId="7" fontId="20" numFmtId="0" xfId="0" applyAlignment="1" applyBorder="1" applyFont="1">
      <alignment horizontal="center" vertical="bottom"/>
    </xf>
    <xf borderId="0" fillId="2" fontId="7" numFmtId="0" xfId="0" applyAlignment="1" applyFont="1">
      <alignment horizontal="center" readingOrder="0"/>
    </xf>
    <xf borderId="23" fillId="17" fontId="4" numFmtId="0" xfId="0" applyBorder="1" applyFill="1" applyFont="1"/>
    <xf borderId="46" fillId="0" fontId="5" numFmtId="0" xfId="0" applyBorder="1" applyFont="1"/>
    <xf borderId="12" fillId="4" fontId="23" numFmtId="0" xfId="0" applyAlignment="1" applyBorder="1" applyFont="1">
      <alignment horizontal="center" vertical="bottom"/>
    </xf>
    <xf borderId="13" fillId="4" fontId="23" numFmtId="0" xfId="0" applyAlignment="1" applyBorder="1" applyFont="1">
      <alignment horizontal="center" vertical="bottom"/>
    </xf>
    <xf borderId="47" fillId="4" fontId="23" numFmtId="0" xfId="0" applyAlignment="1" applyBorder="1" applyFont="1">
      <alignment horizontal="center" vertical="bottom"/>
    </xf>
    <xf borderId="46" fillId="4" fontId="23" numFmtId="0" xfId="0" applyAlignment="1" applyBorder="1" applyFont="1">
      <alignment horizontal="center" vertical="bottom"/>
    </xf>
    <xf borderId="46" fillId="4" fontId="23" numFmtId="0" xfId="0" applyAlignment="1" applyBorder="1" applyFont="1">
      <alignment horizontal="center" vertical="bottom"/>
    </xf>
    <xf borderId="22" fillId="0" fontId="6" numFmtId="0" xfId="0" applyAlignment="1" applyBorder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49" xfId="0" applyAlignment="1" applyFont="1" applyNumberFormat="1">
      <alignment vertical="bottom"/>
    </xf>
    <xf borderId="0" fillId="0" fontId="4" numFmtId="0" xfId="0" applyAlignment="1" applyFont="1">
      <alignment vertical="bottom"/>
    </xf>
    <xf borderId="25" fillId="18" fontId="4" numFmtId="0" xfId="0" applyAlignment="1" applyBorder="1" applyFill="1" applyFont="1">
      <alignment vertical="bottom"/>
    </xf>
    <xf borderId="9" fillId="18" fontId="4" numFmtId="0" xfId="0" applyAlignment="1" applyBorder="1" applyFont="1">
      <alignment vertical="bottom"/>
    </xf>
    <xf borderId="0" fillId="18" fontId="4" numFmtId="0" xfId="0" applyAlignment="1" applyFont="1">
      <alignment vertical="bottom"/>
    </xf>
    <xf borderId="44" fillId="0" fontId="6" numFmtId="0" xfId="0" applyAlignment="1" applyBorder="1" applyFont="1">
      <alignment horizontal="center" vertical="bottom"/>
    </xf>
    <xf borderId="0" fillId="0" fontId="6" numFmtId="49" xfId="0" applyAlignment="1" applyFont="1" applyNumberFormat="1">
      <alignment horizontal="center" vertical="bottom"/>
    </xf>
    <xf borderId="10" fillId="0" fontId="6" numFmtId="0" xfId="0" applyAlignment="1" applyBorder="1" applyFont="1">
      <alignment horizontal="center" vertical="bottom"/>
    </xf>
    <xf borderId="44" fillId="0" fontId="6" numFmtId="0" xfId="0" applyAlignment="1" applyBorder="1" applyFont="1">
      <alignment horizontal="center" vertical="bottom"/>
    </xf>
    <xf borderId="22" fillId="0" fontId="6" numFmtId="0" xfId="0" applyAlignment="1" applyBorder="1" applyFont="1">
      <alignment horizontal="center" vertical="bottom"/>
    </xf>
    <xf borderId="0" fillId="7" fontId="4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28" fillId="7" fontId="4" numFmtId="0" xfId="0" applyAlignment="1" applyBorder="1" applyFont="1">
      <alignment vertical="bottom"/>
    </xf>
    <xf borderId="9" fillId="18" fontId="4" numFmtId="0" xfId="0" applyAlignment="1" applyBorder="1" applyFont="1">
      <alignment vertical="bottom"/>
    </xf>
    <xf borderId="0" fillId="18" fontId="4" numFmtId="0" xfId="0" applyAlignment="1" applyFont="1">
      <alignment vertical="bottom"/>
    </xf>
    <xf borderId="0" fillId="2" fontId="4" numFmtId="0" xfId="0" applyAlignment="1" applyFont="1">
      <alignment vertical="bottom"/>
    </xf>
    <xf borderId="8" fillId="4" fontId="2" numFmtId="0" xfId="0" applyAlignment="1" applyBorder="1" applyFont="1">
      <alignment horizontal="center" vertical="bottom"/>
    </xf>
    <xf borderId="16" fillId="7" fontId="24" numFmtId="0" xfId="0" applyAlignment="1" applyBorder="1" applyFont="1">
      <alignment horizontal="center" readingOrder="0" shrinkToFit="0" vertical="bottom" wrapText="0"/>
    </xf>
    <xf borderId="12" fillId="4" fontId="2" numFmtId="0" xfId="0" applyAlignment="1" applyBorder="1" applyFont="1">
      <alignment horizontal="center" vertical="bottom"/>
    </xf>
    <xf borderId="8" fillId="6" fontId="2" numFmtId="0" xfId="0" applyAlignment="1" applyBorder="1" applyFont="1">
      <alignment horizontal="center" vertical="bottom"/>
    </xf>
    <xf borderId="8" fillId="7" fontId="6" numFmtId="0" xfId="0" applyAlignment="1" applyBorder="1" applyFont="1">
      <alignment horizontal="center" vertical="bottom"/>
    </xf>
    <xf borderId="8" fillId="19" fontId="6" numFmtId="0" xfId="0" applyAlignment="1" applyBorder="1" applyFill="1" applyFont="1">
      <alignment horizontal="center" vertical="bottom"/>
    </xf>
    <xf borderId="8" fillId="7" fontId="4" numFmtId="0" xfId="0" applyAlignment="1" applyBorder="1" applyFont="1">
      <alignment vertical="bottom"/>
    </xf>
    <xf borderId="45" fillId="7" fontId="20" numFmtId="0" xfId="0" applyAlignment="1" applyBorder="1" applyFont="1">
      <alignment horizontal="center" vertical="center"/>
    </xf>
    <xf borderId="9" fillId="2" fontId="4" numFmtId="0" xfId="0" applyAlignment="1" applyBorder="1" applyFont="1">
      <alignment vertical="bottom"/>
    </xf>
    <xf borderId="17" fillId="2" fontId="4" numFmtId="0" xfId="0" applyAlignment="1" applyBorder="1" applyFont="1">
      <alignment vertical="bottom"/>
    </xf>
    <xf borderId="9" fillId="4" fontId="18" numFmtId="0" xfId="0" applyAlignment="1" applyBorder="1" applyFont="1">
      <alignment horizontal="center" readingOrder="0" vertical="bottom"/>
    </xf>
    <xf borderId="0" fillId="2" fontId="18" numFmtId="0" xfId="0" applyAlignment="1" applyFont="1">
      <alignment horizontal="center" readingOrder="0" shrinkToFit="0" vertical="bottom" wrapText="0"/>
    </xf>
    <xf borderId="9" fillId="2" fontId="18" numFmtId="0" xfId="0" applyAlignment="1" applyBorder="1" applyFont="1">
      <alignment horizontal="center" readingOrder="0" shrinkToFit="0" vertical="bottom" wrapText="0"/>
    </xf>
    <xf borderId="8" fillId="7" fontId="20" numFmtId="0" xfId="0" applyAlignment="1" applyBorder="1" applyFont="1">
      <alignment horizontal="center" vertical="bottom"/>
    </xf>
    <xf borderId="26" fillId="6" fontId="4" numFmtId="0" xfId="0" applyAlignment="1" applyBorder="1" applyFont="1">
      <alignment vertical="bottom"/>
    </xf>
    <xf borderId="8" fillId="7" fontId="25" numFmtId="0" xfId="0" applyAlignment="1" applyBorder="1" applyFont="1">
      <alignment horizontal="center" vertical="bottom"/>
    </xf>
    <xf borderId="9" fillId="2" fontId="4" numFmtId="0" xfId="0" applyAlignment="1" applyBorder="1" applyFont="1">
      <alignment horizontal="center" readingOrder="0" vertical="bottom"/>
    </xf>
    <xf borderId="27" fillId="2" fontId="4" numFmtId="0" xfId="0" applyAlignment="1" applyBorder="1" applyFont="1">
      <alignment vertical="bottom"/>
    </xf>
    <xf borderId="48" fillId="7" fontId="20" numFmtId="0" xfId="0" applyAlignment="1" applyBorder="1" applyFont="1">
      <alignment readingOrder="0" vertical="bottom"/>
    </xf>
    <xf borderId="26" fillId="2" fontId="4" numFmtId="0" xfId="0" applyAlignment="1" applyBorder="1" applyFont="1">
      <alignment vertical="bottom"/>
    </xf>
    <xf borderId="49" fillId="7" fontId="4" numFmtId="0" xfId="0" applyAlignment="1" applyBorder="1" applyFont="1">
      <alignment vertical="bottom"/>
    </xf>
    <xf borderId="0" fillId="7" fontId="4" numFmtId="0" xfId="0" applyAlignment="1" applyFont="1">
      <alignment horizontal="center" readingOrder="0" vertical="bottom"/>
    </xf>
    <xf borderId="26" fillId="6" fontId="4" numFmtId="0" xfId="0" applyAlignment="1" applyBorder="1" applyFont="1">
      <alignment vertical="bottom"/>
    </xf>
    <xf borderId="50" fillId="7" fontId="4" numFmtId="0" xfId="0" applyAlignment="1" applyBorder="1" applyFont="1">
      <alignment vertical="bottom"/>
    </xf>
    <xf borderId="10" fillId="0" fontId="26" numFmtId="0" xfId="0" applyAlignment="1" applyBorder="1" applyFont="1">
      <alignment horizontal="center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169" xfId="0" applyAlignment="1" applyFont="1" applyNumberFormat="1">
      <alignment horizontal="right" vertical="bottom"/>
    </xf>
    <xf borderId="22" fillId="0" fontId="27" numFmtId="0" xfId="0" applyAlignment="1" applyBorder="1" applyFont="1">
      <alignment horizontal="center" vertical="bottom"/>
    </xf>
    <xf borderId="0" fillId="7" fontId="4" numFmtId="0" xfId="0" applyFont="1"/>
    <xf borderId="0" fillId="7" fontId="4" numFmtId="0" xfId="0" applyAlignment="1" applyFont="1">
      <alignment readingOrder="0"/>
    </xf>
    <xf borderId="26" fillId="6" fontId="28" numFmtId="0" xfId="0" applyAlignment="1" applyBorder="1" applyFont="1">
      <alignment readingOrder="0" vertical="bottom"/>
    </xf>
    <xf borderId="25" fillId="18" fontId="29" numFmtId="0" xfId="0" applyAlignment="1" applyBorder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49" xfId="0" applyAlignment="1" applyFont="1" applyNumberFormat="1">
      <alignment horizontal="center" vertical="bottom"/>
    </xf>
    <xf borderId="0" fillId="7" fontId="12" numFmtId="0" xfId="0" applyAlignment="1" applyFont="1">
      <alignment horizontal="center" vertical="bottom"/>
    </xf>
    <xf borderId="0" fillId="7" fontId="4" numFmtId="0" xfId="0" applyAlignment="1" applyFont="1">
      <alignment readingOrder="0" vertical="bottom"/>
    </xf>
    <xf borderId="0" fillId="7" fontId="20" numFmtId="0" xfId="0" applyAlignment="1" applyFont="1">
      <alignment horizontal="center" readingOrder="0" vertical="bottom"/>
    </xf>
    <xf borderId="0" fillId="7" fontId="4" numFmtId="170" xfId="0" applyAlignment="1" applyFont="1" applyNumberFormat="1">
      <alignment vertical="bottom"/>
    </xf>
    <xf borderId="0" fillId="7" fontId="20" numFmtId="170" xfId="0" applyAlignment="1" applyFont="1" applyNumberFormat="1">
      <alignment horizontal="center" readingOrder="0" vertical="bottom"/>
    </xf>
    <xf borderId="0" fillId="7" fontId="12" numFmtId="170" xfId="0" applyAlignment="1" applyFont="1" applyNumberFormat="1">
      <alignment horizontal="center" readingOrder="0"/>
    </xf>
    <xf borderId="0" fillId="7" fontId="12" numFmtId="0" xfId="0" applyAlignment="1" applyFont="1">
      <alignment horizontal="center" readingOrder="0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color rgb="FF000000"/>
      </font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</dxfs>
  <tableStyles count="1">
    <tableStyle count="2" pivot="0" name="Tournament Information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H5:I28" displayName="Table_1" name="Table_1" id="1">
  <tableColumns count="2">
    <tableColumn name="Column1" id="1"/>
    <tableColumn name="Column2" id="2"/>
  </tableColumns>
  <tableStyleInfo name="Tournament Inform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faceit.com/en/championship/555758a1-fec6-40a5-820f-122b2561fa2e/Dota%202%20at%20ROAD%20TO%20EWC%2026:%20Closed%20Qualifier%20-%20Eastern%20Europe" TargetMode="External"/><Relationship Id="rId10" Type="http://schemas.openxmlformats.org/officeDocument/2006/relationships/hyperlink" Target="https://www.faceit.com/en/championship/66ba9f27-6766-445f-a059-dcf3aa0d448e/Dota%202%20at%20ROAD%20TO%20EWC%2026:%20Online%20Qualifier%20-%20Eastern%20Europe" TargetMode="External"/><Relationship Id="rId13" Type="http://schemas.openxmlformats.org/officeDocument/2006/relationships/hyperlink" Target="https://www.faceit.com/en/championship/e78f2327-bdbb-45ae-a44d-fbca0aac8320/Dota%202%20at%20ROAD%20TO%20EWC%2026:%20Online%20Qualifier%201%20-%20Middle%20East%20Southwest%20Asia" TargetMode="External"/><Relationship Id="rId12" Type="http://schemas.openxmlformats.org/officeDocument/2006/relationships/hyperlink" Target="https://www.faceit.com/en/championship/a7b64254-1f65-4e0a-831d-1f96f00d8cc0/Dota%202%20at%20ROAD%20TO%20EWC%2026:%20Online%20Qualifier%20-%20Middle%20East%20Southwest%20Asia" TargetMode="External"/><Relationship Id="rId1" Type="http://schemas.openxmlformats.org/officeDocument/2006/relationships/hyperlink" Target="http://virtus.pro/" TargetMode="External"/><Relationship Id="rId2" Type="http://schemas.openxmlformats.org/officeDocument/2006/relationships/hyperlink" Target="https://drive.google.com/file/d/17XHc5gA-ozmcES-RNsjmM6IfXDBNfE45/view?usp=sharing" TargetMode="External"/><Relationship Id="rId3" Type="http://schemas.openxmlformats.org/officeDocument/2006/relationships/hyperlink" Target="https://www.faceit.com/en/championship/65e7db1f-a6a2-4b3c-a74f-f16ae2484d58/" TargetMode="External"/><Relationship Id="rId4" Type="http://schemas.openxmlformats.org/officeDocument/2006/relationships/hyperlink" Target="https://www.faceit.com/en/championship/e8c2cab6-1cce-4de0-9c61-ee4f6a1cce9b/" TargetMode="External"/><Relationship Id="rId9" Type="http://schemas.openxmlformats.org/officeDocument/2006/relationships/hyperlink" Target="https://www.faceit.com/en/championship/1960e405-2704-46cb-bcda-ace91e27f67f" TargetMode="External"/><Relationship Id="rId15" Type="http://schemas.openxmlformats.org/officeDocument/2006/relationships/hyperlink" Target="https://www.faceit.com/en/championship/33492990-ee9b-4287-bf64-f7ad1e3cda28/Dota%202%20at%20ROAD%20TO%20EWC%2026:%20Online%20Qualifier%20-%20Southeast%20Asia" TargetMode="External"/><Relationship Id="rId14" Type="http://schemas.openxmlformats.org/officeDocument/2006/relationships/hyperlink" Target="https://www.faceit.com/en/championship/b5f19e21-6851-4a56-9866-00ae926b2a8c/Dota%202%20at%20ROAD%20TO%20EWC%2026:%20Closed%20Qualifier%20-%20Middle%20East%20Southwest%20Asia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faceit.com/en/championship/3870d67b-8913-4dfb-9b5b-e8c5782cac60/Dota%202%20at%20ROAD%20TO%20EWC%2026:%20Closed%20Qualifier%20-%20Southeast%20Asia" TargetMode="External"/><Relationship Id="rId5" Type="http://schemas.openxmlformats.org/officeDocument/2006/relationships/hyperlink" Target="https://www.faceit.com/en/championship/409ecf90-e12b-4284-8f1d-35a3ed2f1eea/" TargetMode="External"/><Relationship Id="rId19" Type="http://schemas.openxmlformats.org/officeDocument/2006/relationships/table" Target="../tables/table1.xml"/><Relationship Id="rId6" Type="http://schemas.openxmlformats.org/officeDocument/2006/relationships/hyperlink" Target="https://www.faceit.com/en/championship/f2ea6f52-fcfa-496b-a9b1-b026c78e193b/Dota%202%20at%20ROAD%20TO%20EWC%2026:%20Online%20Qualifier%201%20-%20North%20America" TargetMode="External"/><Relationship Id="rId7" Type="http://schemas.openxmlformats.org/officeDocument/2006/relationships/hyperlink" Target="https://www.faceit.com/en/championship/d2fec2d1-2df4-4f37-8760-bba9d9a7be22/" TargetMode="External"/><Relationship Id="rId8" Type="http://schemas.openxmlformats.org/officeDocument/2006/relationships/hyperlink" Target="https://www.faceit.com/en/championship/093a60db-df2d-4542-b192-c214ff6ee073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virtus.pro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virtus.pro" TargetMode="External"/><Relationship Id="rId2" Type="http://schemas.openxmlformats.org/officeDocument/2006/relationships/hyperlink" Target="http://virtus.pro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virtus.pro" TargetMode="External"/><Relationship Id="rId2" Type="http://schemas.openxmlformats.org/officeDocument/2006/relationships/hyperlink" Target="http://virtus.pro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virtus.pro" TargetMode="External"/><Relationship Id="rId2" Type="http://schemas.openxmlformats.org/officeDocument/2006/relationships/hyperlink" Target="http://virtus.pro" TargetMode="External"/><Relationship Id="rId3" Type="http://schemas.openxmlformats.org/officeDocument/2006/relationships/hyperlink" Target="http://virtus.pro" TargetMode="External"/><Relationship Id="rId4" Type="http://schemas.openxmlformats.org/officeDocument/2006/relationships/hyperlink" Target="http://virtus.pro" TargetMode="External"/><Relationship Id="rId5" Type="http://schemas.openxmlformats.org/officeDocument/2006/relationships/hyperlink" Target="http://virtus.pro" TargetMode="External"/><Relationship Id="rId6" Type="http://schemas.openxmlformats.org/officeDocument/2006/relationships/hyperlink" Target="http://virtus.pro" TargetMode="External"/><Relationship Id="rId7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jwBbHTBn1uXDyQciLDU7MbwxryEGmTeQT3XQ2ZJ4Bg/edit?gid=1282797434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31.38"/>
    <col customWidth="1" min="3" max="3" width="3.88"/>
    <col customWidth="1" min="4" max="4" width="31.38"/>
    <col customWidth="1" min="5" max="5" width="22.63"/>
    <col customWidth="1" min="6" max="6" width="3.88"/>
    <col customWidth="1" min="9" max="9" width="14.63"/>
    <col customWidth="1" min="10" max="10" width="3.88"/>
    <col customWidth="1" min="11" max="11" width="25.13"/>
    <col customWidth="1" min="12" max="12" width="9.5"/>
    <col customWidth="1" min="13" max="13" width="3.88"/>
    <col customWidth="1" min="14" max="14" width="36.5"/>
    <col customWidth="1" min="15" max="15" width="3.88"/>
  </cols>
  <sheetData>
    <row r="1">
      <c r="A1" s="9" t="str">
        <f>IFERROR(__xludf.DUMMYFUNCTION("if('Make Public'!C7=""Yes"",importrange('Make Public'!B3,""Tournament Information!A1:n""),""TBD"")"),"")</f>
        <v/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5"/>
      <c r="O1" s="9"/>
    </row>
    <row r="2">
      <c r="A2" s="9"/>
      <c r="B2" s="17" t="str">
        <f>IFERROR(__xludf.DUMMYFUNCTION("""COMPUTED_VALUE"""),"Format")</f>
        <v>Format</v>
      </c>
      <c r="C2" s="10"/>
      <c r="D2" s="18" t="str">
        <f>IFERROR(__xludf.DUMMYFUNCTION("""COMPUTED_VALUE"""),"Quick Facts")</f>
        <v>Quick Facts</v>
      </c>
      <c r="E2" s="19"/>
      <c r="F2" s="10"/>
      <c r="G2" s="23" t="str">
        <f>IFERROR(__xludf.DUMMYFUNCTION("""COMPUTED_VALUE"""),"Prize Money")</f>
        <v>Prize Money</v>
      </c>
      <c r="H2" s="21"/>
      <c r="I2" s="22"/>
      <c r="J2" s="10"/>
      <c r="K2" s="23" t="str">
        <f>IFERROR(__xludf.DUMMYFUNCTION("""COMPUTED_VALUE"""),"FAQ")</f>
        <v>FAQ</v>
      </c>
      <c r="L2" s="21"/>
      <c r="M2" s="21"/>
      <c r="N2" s="22"/>
      <c r="O2" s="25"/>
    </row>
    <row r="3">
      <c r="A3" s="9"/>
      <c r="B3" s="26" t="str">
        <f>IFERROR(__xludf.DUMMYFUNCTION("""COMPUTED_VALUE"""),"Stage 1: Group Stage")</f>
        <v>Stage 1: Group Stage</v>
      </c>
      <c r="C3" s="10"/>
      <c r="D3" s="29" t="str">
        <f>IFERROR(__xludf.DUMMYFUNCTION("""COMPUTED_VALUE"""),"Tournament Days (without breaks)")</f>
        <v>Tournament Days (without breaks)</v>
      </c>
      <c r="E3" s="30">
        <f>IFERROR(__xludf.DUMMYFUNCTION("""COMPUTED_VALUE"""),12.0)</f>
        <v>12</v>
      </c>
      <c r="F3" s="10"/>
      <c r="G3" s="33" t="str">
        <f>IFERROR(__xludf.DUMMYFUNCTION("""COMPUTED_VALUE"""),"#")</f>
        <v>#</v>
      </c>
      <c r="H3" s="35" t="str">
        <f>IFERROR(__xludf.DUMMYFUNCTION("""COMPUTED_VALUE"""),"Prize")</f>
        <v>Prize</v>
      </c>
      <c r="I3" s="35" t="str">
        <f>IFERROR(__xludf.DUMMYFUNCTION("""COMPUTED_VALUE"""),"Team")</f>
        <v>Team</v>
      </c>
      <c r="J3" s="10"/>
      <c r="K3" s="10"/>
      <c r="L3" s="10"/>
      <c r="M3" s="10"/>
      <c r="N3" s="38"/>
      <c r="O3" s="9"/>
    </row>
    <row r="4">
      <c r="A4" s="9"/>
      <c r="B4" s="39" t="str">
        <f>IFERROR(__xludf.DUMMYFUNCTION("""COMPUTED_VALUE"""),"24 teams
(24 Qualified)")</f>
        <v>24 teams
(24 Qualified)</v>
      </c>
      <c r="C4" s="10"/>
      <c r="D4" s="41" t="str">
        <f>IFERROR(__xludf.DUMMYFUNCTION("""COMPUTED_VALUE"""),"Tournament Days (with breaks)")</f>
        <v>Tournament Days (with breaks)</v>
      </c>
      <c r="E4" s="42">
        <f>IFERROR(__xludf.DUMMYFUNCTION("""COMPUTED_VALUE"""),13.0)</f>
        <v>13</v>
      </c>
      <c r="F4" s="10"/>
      <c r="G4" s="43" t="str">
        <f>IFERROR(__xludf.DUMMYFUNCTION("""COMPUTED_VALUE"""),"Total:")</f>
        <v>Total:</v>
      </c>
      <c r="H4" s="44">
        <f>IFERROR(__xludf.DUMMYFUNCTION("""COMPUTED_VALUE"""),2000000.0)</f>
        <v>2000000</v>
      </c>
      <c r="I4" s="45"/>
      <c r="J4" s="10"/>
      <c r="K4" s="47" t="str">
        <f>IFERROR(__xludf.DUMMYFUNCTION("""COMPUTED_VALUE"""),"Match Breaks")</f>
        <v>Match Breaks</v>
      </c>
      <c r="L4" s="19"/>
      <c r="M4" s="10"/>
      <c r="N4" s="49" t="str">
        <f>IFERROR(__xludf.DUMMYFUNCTION("""COMPUTED_VALUE"""),"Draft Procedure")</f>
        <v>Draft Procedure</v>
      </c>
      <c r="O4" s="9"/>
    </row>
    <row r="5">
      <c r="A5" s="9"/>
      <c r="B5" s="24"/>
      <c r="C5" s="10"/>
      <c r="D5" s="52"/>
      <c r="E5" s="53"/>
      <c r="F5" s="10"/>
      <c r="G5" s="55">
        <f>IFERROR(__xludf.DUMMYFUNCTION("""COMPUTED_VALUE"""),1.0)</f>
        <v>1</v>
      </c>
      <c r="H5" s="58">
        <f>IFERROR(__xludf.DUMMYFUNCTION("""COMPUTED_VALUE"""),750000.0)</f>
        <v>750000</v>
      </c>
      <c r="I5" s="59"/>
      <c r="J5" s="10"/>
      <c r="K5" s="60" t="str">
        <f>IFERROR(__xludf.DUMMYFUNCTION("""COMPUTED_VALUE"""),"Break between maps")</f>
        <v>Break between maps</v>
      </c>
      <c r="L5" s="62" t="str">
        <f>IFERROR(__xludf.DUMMYFUNCTION("""COMPUTED_VALUE"""),"15 minutes")</f>
        <v>15 minutes</v>
      </c>
      <c r="M5" s="10"/>
      <c r="N5" s="39" t="str">
        <f>IFERROR(__xludf.DUMMYFUNCTION("""COMPUTED_VALUE"""),"This example assumes Radiant is the startng team. Invert teams if Dire is the starting team.")</f>
        <v>This example assumes Radiant is the startng team. Invert teams if Dire is the starting team.</v>
      </c>
      <c r="O5" s="9"/>
    </row>
    <row r="6">
      <c r="A6" s="9"/>
      <c r="B6" s="64" t="str">
        <f>IFERROR(__xludf.DUMMYFUNCTION("""COMPUTED_VALUE"""),"4 Group of 6 Teams")</f>
        <v>4 Group of 6 Teams</v>
      </c>
      <c r="C6" s="10"/>
      <c r="D6" s="39" t="str">
        <f>IFERROR(__xludf.DUMMYFUNCTION("""COMPUTED_VALUE"""),"Players Arrival Date")</f>
        <v>Players Arrival Date</v>
      </c>
      <c r="E6" s="66">
        <f>IFERROR(__xludf.DUMMYFUNCTION("""COMPUTED_VALUE"""),46208.0)</f>
        <v>46208</v>
      </c>
      <c r="F6" s="10"/>
      <c r="G6" s="67">
        <f>IFERROR(__xludf.DUMMYFUNCTION("""COMPUTED_VALUE"""),2.0)</f>
        <v>2</v>
      </c>
      <c r="H6" s="68">
        <f>IFERROR(__xludf.DUMMYFUNCTION("""COMPUTED_VALUE"""),340000.0)</f>
        <v>340000</v>
      </c>
      <c r="I6" s="69"/>
      <c r="J6" s="10"/>
      <c r="K6" s="70" t="str">
        <f>IFERROR(__xludf.DUMMYFUNCTION("""COMPUTED_VALUE"""),"Break between matches")</f>
        <v>Break between matches</v>
      </c>
      <c r="L6" s="71" t="str">
        <f>IFERROR(__xludf.DUMMYFUNCTION("""COMPUTED_VALUE"""),"40 minutes")</f>
        <v>40 minutes</v>
      </c>
      <c r="M6" s="10"/>
      <c r="N6" s="32"/>
      <c r="O6" s="9"/>
    </row>
    <row r="7">
      <c r="A7" s="9"/>
      <c r="B7" s="64" t="str">
        <f>IFERROR(__xludf.DUMMYFUNCTION("""COMPUTED_VALUE"""),"Round Robin Format")</f>
        <v>Round Robin Format</v>
      </c>
      <c r="C7" s="10"/>
      <c r="D7" s="39" t="str">
        <f>IFERROR(__xludf.DUMMYFUNCTION("""COMPUTED_VALUE"""),"Media Day")</f>
        <v>Media Day</v>
      </c>
      <c r="E7" s="66">
        <f>IFERROR(__xludf.DUMMYFUNCTION("""COMPUTED_VALUE"""),46209.0)</f>
        <v>46209</v>
      </c>
      <c r="F7" s="10"/>
      <c r="G7" s="67">
        <f>IFERROR(__xludf.DUMMYFUNCTION("""COMPUTED_VALUE"""),3.0)</f>
        <v>3</v>
      </c>
      <c r="H7" s="58">
        <f>IFERROR(__xludf.DUMMYFUNCTION("""COMPUTED_VALUE"""),200000.0)</f>
        <v>200000</v>
      </c>
      <c r="I7" s="59"/>
      <c r="J7" s="10"/>
      <c r="K7" s="10"/>
      <c r="L7" s="10"/>
      <c r="M7" s="10"/>
      <c r="N7" s="73" t="str">
        <f>IFERROR(__xludf.DUMMYFUNCTION("""COMPUTED_VALUE"""),"Ban")</f>
        <v>Ban</v>
      </c>
      <c r="O7" s="9"/>
    </row>
    <row r="8">
      <c r="A8" s="9"/>
      <c r="B8" s="64" t="str">
        <f>IFERROR(__xludf.DUMMYFUNCTION("""COMPUTED_VALUE"""),"Bo2")</f>
        <v>Bo2</v>
      </c>
      <c r="C8" s="10"/>
      <c r="D8" s="74" t="str">
        <f>IFERROR(__xludf.DUMMYFUNCTION("""COMPUTED_VALUE"""),"Tournament Dates")</f>
        <v>Tournament Dates</v>
      </c>
      <c r="E8" s="75" t="str">
        <f>IFERROR(__xludf.DUMMYFUNCTION("""COMPUTED_VALUE"""),"July 7 - 19")</f>
        <v>July 7 - 19</v>
      </c>
      <c r="F8" s="10"/>
      <c r="G8" s="67">
        <f>IFERROR(__xludf.DUMMYFUNCTION("""COMPUTED_VALUE"""),4.0)</f>
        <v>4</v>
      </c>
      <c r="H8" s="68">
        <f>IFERROR(__xludf.DUMMYFUNCTION("""COMPUTED_VALUE"""),120000.0)</f>
        <v>120000</v>
      </c>
      <c r="I8" s="69"/>
      <c r="J8" s="10"/>
      <c r="K8" s="76" t="str">
        <f>IFERROR(__xludf.DUMMYFUNCTION("""COMPUTED_VALUE"""),"Pauses")</f>
        <v>Pauses</v>
      </c>
      <c r="L8" s="77"/>
      <c r="M8" s="10"/>
      <c r="N8" s="78" t="str">
        <f>IFERROR(__xludf.DUMMYFUNCTION("""COMPUTED_VALUE"""),"Ban")</f>
        <v>Ban</v>
      </c>
      <c r="O8" s="9"/>
    </row>
    <row r="9">
      <c r="A9" s="9"/>
      <c r="B9" s="64" t="str">
        <f>IFERROR(__xludf.DUMMYFUNCTION("""COMPUTED_VALUE"""),"1st per group qualify to Playoffs")</f>
        <v>1st per group qualify to Playoffs</v>
      </c>
      <c r="C9" s="10"/>
      <c r="D9" s="39" t="str">
        <f>IFERROR(__xludf.DUMMYFUNCTION("""COMPUTED_VALUE"""),"Playoffs Dates")</f>
        <v>Playoffs Dates</v>
      </c>
      <c r="E9" s="75" t="str">
        <f>IFERROR(__xludf.DUMMYFUNCTION("""COMPUTED_VALUE"""),"July 16 - 19")</f>
        <v>July 16 - 19</v>
      </c>
      <c r="F9" s="10"/>
      <c r="G9" s="67" t="str">
        <f>IFERROR(__xludf.DUMMYFUNCTION("""COMPUTED_VALUE"""),"5-8")</f>
        <v>5-8</v>
      </c>
      <c r="H9" s="58">
        <f>IFERROR(__xludf.DUMMYFUNCTION("""COMPUTED_VALUE"""),70000.0)</f>
        <v>70000</v>
      </c>
      <c r="I9" s="59" t="str">
        <f>IFERROR(__xludf.DUMMYFUNCTION("""COMPUTED_VALUE"""),"Nigma Galaxy")</f>
        <v>Nigma Galaxy</v>
      </c>
      <c r="J9" s="10"/>
      <c r="K9" s="79" t="str">
        <f>IFERROR(__xludf.DUMMYFUNCTION("""COMPUTED_VALUE"""),"Pauses should only be for technical reasons")</f>
        <v>Pauses should only be for technical reasons</v>
      </c>
      <c r="L9" s="80"/>
      <c r="M9" s="10"/>
      <c r="N9" s="81" t="str">
        <f>IFERROR(__xludf.DUMMYFUNCTION("""COMPUTED_VALUE"""),"Ban")</f>
        <v>Ban</v>
      </c>
      <c r="O9" s="9"/>
    </row>
    <row r="10">
      <c r="A10" s="9"/>
      <c r="B10" s="64" t="str">
        <f>IFERROR(__xludf.DUMMYFUNCTION("""COMPUTED_VALUE"""),"2nd-4th per group qualify to Survival")</f>
        <v>2nd-4th per group qualify to Survival</v>
      </c>
      <c r="C10" s="10"/>
      <c r="D10" s="52"/>
      <c r="E10" s="53"/>
      <c r="F10" s="10"/>
      <c r="G10" s="67" t="str">
        <f>IFERROR(__xludf.DUMMYFUNCTION("""COMPUTED_VALUE"""),"5-8")</f>
        <v>5-8</v>
      </c>
      <c r="H10" s="68">
        <f>IFERROR(__xludf.DUMMYFUNCTION("""COMPUTED_VALUE"""),70000.0)</f>
        <v>70000</v>
      </c>
      <c r="I10" s="69" t="str">
        <f>IFERROR(__xludf.DUMMYFUNCTION("""COMPUTED_VALUE"""),"Team Falcons")</f>
        <v>Team Falcons</v>
      </c>
      <c r="J10" s="10"/>
      <c r="K10" s="10"/>
      <c r="L10" s="10"/>
      <c r="M10" s="10"/>
      <c r="N10" s="81" t="str">
        <f>IFERROR(__xludf.DUMMYFUNCTION("""COMPUTED_VALUE"""),"Ban")</f>
        <v>Ban</v>
      </c>
      <c r="O10" s="9"/>
    </row>
    <row r="11">
      <c r="A11" s="9"/>
      <c r="B11" s="64" t="str">
        <f>IFERROR(__xludf.DUMMYFUNCTION("""COMPUTED_VALUE"""),"5th-6th per group eliminated")</f>
        <v>5th-6th per group eliminated</v>
      </c>
      <c r="C11" s="10"/>
      <c r="D11" s="39" t="str">
        <f>IFERROR(__xludf.DUMMYFUNCTION("""COMPUTED_VALUE"""),"Roster Submission Deadline")</f>
        <v>Roster Submission Deadline</v>
      </c>
      <c r="E11" s="66">
        <f>IFERROR(__xludf.DUMMYFUNCTION("""COMPUTED_VALUE"""),46182.0)</f>
        <v>46182</v>
      </c>
      <c r="F11" s="10"/>
      <c r="G11" s="67" t="str">
        <f>IFERROR(__xludf.DUMMYFUNCTION("""COMPUTED_VALUE"""),"5-8")</f>
        <v>5-8</v>
      </c>
      <c r="H11" s="58">
        <f>IFERROR(__xludf.DUMMYFUNCTION("""COMPUTED_VALUE"""),70000.0)</f>
        <v>70000</v>
      </c>
      <c r="I11" s="59" t="str">
        <f>IFERROR(__xludf.DUMMYFUNCTION("""COMPUTED_VALUE"""),"Rune Eaters")</f>
        <v>Rune Eaters</v>
      </c>
      <c r="J11" s="10"/>
      <c r="K11" s="76" t="str">
        <f>IFERROR(__xludf.DUMMYFUNCTION("""COMPUTED_VALUE"""),"Seeding")</f>
        <v>Seeding</v>
      </c>
      <c r="L11" s="77"/>
      <c r="M11" s="10"/>
      <c r="N11" s="78" t="str">
        <f>IFERROR(__xludf.DUMMYFUNCTION("""COMPUTED_VALUE"""),"Ban")</f>
        <v>Ban</v>
      </c>
      <c r="O11" s="9"/>
    </row>
    <row r="12">
      <c r="A12" s="9"/>
      <c r="B12" s="82" t="str">
        <f>IFERROR(__xludf.DUMMYFUNCTION("""COMPUTED_VALUE"""),"Stage 2: Survival")</f>
        <v>Stage 2: Survival</v>
      </c>
      <c r="C12" s="10"/>
      <c r="D12" s="39" t="str">
        <f>IFERROR(__xludf.DUMMYFUNCTION("""COMPUTED_VALUE"""),"Seeding Date")</f>
        <v>Seeding Date</v>
      </c>
      <c r="E12" s="66" t="str">
        <f>IFERROR(__xludf.DUMMYFUNCTION("""COMPUTED_VALUE"""),"June 19 (latest)")</f>
        <v>June 19 (latest)</v>
      </c>
      <c r="F12" s="10"/>
      <c r="G12" s="67" t="str">
        <f>IFERROR(__xludf.DUMMYFUNCTION("""COMPUTED_VALUE"""),"5-8")</f>
        <v>5-8</v>
      </c>
      <c r="H12" s="68">
        <f>IFERROR(__xludf.DUMMYFUNCTION("""COMPUTED_VALUE"""),70000.0)</f>
        <v>70000</v>
      </c>
      <c r="I12" s="69" t="str">
        <f>IFERROR(__xludf.DUMMYFUNCTION("""COMPUTED_VALUE"""),"Team Spirit")</f>
        <v>Team Spirit</v>
      </c>
      <c r="J12" s="10"/>
      <c r="K12" s="84" t="str">
        <f>IFERROR(__xludf.DUMMYFUNCTION("""COMPUTED_VALUE"""),"Group Stage")</f>
        <v>Group Stage</v>
      </c>
      <c r="L12" s="77"/>
      <c r="M12" s="10"/>
      <c r="N12" s="81" t="str">
        <f>IFERROR(__xludf.DUMMYFUNCTION("""COMPUTED_VALUE"""),"Ban")</f>
        <v>Ban</v>
      </c>
      <c r="O12" s="9"/>
    </row>
    <row r="13">
      <c r="A13" s="9"/>
      <c r="B13" s="39" t="str">
        <f>IFERROR(__xludf.DUMMYFUNCTION("""COMPUTED_VALUE"""),"12 teams
(12 qualified)")</f>
        <v>12 teams
(12 qualified)</v>
      </c>
      <c r="C13" s="10"/>
      <c r="D13" s="52"/>
      <c r="E13" s="53"/>
      <c r="F13" s="10"/>
      <c r="G13" s="67" t="str">
        <f>IFERROR(__xludf.DUMMYFUNCTION("""COMPUTED_VALUE"""),"9-12")</f>
        <v>9-12</v>
      </c>
      <c r="H13" s="58">
        <f>IFERROR(__xludf.DUMMYFUNCTION("""COMPUTED_VALUE"""),40000.0)</f>
        <v>40000</v>
      </c>
      <c r="I13" s="59" t="str">
        <f>IFERROR(__xludf.DUMMYFUNCTION("""COMPUTED_VALUE"""),"1W")</f>
        <v>1W</v>
      </c>
      <c r="J13" s="10"/>
      <c r="K13" s="87" t="str">
        <f>IFERROR(__xludf.DUMMYFUNCTION("""COMPUTED_VALUE"""),"The EPT Leaderboard Teams must be divided evenly between the 4 groups, and there cannot be more than 1 team from each four ranks (between 1-4, 5-8, etc) in any single Group.")</f>
        <v>The EPT Leaderboard Teams must be divided evenly between the 4 groups, and there cannot be more than 1 team from each four ranks (between 1-4, 5-8, etc) in any single Group.</v>
      </c>
      <c r="L13" s="88"/>
      <c r="M13" s="10"/>
      <c r="N13" s="81" t="str">
        <f>IFERROR(__xludf.DUMMYFUNCTION("""COMPUTED_VALUE"""),"Ban")</f>
        <v>Ban</v>
      </c>
      <c r="O13" s="9"/>
    </row>
    <row r="14">
      <c r="A14" s="9"/>
      <c r="B14" s="24"/>
      <c r="C14" s="10"/>
      <c r="D14" s="39" t="str">
        <f>IFERROR(__xludf.DUMMYFUNCTION("""COMPUTED_VALUE"""),"Total number of teams")</f>
        <v>Total number of teams</v>
      </c>
      <c r="E14" s="75">
        <f>IFERROR(__xludf.DUMMYFUNCTION("""COMPUTED_VALUE"""),24.0)</f>
        <v>24</v>
      </c>
      <c r="F14" s="10"/>
      <c r="G14" s="67" t="str">
        <f>IFERROR(__xludf.DUMMYFUNCTION("""COMPUTED_VALUE"""),"9-12")</f>
        <v>9-12</v>
      </c>
      <c r="H14" s="68">
        <f>IFERROR(__xludf.DUMMYFUNCTION("""COMPUTED_VALUE"""),40000.0)</f>
        <v>40000</v>
      </c>
      <c r="I14" s="69" t="str">
        <f>IFERROR(__xludf.DUMMYFUNCTION("""COMPUTED_VALUE"""),"LGD Gaming")</f>
        <v>LGD Gaming</v>
      </c>
      <c r="J14" s="10"/>
      <c r="K14" s="95"/>
      <c r="L14" s="88"/>
      <c r="M14" s="10"/>
      <c r="N14" s="78" t="str">
        <f>IFERROR(__xludf.DUMMYFUNCTION("""COMPUTED_VALUE"""),"Pick")</f>
        <v>Pick</v>
      </c>
      <c r="O14" s="9"/>
    </row>
    <row r="15">
      <c r="A15" s="9"/>
      <c r="B15" s="97" t="str">
        <f>IFERROR(__xludf.DUMMYFUNCTION("""COMPUTED_VALUE"""),"Partially populated Single Elimination")</f>
        <v>Partially populated Single Elimination</v>
      </c>
      <c r="C15" s="10"/>
      <c r="D15" s="39" t="str">
        <f>IFERROR(__xludf.DUMMYFUNCTION("""COMPUTED_VALUE"""),"Players per team")</f>
        <v>Players per team</v>
      </c>
      <c r="E15" s="75">
        <f>IFERROR(__xludf.DUMMYFUNCTION("""COMPUTED_VALUE"""),5.0)</f>
        <v>5</v>
      </c>
      <c r="F15" s="10"/>
      <c r="G15" s="67" t="str">
        <f>IFERROR(__xludf.DUMMYFUNCTION("""COMPUTED_VALUE"""),"9-12")</f>
        <v>9-12</v>
      </c>
      <c r="H15" s="58">
        <f>IFERROR(__xludf.DUMMYFUNCTION("""COMPUTED_VALUE"""),40000.0)</f>
        <v>40000</v>
      </c>
      <c r="I15" s="59" t="str">
        <f>IFERROR(__xludf.DUMMYFUNCTION("""COMPUTED_VALUE"""),"Team Liquid")</f>
        <v>Team Liquid</v>
      </c>
      <c r="J15" s="10"/>
      <c r="K15" s="95"/>
      <c r="L15" s="88"/>
      <c r="M15" s="10"/>
      <c r="N15" s="98" t="str">
        <f>IFERROR(__xludf.DUMMYFUNCTION("""COMPUTED_VALUE"""),"Pick")</f>
        <v>Pick</v>
      </c>
      <c r="O15" s="9"/>
    </row>
    <row r="16">
      <c r="A16" s="9"/>
      <c r="B16" s="97" t="str">
        <f>IFERROR(__xludf.DUMMYFUNCTION("""COMPUTED_VALUE"""),"4th vs 3rd from groups, winner vs 2nd")</f>
        <v>4th vs 3rd from groups, winner vs 2nd</v>
      </c>
      <c r="C16" s="10"/>
      <c r="D16" s="39" t="str">
        <f>IFERROR(__xludf.DUMMYFUNCTION("""COMPUTED_VALUE"""),"Total number of players")</f>
        <v>Total number of players</v>
      </c>
      <c r="E16" s="99">
        <f>IFERROR(__xludf.DUMMYFUNCTION("""COMPUTED_VALUE"""),120.0)</f>
        <v>120</v>
      </c>
      <c r="F16" s="10"/>
      <c r="G16" s="67" t="str">
        <f>IFERROR(__xludf.DUMMYFUNCTION("""COMPUTED_VALUE"""),"9-12")</f>
        <v>9-12</v>
      </c>
      <c r="H16" s="68">
        <f>IFERROR(__xludf.DUMMYFUNCTION("""COMPUTED_VALUE"""),40000.0)</f>
        <v>40000</v>
      </c>
      <c r="I16" s="69" t="str">
        <f>IFERROR(__xludf.DUMMYFUNCTION("""COMPUTED_VALUE"""),"Aurora Gaming")</f>
        <v>Aurora Gaming</v>
      </c>
      <c r="J16" s="10"/>
      <c r="K16" s="100" t="str">
        <f>IFERROR(__xludf.DUMMYFUNCTION("""COMPUTED_VALUE"""),"After all the teams with EPT Points have been seeded, the teams who qualified without attaining EPT points will be seeded using a GLICKO2 rating that considers all professional games.")</f>
        <v>After all the teams with EPT Points have been seeded, the teams who qualified without attaining EPT points will be seeded using a GLICKO2 rating that considers all professional games.</v>
      </c>
      <c r="L16" s="88"/>
      <c r="M16" s="10"/>
      <c r="N16" s="101" t="str">
        <f>IFERROR(__xludf.DUMMYFUNCTION("""COMPUTED_VALUE"""),"Ban")</f>
        <v>Ban</v>
      </c>
      <c r="O16" s="9"/>
    </row>
    <row r="17">
      <c r="A17" s="9"/>
      <c r="B17" s="97" t="str">
        <f>IFERROR(__xludf.DUMMYFUNCTION("""COMPUTED_VALUE"""),"Bo3")</f>
        <v>Bo3</v>
      </c>
      <c r="C17" s="10"/>
      <c r="D17" s="39" t="str">
        <f>IFERROR(__xludf.DUMMYFUNCTION("""COMPUTED_VALUE"""),"Total number of matches")</f>
        <v>Total number of matches</v>
      </c>
      <c r="E17" s="66" t="str">
        <f>IFERROR(__xludf.DUMMYFUNCTION("""COMPUTED_VALUE"""),"76 - 88")</f>
        <v>76 - 88</v>
      </c>
      <c r="F17" s="10"/>
      <c r="G17" s="67" t="str">
        <f>IFERROR(__xludf.DUMMYFUNCTION("""COMPUTED_VALUE"""),"13-16")</f>
        <v>13-16</v>
      </c>
      <c r="H17" s="58">
        <f>IFERROR(__xludf.DUMMYFUNCTION("""COMPUTED_VALUE"""),20000.0)</f>
        <v>20000</v>
      </c>
      <c r="I17" s="59"/>
      <c r="J17" s="10"/>
      <c r="K17" s="95"/>
      <c r="L17" s="88"/>
      <c r="M17" s="10"/>
      <c r="N17" s="102" t="str">
        <f>IFERROR(__xludf.DUMMYFUNCTION("""COMPUTED_VALUE"""),"Ban")</f>
        <v>Ban</v>
      </c>
      <c r="O17" s="9"/>
    </row>
    <row r="18">
      <c r="A18" s="9"/>
      <c r="B18" s="103" t="str">
        <f>IFERROR(__xludf.DUMMYFUNCTION("""COMPUTED_VALUE"""),"Top 4 qualify to Playoffs")</f>
        <v>Top 4 qualify to Playoffs</v>
      </c>
      <c r="C18" s="10"/>
      <c r="D18" s="52"/>
      <c r="E18" s="53"/>
      <c r="F18" s="10"/>
      <c r="G18" s="67" t="str">
        <f>IFERROR(__xludf.DUMMYFUNCTION("""COMPUTED_VALUE"""),"13-16")</f>
        <v>13-16</v>
      </c>
      <c r="H18" s="68">
        <f>IFERROR(__xludf.DUMMYFUNCTION("""COMPUTED_VALUE"""),20000.0)</f>
        <v>20000</v>
      </c>
      <c r="I18" s="69" t="str">
        <f>IFERROR(__xludf.DUMMYFUNCTION("""COMPUTED_VALUE"""),"LGD Gaming")</f>
        <v>LGD Gaming</v>
      </c>
      <c r="J18" s="10"/>
      <c r="K18" s="95"/>
      <c r="L18" s="88"/>
      <c r="M18" s="10"/>
      <c r="N18" s="98" t="str">
        <f>IFERROR(__xludf.DUMMYFUNCTION("""COMPUTED_VALUE"""),"Ban")</f>
        <v>Ban</v>
      </c>
      <c r="O18" s="9"/>
    </row>
    <row r="19">
      <c r="A19" s="9"/>
      <c r="B19" s="104" t="str">
        <f>IFERROR(__xludf.DUMMYFUNCTION("""COMPUTED_VALUE"""),"Stage 3: Playoffs")</f>
        <v>Stage 3: Playoffs</v>
      </c>
      <c r="C19" s="10"/>
      <c r="D19" s="39" t="str">
        <f>IFERROR(__xludf.DUMMYFUNCTION("""COMPUTED_VALUE"""),"Platform")</f>
        <v>Platform</v>
      </c>
      <c r="E19" s="42" t="str">
        <f>IFERROR(__xludf.DUMMYFUNCTION("""COMPUTED_VALUE"""),"PC")</f>
        <v>PC</v>
      </c>
      <c r="F19" s="10"/>
      <c r="G19" s="105" t="str">
        <f>IFERROR(__xludf.DUMMYFUNCTION("""COMPUTED_VALUE"""),"13-16")</f>
        <v>13-16</v>
      </c>
      <c r="H19" s="106">
        <f>IFERROR(__xludf.DUMMYFUNCTION("""COMPUTED_VALUE"""),20000.0)</f>
        <v>20000</v>
      </c>
      <c r="I19" s="59" t="str">
        <f>IFERROR(__xludf.DUMMYFUNCTION("""COMPUTED_VALUE"""),"Xtreme Gaming")</f>
        <v>Xtreme Gaming</v>
      </c>
      <c r="J19" s="10"/>
      <c r="K19" s="107" t="str">
        <f>IFERROR(__xludf.DUMMYFUNCTION("""COMPUTED_VALUE"""),"Playoffs")</f>
        <v>Playoffs</v>
      </c>
      <c r="L19" s="77"/>
      <c r="M19" s="10"/>
      <c r="N19" s="98" t="str">
        <f>IFERROR(__xludf.DUMMYFUNCTION("""COMPUTED_VALUE"""),"Pick")</f>
        <v>Pick</v>
      </c>
      <c r="O19" s="9"/>
    </row>
    <row r="20">
      <c r="A20" s="9"/>
      <c r="B20" s="39" t="str">
        <f>IFERROR(__xludf.DUMMYFUNCTION("""COMPUTED_VALUE"""),"8 teams
(4 from Group Stage, 4 from Survival)")</f>
        <v>8 teams
(4 from Group Stage, 4 from Survival)</v>
      </c>
      <c r="C20" s="10"/>
      <c r="D20" s="39" t="str">
        <f>IFERROR(__xludf.DUMMYFUNCTION("""COMPUTED_VALUE"""),"Game Mode")</f>
        <v>Game Mode</v>
      </c>
      <c r="E20" s="75" t="str">
        <f>IFERROR(__xludf.DUMMYFUNCTION("""COMPUTED_VALUE"""),"Captain's Mode")</f>
        <v>Captain's Mode</v>
      </c>
      <c r="F20" s="10"/>
      <c r="G20" s="108" t="str">
        <f>IFERROR(__xludf.DUMMYFUNCTION("""COMPUTED_VALUE"""),"13-16")</f>
        <v>13-16</v>
      </c>
      <c r="H20" s="109">
        <f>IFERROR(__xludf.DUMMYFUNCTION("""COMPUTED_VALUE"""),20000.0)</f>
        <v>20000</v>
      </c>
      <c r="I20" s="110" t="str">
        <f>IFERROR(__xludf.DUMMYFUNCTION("""COMPUTED_VALUE"""),"Virtus.pro")</f>
        <v>Virtus.pro</v>
      </c>
      <c r="J20" s="10"/>
      <c r="K20" s="111" t="str">
        <f>IFERROR(__xludf.DUMMYFUNCTION("""COMPUTED_VALUE"""),"The playoffs consists of a seeded Single Elim bracket. 3rd and 4th from each group advances to the Ro16, 2nd to Ro12 and 1st to Ro8.")</f>
        <v>The playoffs consists of a seeded Single Elim bracket. 3rd and 4th from each group advances to the Ro16, 2nd to Ro12 and 1st to Ro8.</v>
      </c>
      <c r="L20" s="112"/>
      <c r="M20" s="10"/>
      <c r="N20" s="102" t="str">
        <f>IFERROR(__xludf.DUMMYFUNCTION("""COMPUTED_VALUE"""),"Pick")</f>
        <v>Pick</v>
      </c>
      <c r="O20" s="9"/>
    </row>
    <row r="21">
      <c r="A21" s="9"/>
      <c r="B21" s="24"/>
      <c r="C21" s="10"/>
      <c r="D21" s="52"/>
      <c r="E21" s="113"/>
      <c r="F21" s="10"/>
      <c r="G21" s="108" t="str">
        <f>IFERROR(__xludf.DUMMYFUNCTION("""COMPUTED_VALUE"""),"17-20")</f>
        <v>17-20</v>
      </c>
      <c r="H21" s="106">
        <f>IFERROR(__xludf.DUMMYFUNCTION("""COMPUTED_VALUE"""),10000.0)</f>
        <v>10000</v>
      </c>
      <c r="I21" s="114" t="str">
        <f>IFERROR(__xludf.DUMMYFUNCTION("""COMPUTED_VALUE"""),"OG Esports")</f>
        <v>OG Esports</v>
      </c>
      <c r="J21" s="10"/>
      <c r="K21" s="115"/>
      <c r="L21" s="116"/>
      <c r="M21" s="10"/>
      <c r="N21" s="102" t="str">
        <f>IFERROR(__xludf.DUMMYFUNCTION("""COMPUTED_VALUE"""),"Pick")</f>
        <v>Pick</v>
      </c>
      <c r="O21" s="9"/>
    </row>
    <row r="22">
      <c r="A22" s="9"/>
      <c r="B22" s="64" t="str">
        <f>IFERROR(__xludf.DUMMYFUNCTION("""COMPUTED_VALUE"""),"Single Elimination Bracket")</f>
        <v>Single Elimination Bracket</v>
      </c>
      <c r="C22" s="10"/>
      <c r="D22" s="39" t="str">
        <f>IFERROR(__xludf.DUMMYFUNCTION("""COMPUTED_VALUE"""),"Total Winnings")</f>
        <v>Total Winnings</v>
      </c>
      <c r="E22" s="75" t="str">
        <f>IFERROR(__xludf.DUMMYFUNCTION("""COMPUTED_VALUE"""),"$2,000,000")</f>
        <v>$2,000,000</v>
      </c>
      <c r="F22" s="10"/>
      <c r="G22" s="108" t="str">
        <f>IFERROR(__xludf.DUMMYFUNCTION("""COMPUTED_VALUE"""),"17-20")</f>
        <v>17-20</v>
      </c>
      <c r="H22" s="109">
        <f>IFERROR(__xludf.DUMMYFUNCTION("""COMPUTED_VALUE"""),10000.0)</f>
        <v>10000</v>
      </c>
      <c r="I22" s="118" t="str">
        <f>IFERROR(__xludf.DUMMYFUNCTION("""COMPUTED_VALUE"""),"REKONIX")</f>
        <v>REKONIX</v>
      </c>
      <c r="J22" s="10"/>
      <c r="K22" s="115"/>
      <c r="L22" s="116"/>
      <c r="M22" s="10"/>
      <c r="N22" s="98" t="str">
        <f>IFERROR(__xludf.DUMMYFUNCTION("""COMPUTED_VALUE"""),"Pick")</f>
        <v>Pick</v>
      </c>
      <c r="O22" s="9"/>
    </row>
    <row r="23">
      <c r="A23" s="9"/>
      <c r="B23" s="120" t="str">
        <f>IFERROR(__xludf.DUMMYFUNCTION("""COMPUTED_VALUE"""),"Bo3, Bo5 Final")</f>
        <v>Bo3, Bo5 Final</v>
      </c>
      <c r="C23" s="10"/>
      <c r="D23" s="52"/>
      <c r="E23" s="113"/>
      <c r="F23" s="10"/>
      <c r="G23" s="108" t="str">
        <f>IFERROR(__xludf.DUMMYFUNCTION("""COMPUTED_VALUE"""),"17-20")</f>
        <v>17-20</v>
      </c>
      <c r="H23" s="106">
        <f>IFERROR(__xludf.DUMMYFUNCTION("""COMPUTED_VALUE"""),10000.0)</f>
        <v>10000</v>
      </c>
      <c r="I23" s="114" t="str">
        <f>IFERROR(__xludf.DUMMYFUNCTION("""COMPUTED_VALUE"""),"Level UP")</f>
        <v>Level UP</v>
      </c>
      <c r="J23" s="10"/>
      <c r="K23" s="121" t="str">
        <f>IFERROR(__xludf.DUMMYFUNCTION("""COMPUTED_VALUE"""),"Each playoff ‘arm’ will be seeded to avoid teams from the same group rematching before the semi final stage")</f>
        <v>Each playoff ‘arm’ will be seeded to avoid teams from the same group rematching before the semi final stage</v>
      </c>
      <c r="L23" s="116"/>
      <c r="M23" s="10"/>
      <c r="N23" s="98" t="str">
        <f>IFERROR(__xludf.DUMMYFUNCTION("""COMPUTED_VALUE"""),"Pick")</f>
        <v>Pick</v>
      </c>
      <c r="O23" s="9"/>
    </row>
    <row r="24">
      <c r="A24" s="9"/>
      <c r="B24" s="10"/>
      <c r="C24" s="10"/>
      <c r="D24" s="122" t="str">
        <f>IFERROR(__xludf.DUMMYFUNCTION("""COMPUTED_VALUE"""),"Rulebook link")</f>
        <v>Rulebook link</v>
      </c>
      <c r="E24" s="123" t="str">
        <f>IFERROR(__xludf.DUMMYFUNCTION("""COMPUTED_VALUE"""),"https://drive.google.com/file/d/17XHc5gA-ozmcES-RNsjmM6IfXDBNfE45/view?usp=sharing")</f>
        <v>https://drive.google.com/file/d/17XHc5gA-ozmcES-RNsjmM6IfXDBNfE45/view?usp=sharing</v>
      </c>
      <c r="F24" s="10"/>
      <c r="G24" s="108" t="str">
        <f>IFERROR(__xludf.DUMMYFUNCTION("""COMPUTED_VALUE"""),"17-20")</f>
        <v>17-20</v>
      </c>
      <c r="H24" s="109">
        <f>IFERROR(__xludf.DUMMYFUNCTION("""COMPUTED_VALUE"""),10000.0)</f>
        <v>10000</v>
      </c>
      <c r="I24" s="118" t="str">
        <f>IFERROR(__xludf.DUMMYFUNCTION("""COMPUTED_VALUE"""),"GamerLegion")</f>
        <v>GamerLegion</v>
      </c>
      <c r="J24" s="10"/>
      <c r="K24" s="115"/>
      <c r="L24" s="116"/>
      <c r="M24" s="10"/>
      <c r="N24" s="102" t="str">
        <f>IFERROR(__xludf.DUMMYFUNCTION("""COMPUTED_VALUE"""),"Pick")</f>
        <v>Pick</v>
      </c>
      <c r="O24" s="9"/>
    </row>
    <row r="25">
      <c r="A25" s="9"/>
      <c r="B25" s="10"/>
      <c r="C25" s="10"/>
      <c r="D25" s="10"/>
      <c r="E25" s="10"/>
      <c r="F25" s="10"/>
      <c r="G25" s="108" t="str">
        <f>IFERROR(__xludf.DUMMYFUNCTION("""COMPUTED_VALUE"""),"21-24")</f>
        <v>21-24</v>
      </c>
      <c r="H25" s="106">
        <f>IFERROR(__xludf.DUMMYFUNCTION("""COMPUTED_VALUE"""),7500.0)</f>
        <v>7500</v>
      </c>
      <c r="I25" s="114" t="str">
        <f>IFERROR(__xludf.DUMMYFUNCTION("""COMPUTED_VALUE"""),"IC x Insanity")</f>
        <v>IC x Insanity</v>
      </c>
      <c r="J25" s="10"/>
      <c r="K25" s="115"/>
      <c r="L25" s="116"/>
      <c r="M25" s="10"/>
      <c r="N25" s="102" t="str">
        <f>IFERROR(__xludf.DUMMYFUNCTION("""COMPUTED_VALUE"""),"Ban")</f>
        <v>Ban</v>
      </c>
      <c r="O25" s="9"/>
    </row>
    <row r="26">
      <c r="A26" s="9"/>
      <c r="B26" s="10"/>
      <c r="C26" s="10"/>
      <c r="D26" s="128" t="str">
        <f>IFERROR(__xludf.DUMMYFUNCTION("""COMPUTED_VALUE"""),"Qualifier Links")</f>
        <v>Qualifier Links</v>
      </c>
      <c r="E26" s="112"/>
      <c r="F26" s="10"/>
      <c r="G26" s="108" t="str">
        <f>IFERROR(__xludf.DUMMYFUNCTION("""COMPUTED_VALUE"""),"21-24")</f>
        <v>21-24</v>
      </c>
      <c r="H26" s="109">
        <f>IFERROR(__xludf.DUMMYFUNCTION("""COMPUTED_VALUE"""),7500.0)</f>
        <v>7500</v>
      </c>
      <c r="I26" s="118" t="str">
        <f>IFERROR(__xludf.DUMMYFUNCTION("""COMPUTED_VALUE"""),"Team Nemesis")</f>
        <v>Team Nemesis</v>
      </c>
      <c r="J26" s="10"/>
      <c r="K26" s="121" t="str">
        <f>IFERROR(__xludf.DUMMYFUNCTION("""COMPUTED_VALUE"""),"The exact placement of each team within the bracket will be randomly drawn keeping to this rule.")</f>
        <v>The exact placement of each team within the bracket will be randomly drawn keeping to this rule.</v>
      </c>
      <c r="L26" s="116"/>
      <c r="M26" s="10"/>
      <c r="N26" s="98" t="str">
        <f>IFERROR(__xludf.DUMMYFUNCTION("""COMPUTED_VALUE"""),"Ban")</f>
        <v>Ban</v>
      </c>
      <c r="O26" s="9"/>
    </row>
    <row r="27">
      <c r="A27" s="9"/>
      <c r="B27" s="10"/>
      <c r="C27" s="10"/>
      <c r="D27" s="129" t="str">
        <f>IFERROR(__xludf.DUMMYFUNCTION("""COMPUTED_VALUE"""),"SA - Open Qualifier")</f>
        <v>SA - Open Qualifier</v>
      </c>
      <c r="E27" s="130" t="str">
        <f>IFERROR(__xludf.DUMMYFUNCTION("""COMPUTED_VALUE"""),"https://www.faceit.com/en/championship/65e7db1f-a6a2-4b3c-a74f-f16ae2484d58/")</f>
        <v>https://www.faceit.com/en/championship/65e7db1f-a6a2-4b3c-a74f-f16ae2484d58/</v>
      </c>
      <c r="F27" s="10"/>
      <c r="G27" s="108" t="str">
        <f>IFERROR(__xludf.DUMMYFUNCTION("""COMPUTED_VALUE"""),"21-24")</f>
        <v>21-24</v>
      </c>
      <c r="H27" s="106">
        <f>IFERROR(__xludf.DUMMYFUNCTION("""COMPUTED_VALUE"""),7500.0)</f>
        <v>7500</v>
      </c>
      <c r="I27" s="114" t="str">
        <f>IFERROR(__xludf.DUMMYFUNCTION("""COMPUTED_VALUE"""),"L1 TEAM")</f>
        <v>L1 TEAM</v>
      </c>
      <c r="J27" s="10"/>
      <c r="K27" s="131"/>
      <c r="L27" s="132"/>
      <c r="M27" s="10"/>
      <c r="N27" s="102" t="str">
        <f>IFERROR(__xludf.DUMMYFUNCTION("""COMPUTED_VALUE"""),"Ban")</f>
        <v>Ban</v>
      </c>
      <c r="O27" s="9"/>
    </row>
    <row r="28">
      <c r="A28" s="9"/>
      <c r="B28" s="10"/>
      <c r="C28" s="10"/>
      <c r="D28" s="41" t="str">
        <f>IFERROR(__xludf.DUMMYFUNCTION("""COMPUTED_VALUE"""),"SA- Closed Qualifier")</f>
        <v>SA- Closed Qualifier</v>
      </c>
      <c r="E28" s="130" t="str">
        <f>IFERROR(__xludf.DUMMYFUNCTION("""COMPUTED_VALUE"""),"https://www.faceit.com/en/championship/e8c2cab6-1cce-4de0-9c61-ee4f6a1cce9b/")</f>
        <v>https://www.faceit.com/en/championship/e8c2cab6-1cce-4de0-9c61-ee4f6a1cce9b/</v>
      </c>
      <c r="F28" s="10"/>
      <c r="G28" s="108" t="str">
        <f>IFERROR(__xludf.DUMMYFUNCTION("""COMPUTED_VALUE"""),"21-24")</f>
        <v>21-24</v>
      </c>
      <c r="H28" s="109">
        <f>IFERROR(__xludf.DUMMYFUNCTION("""COMPUTED_VALUE"""),7500.0)</f>
        <v>7500</v>
      </c>
      <c r="I28" s="118" t="str">
        <f>IFERROR(__xludf.DUMMYFUNCTION("""COMPUTED_VALUE"""),"Poor Rangers")</f>
        <v>Poor Rangers</v>
      </c>
      <c r="J28" s="10"/>
      <c r="K28" s="10"/>
      <c r="L28" s="10"/>
      <c r="M28" s="10"/>
      <c r="N28" s="98" t="str">
        <f>IFERROR(__xludf.DUMMYFUNCTION("""COMPUTED_VALUE"""),"Ban")</f>
        <v>Ban</v>
      </c>
      <c r="O28" s="9"/>
    </row>
    <row r="29">
      <c r="A29" s="9"/>
      <c r="B29" s="10"/>
      <c r="C29" s="10"/>
      <c r="D29" s="133" t="str">
        <f>IFERROR(__xludf.DUMMYFUNCTION("""COMPUTED_VALUE"""),"NA - Open Qualifier 1")</f>
        <v>NA - Open Qualifier 1</v>
      </c>
      <c r="E29" s="130" t="str">
        <f>IFERROR(__xludf.DUMMYFUNCTION("""COMPUTED_VALUE"""),"https://www.faceit.com/en/championship/409ecf90-e12b-4284-8f1d-35a3ed2f1eea/")</f>
        <v>https://www.faceit.com/en/championship/409ecf90-e12b-4284-8f1d-35a3ed2f1eea/</v>
      </c>
      <c r="F29" s="10"/>
      <c r="G29" s="10"/>
      <c r="H29" s="10"/>
      <c r="I29" s="10"/>
      <c r="J29" s="10"/>
      <c r="K29" s="10"/>
      <c r="L29" s="10"/>
      <c r="M29" s="10"/>
      <c r="N29" s="102" t="str">
        <f>IFERROR(__xludf.DUMMYFUNCTION("""COMPUTED_VALUE"""),"Pick")</f>
        <v>Pick</v>
      </c>
      <c r="O29" s="9"/>
    </row>
    <row r="30">
      <c r="A30" s="9"/>
      <c r="B30" s="10"/>
      <c r="C30" s="10"/>
      <c r="D30" s="133" t="str">
        <f>IFERROR(__xludf.DUMMYFUNCTION("""COMPUTED_VALUE"""),"NA - Open Qualifier 2")</f>
        <v>NA - Open Qualifier 2</v>
      </c>
      <c r="E30" s="130" t="str">
        <f>IFERROR(__xludf.DUMMYFUNCTION("""COMPUTED_VALUE"""),"https://www.faceit.com/en/championship/f2ea6f52-fcfa-496b-a9b1-b026c78e193b/Dota%202%20at%20ROAD%20TO%20EWC%2026:%20Online%20Qualifier%201%20-%20North%20America")</f>
        <v>https://www.faceit.com/en/championship/f2ea6f52-fcfa-496b-a9b1-b026c78e193b/Dota%202%20at%20ROAD%20TO%20EWC%2026:%20Online%20Qualifier%201%20-%20North%20America</v>
      </c>
      <c r="F30" s="10"/>
      <c r="G30" s="10"/>
      <c r="H30" s="10"/>
      <c r="I30" s="10"/>
      <c r="J30" s="10"/>
      <c r="K30" s="10"/>
      <c r="L30" s="10"/>
      <c r="M30" s="10"/>
      <c r="N30" s="134" t="str">
        <f>IFERROR(__xludf.DUMMYFUNCTION("""COMPUTED_VALUE"""),"Pick")</f>
        <v>Pick</v>
      </c>
      <c r="O30" s="9"/>
    </row>
    <row r="31">
      <c r="A31" s="9"/>
      <c r="B31" s="10"/>
      <c r="C31" s="10"/>
      <c r="D31" s="135" t="str">
        <f>IFERROR(__xludf.DUMMYFUNCTION("""COMPUTED_VALUE"""),"NA - Closed Qualifier")</f>
        <v>NA - Closed Qualifier</v>
      </c>
      <c r="E31" s="130" t="str">
        <f>IFERROR(__xludf.DUMMYFUNCTION("""COMPUTED_VALUE"""),"https://www.faceit.com/en/championship/d2fec2d1-2df4-4f37-8760-bba9d9a7be22/")</f>
        <v>https://www.faceit.com/en/championship/d2fec2d1-2df4-4f37-8760-bba9d9a7be22/</v>
      </c>
      <c r="F31" s="10"/>
      <c r="G31" s="10"/>
      <c r="H31" s="10"/>
      <c r="I31" s="10"/>
      <c r="J31" s="10"/>
      <c r="K31" s="10"/>
      <c r="L31" s="10"/>
      <c r="M31" s="10"/>
      <c r="N31" s="10"/>
      <c r="O31" s="9"/>
    </row>
    <row r="32">
      <c r="A32" s="9"/>
      <c r="B32" s="10"/>
      <c r="C32" s="10"/>
      <c r="D32" s="135" t="str">
        <f>IFERROR(__xludf.DUMMYFUNCTION("""COMPUTED_VALUE"""),"WEU - Open Qualifier")</f>
        <v>WEU - Open Qualifier</v>
      </c>
      <c r="E32" s="130" t="str">
        <f>IFERROR(__xludf.DUMMYFUNCTION("""COMPUTED_VALUE"""),"https://www.faceit.com/en/championship/093a60db-df2d-4542-b192-c214ff6ee073/")</f>
        <v>https://www.faceit.com/en/championship/093a60db-df2d-4542-b192-c214ff6ee073/</v>
      </c>
      <c r="F32" s="10"/>
      <c r="G32" s="10"/>
      <c r="H32" s="10"/>
      <c r="I32" s="10"/>
      <c r="J32" s="10"/>
      <c r="K32" s="10"/>
      <c r="L32" s="10"/>
      <c r="M32" s="10"/>
      <c r="N32" s="10"/>
      <c r="O32" s="9"/>
    </row>
    <row r="33">
      <c r="A33" s="9"/>
      <c r="B33" s="10"/>
      <c r="C33" s="10"/>
      <c r="D33" s="41" t="str">
        <f>IFERROR(__xludf.DUMMYFUNCTION("""COMPUTED_VALUE"""),"WEU - Closed Qualifier")</f>
        <v>WEU - Closed Qualifier</v>
      </c>
      <c r="E33" s="130" t="str">
        <f>IFERROR(__xludf.DUMMYFUNCTION("""COMPUTED_VALUE"""),"https://www.faceit.com/en/championship/1960e405-2704-46cb-bcda-ace91e27f67f")</f>
        <v>https://www.faceit.com/en/championship/1960e405-2704-46cb-bcda-ace91e27f67f</v>
      </c>
      <c r="F33" s="10"/>
      <c r="G33" s="10"/>
      <c r="H33" s="10"/>
      <c r="I33" s="10"/>
      <c r="J33" s="10"/>
      <c r="K33" s="10"/>
      <c r="L33" s="10"/>
      <c r="M33" s="10"/>
      <c r="N33" s="10"/>
      <c r="O33" s="9"/>
    </row>
    <row r="34">
      <c r="A34" s="9"/>
      <c r="B34" s="10"/>
      <c r="C34" s="10"/>
      <c r="D34" s="135" t="str">
        <f>IFERROR(__xludf.DUMMYFUNCTION("""COMPUTED_VALUE"""),"EEU - Open Qualifier")</f>
        <v>EEU - Open Qualifier</v>
      </c>
      <c r="E34" s="130" t="str">
        <f>IFERROR(__xludf.DUMMYFUNCTION("""COMPUTED_VALUE"""),"https://www.faceit.com/en/championship/66ba9f27-6766-445f-a059-dcf3aa0d448e/Dota%202%20at%20ROAD%20TO%20EWC%2026:%20Online%20Qualifier%20-%20Eastern%20Europe")</f>
        <v>https://www.faceit.com/en/championship/66ba9f27-6766-445f-a059-dcf3aa0d448e/Dota%202%20at%20ROAD%20TO%20EWC%2026:%20Online%20Qualifier%20-%20Eastern%20Europe</v>
      </c>
      <c r="F34" s="10"/>
      <c r="G34" s="10"/>
      <c r="H34" s="10"/>
      <c r="I34" s="10"/>
      <c r="J34" s="10"/>
      <c r="K34" s="10"/>
      <c r="L34" s="10"/>
      <c r="M34" s="10"/>
      <c r="N34" s="10"/>
      <c r="O34" s="9"/>
    </row>
    <row r="35">
      <c r="A35" s="9"/>
      <c r="B35" s="10"/>
      <c r="C35" s="10"/>
      <c r="D35" s="41" t="str">
        <f>IFERROR(__xludf.DUMMYFUNCTION("""COMPUTED_VALUE"""),"EEU - Closed Qualifier")</f>
        <v>EEU - Closed Qualifier</v>
      </c>
      <c r="E35" s="130" t="str">
        <f>IFERROR(__xludf.DUMMYFUNCTION("""COMPUTED_VALUE"""),"https://www.faceit.com/en/championship/555758a1-fec6-40a5-820f-122b2561fa2e/Dota%202%20at%20ROAD%20TO%20EWC%2026:%20Closed%20Qualifier%20-%20Eastern%20Europe")</f>
        <v>https://www.faceit.com/en/championship/555758a1-fec6-40a5-820f-122b2561fa2e/Dota%202%20at%20ROAD%20TO%20EWC%2026:%20Closed%20Qualifier%20-%20Eastern%20Europe</v>
      </c>
      <c r="F35" s="10"/>
      <c r="G35" s="10"/>
      <c r="H35" s="10"/>
      <c r="I35" s="10"/>
      <c r="J35" s="10"/>
      <c r="K35" s="10"/>
      <c r="L35" s="10"/>
      <c r="M35" s="10"/>
      <c r="N35" s="10"/>
      <c r="O35" s="9"/>
    </row>
    <row r="36">
      <c r="A36" s="9"/>
      <c r="B36" s="10"/>
      <c r="C36" s="10"/>
      <c r="D36" s="135" t="str">
        <f>IFERROR(__xludf.DUMMYFUNCTION("""COMPUTED_VALUE"""),"MESWA - Open Qualifier 1")</f>
        <v>MESWA - Open Qualifier 1</v>
      </c>
      <c r="E36" s="130" t="str">
        <f>IFERROR(__xludf.DUMMYFUNCTION("""COMPUTED_VALUE"""),"https://www.faceit.com/en/championship/a7b64254-1f65-4e0a-831d-1f96f00d8cc0/Dota%202%20at%20ROAD%20TO%20EWC%2026:%20Online%20Qualifier%20-%20Middle%20East%20Southwest%20Asia")</f>
        <v>https://www.faceit.com/en/championship/a7b64254-1f65-4e0a-831d-1f96f00d8cc0/Dota%202%20at%20ROAD%20TO%20EWC%2026:%20Online%20Qualifier%20-%20Middle%20East%20Southwest%20Asia</v>
      </c>
      <c r="F36" s="10"/>
      <c r="G36" s="10"/>
      <c r="H36" s="10"/>
      <c r="I36" s="10"/>
      <c r="J36" s="10"/>
      <c r="K36" s="10"/>
      <c r="L36" s="10"/>
      <c r="M36" s="10"/>
      <c r="N36" s="10"/>
      <c r="O36" s="9"/>
    </row>
    <row r="37">
      <c r="A37" s="9"/>
      <c r="B37" s="10"/>
      <c r="C37" s="10"/>
      <c r="D37" s="135" t="str">
        <f>IFERROR(__xludf.DUMMYFUNCTION("""COMPUTED_VALUE"""),"MESWA - Open Qualifier 2")</f>
        <v>MESWA - Open Qualifier 2</v>
      </c>
      <c r="E37" s="130" t="str">
        <f>IFERROR(__xludf.DUMMYFUNCTION("""COMPUTED_VALUE"""),"https://www.faceit.com/en/championship/e78f2327-bdbb-45ae-a44d-fbca0aac8320/Dota%202%20at%20ROAD%20TO%20EWC%2026:%20Online%20Qualifier%201%20-%20Middle%20East%20Southwest%20Asia")</f>
        <v>https://www.faceit.com/en/championship/e78f2327-bdbb-45ae-a44d-fbca0aac8320/Dota%202%20at%20ROAD%20TO%20EWC%2026:%20Online%20Qualifier%201%20-%20Middle%20East%20Southwest%20Asia</v>
      </c>
      <c r="F37" s="10"/>
      <c r="G37" s="10"/>
      <c r="H37" s="10"/>
      <c r="I37" s="10"/>
      <c r="J37" s="10"/>
      <c r="K37" s="10"/>
      <c r="L37" s="10"/>
      <c r="M37" s="10"/>
      <c r="N37" s="10"/>
      <c r="O37" s="9"/>
    </row>
    <row r="38">
      <c r="A38" s="9"/>
      <c r="B38" s="10"/>
      <c r="C38" s="10"/>
      <c r="D38" s="41" t="str">
        <f>IFERROR(__xludf.DUMMYFUNCTION("""COMPUTED_VALUE"""),"MESWA - Closed Qualifier")</f>
        <v>MESWA - Closed Qualifier</v>
      </c>
      <c r="E38" s="130" t="str">
        <f>IFERROR(__xludf.DUMMYFUNCTION("""COMPUTED_VALUE"""),"https://www.faceit.com/en/championship/b5f19e21-6851-4a56-9866-00ae926b2a8c/Dota%202%20at%20ROAD%20TO%20EWC%2026:%20Closed%20Qualifier%20-%20Middle%20East%20Southwest%20Asia")</f>
        <v>https://www.faceit.com/en/championship/b5f19e21-6851-4a56-9866-00ae926b2a8c/Dota%202%20at%20ROAD%20TO%20EWC%2026:%20Closed%20Qualifier%20-%20Middle%20East%20Southwest%20Asia</v>
      </c>
      <c r="F38" s="10"/>
      <c r="G38" s="10"/>
      <c r="H38" s="10"/>
      <c r="I38" s="10"/>
      <c r="J38" s="10"/>
      <c r="K38" s="10"/>
      <c r="L38" s="10"/>
      <c r="M38" s="10"/>
      <c r="N38" s="10"/>
      <c r="O38" s="9"/>
    </row>
    <row r="39">
      <c r="A39" s="9"/>
      <c r="B39" s="10"/>
      <c r="C39" s="10"/>
      <c r="D39" s="135" t="str">
        <f>IFERROR(__xludf.DUMMYFUNCTION("""COMPUTED_VALUE"""),"SEA - Open Qualifier")</f>
        <v>SEA - Open Qualifier</v>
      </c>
      <c r="E39" s="130" t="str">
        <f>IFERROR(__xludf.DUMMYFUNCTION("""COMPUTED_VALUE"""),"https://www.faceit.com/en/championship/33492990-ee9b-4287-bf64-f7ad1e3cda28/Dota%202%20at%20ROAD%20TO%20EWC%2026:%20Online%20Qualifier%20-%20Southeast%20Asia")</f>
        <v>https://www.faceit.com/en/championship/33492990-ee9b-4287-bf64-f7ad1e3cda28/Dota%202%20at%20ROAD%20TO%20EWC%2026:%20Online%20Qualifier%20-%20Southeast%20Asia</v>
      </c>
      <c r="F39" s="10"/>
      <c r="G39" s="10"/>
      <c r="H39" s="10"/>
      <c r="I39" s="10"/>
      <c r="J39" s="10"/>
      <c r="K39" s="10"/>
      <c r="L39" s="10"/>
      <c r="M39" s="10"/>
      <c r="N39" s="10"/>
      <c r="O39" s="9"/>
    </row>
    <row r="40">
      <c r="A40" s="9"/>
      <c r="B40" s="10"/>
      <c r="C40" s="10"/>
      <c r="D40" s="138" t="str">
        <f>IFERROR(__xludf.DUMMYFUNCTION("""COMPUTED_VALUE"""),"SEA - Closed Qualifier")</f>
        <v>SEA - Closed Qualifier</v>
      </c>
      <c r="E40" s="139" t="str">
        <f>IFERROR(__xludf.DUMMYFUNCTION("""COMPUTED_VALUE"""),"https://www.faceit.com/en/championship/3870d67b-8913-4dfb-9b5b-e8c5782cac60/Dota%202%20at%20ROAD%20TO%20EWC%2026:%20Closed%20Qualifier%20-%20Southeast%20Asia")</f>
        <v>https://www.faceit.com/en/championship/3870d67b-8913-4dfb-9b5b-e8c5782cac60/Dota%202%20at%20ROAD%20TO%20EWC%2026:%20Closed%20Qualifier%20-%20Southeast%20Asia</v>
      </c>
      <c r="F40" s="10"/>
      <c r="G40" s="10"/>
      <c r="H40" s="10"/>
      <c r="I40" s="10"/>
      <c r="J40" s="10"/>
      <c r="K40" s="10"/>
      <c r="L40" s="10"/>
      <c r="M40" s="10"/>
      <c r="N40" s="10"/>
      <c r="O40" s="9"/>
    </row>
    <row r="41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9"/>
    </row>
    <row r="42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9"/>
    </row>
    <row r="43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9"/>
    </row>
    <row r="44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9"/>
    </row>
  </sheetData>
  <mergeCells count="19">
    <mergeCell ref="D2:E2"/>
    <mergeCell ref="G2:I2"/>
    <mergeCell ref="K2:N2"/>
    <mergeCell ref="B4:B5"/>
    <mergeCell ref="K4:L4"/>
    <mergeCell ref="N5:N6"/>
    <mergeCell ref="K8:L8"/>
    <mergeCell ref="K19:L19"/>
    <mergeCell ref="K20:L22"/>
    <mergeCell ref="K23:L25"/>
    <mergeCell ref="K26:L27"/>
    <mergeCell ref="K9:L9"/>
    <mergeCell ref="K11:L11"/>
    <mergeCell ref="K12:L12"/>
    <mergeCell ref="B13:B14"/>
    <mergeCell ref="K13:L15"/>
    <mergeCell ref="K16:L18"/>
    <mergeCell ref="B20:B21"/>
    <mergeCell ref="D26:E26"/>
  </mergeCells>
  <dataValidations>
    <dataValidation type="list" allowBlank="1" showErrorMessage="1" sqref="I5:I28">
      <formula1>'Participant Information'!$E$4:$E$18</formula1>
    </dataValidation>
  </dataValidations>
  <hyperlinks>
    <hyperlink r:id="rId1" ref="I20"/>
    <hyperlink r:id="rId2" ref="E24"/>
    <hyperlink r:id="rId3" ref="E27"/>
    <hyperlink r:id="rId4" ref="E28"/>
    <hyperlink r:id="rId5" ref="E29"/>
    <hyperlink r:id="rId6" ref="E30"/>
    <hyperlink r:id="rId7" ref="E31"/>
    <hyperlink r:id="rId8" ref="E32"/>
    <hyperlink r:id="rId9" ref="E33"/>
    <hyperlink r:id="rId10" ref="E34"/>
    <hyperlink r:id="rId11" ref="E35"/>
    <hyperlink r:id="rId12" ref="E36"/>
    <hyperlink r:id="rId13" ref="E37"/>
    <hyperlink r:id="rId14" ref="E38"/>
    <hyperlink r:id="rId15" ref="E39"/>
    <hyperlink r:id="rId16" ref="E40"/>
  </hyperlinks>
  <drawing r:id="rId17"/>
  <tableParts count="1">
    <tablePart r:id="rId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0.13"/>
    <col customWidth="1" hidden="1" min="3" max="3" width="6.5"/>
    <col customWidth="1" min="4" max="4" width="18.88"/>
    <col customWidth="1" min="5" max="5" width="6.5"/>
    <col customWidth="1" min="6" max="6" width="10.13"/>
    <col customWidth="1" min="7" max="7" width="7.63"/>
    <col customWidth="1" min="8" max="8" width="10.13"/>
    <col customWidth="1" hidden="1" min="9" max="13" width="8.88"/>
    <col customWidth="1" min="14" max="14" width="30.88"/>
    <col customWidth="1" min="15" max="16" width="28.63"/>
  </cols>
  <sheetData>
    <row r="1">
      <c r="A1" s="1" t="str">
        <f>IFERROR(__xludf.DUMMYFUNCTION("if('Make Public'!C8=""Yes"",importrange('Make Public'!B3,""Schedule!A1:p6""),""TBD"")"),"")</f>
        <v/>
      </c>
      <c r="B1" s="1"/>
      <c r="C1" s="1"/>
      <c r="D1" s="1"/>
      <c r="E1" s="1"/>
      <c r="F1" s="1"/>
      <c r="I1" s="1"/>
      <c r="J1" s="1"/>
      <c r="K1" s="1"/>
      <c r="L1" s="1"/>
      <c r="M1" s="1"/>
      <c r="N1" s="2" t="str">
        <f>IFERROR(__xludf.DUMMYFUNCTION("""COMPUTED_VALUE"""),"Phase 1")</f>
        <v>Phase 1</v>
      </c>
      <c r="O1" s="3" t="str">
        <f>IFERROR(__xludf.DUMMYFUNCTION("""COMPUTED_VALUE"""),"Phase 2")</f>
        <v>Phase 2</v>
      </c>
      <c r="P1" s="5" t="str">
        <f>IFERROR(__xludf.DUMMYFUNCTION("""COMPUTED_VALUE"""),"Playoffs")</f>
        <v>Playoffs</v>
      </c>
    </row>
    <row r="2" ht="42.75" customHeight="1">
      <c r="A2" s="1"/>
      <c r="B2" s="1"/>
      <c r="C2" s="1"/>
      <c r="D2" s="1"/>
      <c r="E2" s="1"/>
      <c r="F2" s="1"/>
      <c r="I2" s="1"/>
      <c r="J2" s="1"/>
      <c r="K2" s="1"/>
      <c r="L2" s="1"/>
      <c r="M2" s="1"/>
      <c r="N2" s="6" t="str">
        <f>IFERROR(__xludf.DUMMYFUNCTION("""COMPUTED_VALUE"""),"Group Stage
4x6 Teams RR")</f>
        <v>Group Stage
4x6 Teams RR</v>
      </c>
      <c r="O2" s="7" t="str">
        <f>IFERROR(__xludf.DUMMYFUNCTION("""COMPUTED_VALUE"""),"Survival
1x12 Teams SE")</f>
        <v>Survival
1x12 Teams SE</v>
      </c>
      <c r="P2" s="11" t="str">
        <f>IFERROR(__xludf.DUMMYFUNCTION("""COMPUTED_VALUE"""),"Playoffs
1x8 Teams SE")</f>
        <v>Playoffs
1x8 Teams SE</v>
      </c>
    </row>
    <row r="3">
      <c r="A3" s="1"/>
      <c r="B3" s="1"/>
      <c r="C3" s="1"/>
      <c r="D3" s="1"/>
      <c r="E3" s="1"/>
      <c r="I3" s="1"/>
      <c r="J3" s="1"/>
      <c r="K3" s="1"/>
      <c r="L3" s="1"/>
      <c r="M3" s="1"/>
      <c r="N3" s="1"/>
      <c r="O3" s="1"/>
      <c r="P3" s="1"/>
    </row>
    <row r="4">
      <c r="A4" s="12"/>
      <c r="B4" s="13" t="str">
        <f>IFERROR(__xludf.DUMMYFUNCTION("""COMPUTED_VALUE"""),"Tournament Day #")</f>
        <v>Tournament Day #</v>
      </c>
      <c r="C4" s="14"/>
      <c r="D4" s="16" t="str">
        <f>IFERROR(__xludf.DUMMYFUNCTION("""COMPUTED_VALUE"""),"Date")</f>
        <v>Date</v>
      </c>
      <c r="E4" s="13" t="str">
        <f>IFERROR(__xludf.DUMMYFUNCTION("""COMPUTED_VALUE"""),"Stage")</f>
        <v>Stage</v>
      </c>
      <c r="F4" s="16" t="str">
        <f>IFERROR(__xludf.DUMMYFUNCTION("""COMPUTED_VALUE"""),"Stream")</f>
        <v>Stream</v>
      </c>
      <c r="G4" s="16" t="str">
        <f>IFERROR(__xludf.DUMMYFUNCTION("""COMPUTED_VALUE"""),"Best of X")</f>
        <v>Best of X</v>
      </c>
      <c r="H4" s="20" t="str">
        <f>IFERROR(__xludf.DUMMYFUNCTION("""COMPUTED_VALUE"""),"Start Time")</f>
        <v>Start Time</v>
      </c>
      <c r="I4" s="21"/>
      <c r="J4" s="21"/>
      <c r="K4" s="21"/>
      <c r="L4" s="21"/>
      <c r="M4" s="22"/>
      <c r="N4" s="16" t="str">
        <f>IFERROR(__xludf.DUMMYFUNCTION("""COMPUTED_VALUE"""),"Round")</f>
        <v>Round</v>
      </c>
      <c r="O4" s="16" t="str">
        <f>IFERROR(__xludf.DUMMYFUNCTION("""COMPUTED_VALUE"""),"Match")</f>
        <v>Match</v>
      </c>
      <c r="P4" s="16" t="str">
        <f>IFERROR(__xludf.DUMMYFUNCTION("""COMPUTED_VALUE"""),"Comment")</f>
        <v>Comment</v>
      </c>
    </row>
    <row r="5">
      <c r="A5" s="12"/>
      <c r="B5" s="24"/>
      <c r="C5" s="14"/>
      <c r="D5" s="24"/>
      <c r="E5" s="24"/>
      <c r="F5" s="24"/>
      <c r="G5" s="24"/>
      <c r="H5" s="31" t="str">
        <f>IFERROR(__xludf.DUMMYFUNCTION("""COMPUTED_VALUE"""),"- PUBLIC-
- CEST-")</f>
        <v>- PUBLIC-
- CEST-</v>
      </c>
      <c r="I5" s="28" t="str">
        <f>IFERROR(__xludf.DUMMYFUNCTION("""COMPUTED_VALUE"""),"- PUBLIC-
- CEST -")</f>
        <v>- PUBLIC-
- CEST -</v>
      </c>
      <c r="J5" s="28" t="str">
        <f>IFERROR(__xludf.DUMMYFUNCTION("""COMPUTED_VALUE"""),"- PUBLIC-
- EDT -")</f>
        <v>- PUBLIC-
- EDT -</v>
      </c>
      <c r="K5" s="28" t="str">
        <f>IFERROR(__xludf.DUMMYFUNCTION("""COMPUTED_VALUE"""),"- PUBLIC-
- BRT -")</f>
        <v>- PUBLIC-
- BRT -</v>
      </c>
      <c r="L5" s="28" t="str">
        <f>IFERROR(__xludf.DUMMYFUNCTION("""COMPUTED_VALUE"""),"- PUBLIC-
- CST -")</f>
        <v>- PUBLIC-
- CST -</v>
      </c>
      <c r="M5" s="28" t="str">
        <f>IFERROR(__xludf.DUMMYFUNCTION("""COMPUTED_VALUE"""),"- PUBLIC-
- AEST-")</f>
        <v>- PUBLIC-
- AEST-</v>
      </c>
      <c r="N5" s="24"/>
      <c r="O5" s="24"/>
      <c r="P5" s="24"/>
    </row>
    <row r="6">
      <c r="A6" s="12"/>
      <c r="B6" s="32"/>
      <c r="C6" s="34"/>
      <c r="D6" s="32"/>
      <c r="E6" s="32"/>
      <c r="F6" s="32"/>
      <c r="G6" s="32"/>
      <c r="H6" s="32"/>
      <c r="I6" s="36">
        <f>IFERROR(__xludf.DUMMYFUNCTION("""COMPUTED_VALUE"""),-1.0)</f>
        <v>-1</v>
      </c>
      <c r="J6" s="36">
        <f>IFERROR(__xludf.DUMMYFUNCTION("""COMPUTED_VALUE"""),-7.0)</f>
        <v>-7</v>
      </c>
      <c r="K6" s="36" t="str">
        <f>IFERROR(__xludf.DUMMYFUNCTION("""COMPUTED_VALUE"""),"-6")</f>
        <v>-6</v>
      </c>
      <c r="L6" s="36" t="str">
        <f>IFERROR(__xludf.DUMMYFUNCTION("""COMPUTED_VALUE"""),"+5")</f>
        <v>+5</v>
      </c>
      <c r="M6" s="36" t="str">
        <f>IFERROR(__xludf.DUMMYFUNCTION("""COMPUTED_VALUE"""),"+7")</f>
        <v>+7</v>
      </c>
      <c r="N6" s="32"/>
      <c r="O6" s="32"/>
      <c r="P6" s="32"/>
    </row>
    <row r="7">
      <c r="A7" s="46" t="str">
        <f>IFERROR(__xludf.DUMMYFUNCTION("if('Make Public'!C8=""Yes"",importrange('Make Public'!B3,""Schedule!A7:H""),""TBD"")"),"")</f>
        <v/>
      </c>
      <c r="B7" s="40">
        <f>IFERROR(__xludf.DUMMYFUNCTION("""COMPUTED_VALUE"""),1.0)</f>
        <v>1</v>
      </c>
      <c r="C7" s="48">
        <f>IFERROR(__xludf.DUMMYFUNCTION("""COMPUTED_VALUE"""),46210.0)</f>
        <v>46210</v>
      </c>
      <c r="D7" s="50">
        <f>IFERROR(__xludf.DUMMYFUNCTION("""COMPUTED_VALUE"""),46210.0)</f>
        <v>46210</v>
      </c>
      <c r="E7" s="51" t="str">
        <f>IFERROR(__xludf.DUMMYFUNCTION("""COMPUTED_VALUE"""),"MS3")</f>
        <v>MS3</v>
      </c>
      <c r="F7" s="54" t="str">
        <f>IFERROR(__xludf.DUMMYFUNCTION("""COMPUTED_VALUE"""),"Stream A")</f>
        <v>Stream A</v>
      </c>
      <c r="G7" s="54" t="str">
        <f>IFERROR(__xludf.DUMMYFUNCTION("""COMPUTED_VALUE"""),"Bo2")</f>
        <v>Bo2</v>
      </c>
      <c r="H7" s="56">
        <f>IFERROR(__xludf.DUMMYFUNCTION("""COMPUTED_VALUE"""),0.4756944444444444)</f>
        <v>0.4756944444</v>
      </c>
      <c r="I7" s="57"/>
      <c r="J7" s="57"/>
      <c r="K7" s="57"/>
      <c r="L7" s="57"/>
      <c r="M7" s="57"/>
      <c r="N7" s="61" t="str">
        <f>IFERROR(__xludf.DUMMYFUNCTION("IF(
  'Make Public'!C8&lt;&gt;""Yes"",
  ""TBD"",
  ARRAYFORMULA(
    IF(
      IMPORTRANGE('Make Public'!B3,""Schedule!R7:R"")=""YES"",
      IMPORTRANGE('Make Public'!B3,""Schedule!N7:P""),
      """"
    )
  )
)"),"Groupstage - Group A - Round Robin R1 #1")</f>
        <v>Groupstage - Group A - Round Robin R1 #1</v>
      </c>
      <c r="O7" s="63" t="str">
        <f>IFERROR(__xludf.DUMMYFUNCTION("""COMPUTED_VALUE"""),"Team Falcons vs. BB Team")</f>
        <v>Team Falcons vs. BB Team</v>
      </c>
      <c r="P7" s="54"/>
    </row>
    <row r="8">
      <c r="A8" s="12"/>
      <c r="C8" s="48">
        <f>IFERROR(__xludf.DUMMYFUNCTION("""COMPUTED_VALUE"""),46210.0)</f>
        <v>46210</v>
      </c>
      <c r="E8" s="51" t="str">
        <f>IFERROR(__xludf.DUMMYFUNCTION("""COMPUTED_VALUE"""),"SS3")</f>
        <v>SS3</v>
      </c>
      <c r="F8" s="54" t="str">
        <f>IFERROR(__xludf.DUMMYFUNCTION("""COMPUTED_VALUE"""),"Stream B")</f>
        <v>Stream B</v>
      </c>
      <c r="G8" s="54" t="str">
        <f>IFERROR(__xludf.DUMMYFUNCTION("""COMPUTED_VALUE"""),"Bo2")</f>
        <v>Bo2</v>
      </c>
      <c r="H8" s="56">
        <f>IFERROR(__xludf.DUMMYFUNCTION("""COMPUTED_VALUE"""),0.48263888888888884)</f>
        <v>0.4826388889</v>
      </c>
      <c r="I8" s="57"/>
      <c r="J8" s="57"/>
      <c r="K8" s="57"/>
      <c r="L8" s="57"/>
      <c r="M8" s="57"/>
      <c r="N8" s="65" t="str">
        <f>IFERROR(__xludf.DUMMYFUNCTION("""COMPUTED_VALUE"""),"Groupstage - Group A - Round Robin R1 #2")</f>
        <v>Groupstage - Group A - Round Robin R1 #2</v>
      </c>
      <c r="O8" s="63" t="str">
        <f>IFERROR(__xludf.DUMMYFUNCTION("""COMPUTED_VALUE"""),"Poor Rangers vs. GamerLegion")</f>
        <v>Poor Rangers vs. GamerLegion</v>
      </c>
      <c r="P8" s="54"/>
    </row>
    <row r="9">
      <c r="A9" s="12"/>
      <c r="C9" s="48">
        <f>IFERROR(__xludf.DUMMYFUNCTION("""COMPUTED_VALUE"""),46210.0)</f>
        <v>46210</v>
      </c>
      <c r="E9" s="51" t="str">
        <f>IFERROR(__xludf.DUMMYFUNCTION("""COMPUTED_VALUE"""),"SS2")</f>
        <v>SS2</v>
      </c>
      <c r="F9" s="54" t="str">
        <f>IFERROR(__xludf.DUMMYFUNCTION("""COMPUTED_VALUE"""),"Stream C")</f>
        <v>Stream C</v>
      </c>
      <c r="G9" s="54" t="str">
        <f>IFERROR(__xludf.DUMMYFUNCTION("""COMPUTED_VALUE"""),"Bo2")</f>
        <v>Bo2</v>
      </c>
      <c r="H9" s="56">
        <f>IFERROR(__xludf.DUMMYFUNCTION("""COMPUTED_VALUE"""),0.4861111111111111)</f>
        <v>0.4861111111</v>
      </c>
      <c r="I9" s="57"/>
      <c r="J9" s="57"/>
      <c r="K9" s="57"/>
      <c r="L9" s="57"/>
      <c r="M9" s="57"/>
      <c r="N9" s="65" t="str">
        <f>IFERROR(__xludf.DUMMYFUNCTION("""COMPUTED_VALUE"""),"Groupstage - Group A - Round Robin R1 #3")</f>
        <v>Groupstage - Group A - Round Robin R1 #3</v>
      </c>
      <c r="O9" s="63" t="str">
        <f>IFERROR(__xludf.DUMMYFUNCTION("""COMPUTED_VALUE"""),"Rune Eaters vs. Xtreme Gaming")</f>
        <v>Rune Eaters vs. Xtreme Gaming</v>
      </c>
      <c r="P9" s="54"/>
    </row>
    <row r="10">
      <c r="A10" s="12"/>
      <c r="C10" s="48">
        <f>IFERROR(__xludf.DUMMYFUNCTION("""COMPUTED_VALUE"""),46210.0)</f>
        <v>46210</v>
      </c>
      <c r="E10" s="51" t="str">
        <f>IFERROR(__xludf.DUMMYFUNCTION("""COMPUTED_VALUE"""),"MS3")</f>
        <v>MS3</v>
      </c>
      <c r="F10" s="54" t="str">
        <f>IFERROR(__xludf.DUMMYFUNCTION("""COMPUTED_VALUE"""),"Stream A")</f>
        <v>Stream A</v>
      </c>
      <c r="G10" s="54" t="str">
        <f>IFERROR(__xludf.DUMMYFUNCTION("""COMPUTED_VALUE"""),"Bo2")</f>
        <v>Bo2</v>
      </c>
      <c r="H10" s="56">
        <f>IFERROR(__xludf.DUMMYFUNCTION("""COMPUTED_VALUE"""),0.6006944444444444)</f>
        <v>0.6006944444</v>
      </c>
      <c r="I10" s="57"/>
      <c r="J10" s="57"/>
      <c r="K10" s="57"/>
      <c r="L10" s="57"/>
      <c r="M10" s="57"/>
      <c r="N10" s="65" t="str">
        <f>IFERROR(__xludf.DUMMYFUNCTION("""COMPUTED_VALUE"""),"Groupstage - Group B - Round Robin R1 #1")</f>
        <v>Groupstage - Group B - Round Robin R1 #1</v>
      </c>
      <c r="O10" s="63" t="str">
        <f>IFERROR(__xludf.DUMMYFUNCTION("""COMPUTED_VALUE"""),"Team Liquid vs. PTime")</f>
        <v>Team Liquid vs. PTime</v>
      </c>
      <c r="P10" s="54"/>
    </row>
    <row r="11">
      <c r="A11" s="12"/>
      <c r="C11" s="48">
        <f>IFERROR(__xludf.DUMMYFUNCTION("""COMPUTED_VALUE"""),46210.0)</f>
        <v>46210</v>
      </c>
      <c r="E11" s="51" t="str">
        <f>IFERROR(__xludf.DUMMYFUNCTION("""COMPUTED_VALUE"""),"SS3")</f>
        <v>SS3</v>
      </c>
      <c r="F11" s="54" t="str">
        <f>IFERROR(__xludf.DUMMYFUNCTION("""COMPUTED_VALUE"""),"Stream B")</f>
        <v>Stream B</v>
      </c>
      <c r="G11" s="54" t="str">
        <f>IFERROR(__xludf.DUMMYFUNCTION("""COMPUTED_VALUE"""),"Bo2")</f>
        <v>Bo2</v>
      </c>
      <c r="H11" s="56">
        <f>IFERROR(__xludf.DUMMYFUNCTION("""COMPUTED_VALUE"""),0.5972222222222222)</f>
        <v>0.5972222222</v>
      </c>
      <c r="I11" s="57"/>
      <c r="J11" s="57"/>
      <c r="K11" s="57"/>
      <c r="L11" s="57"/>
      <c r="M11" s="57"/>
      <c r="N11" s="65" t="str">
        <f>IFERROR(__xludf.DUMMYFUNCTION("""COMPUTED_VALUE"""),"Groupstage - Group B - Round Robin R1 #2")</f>
        <v>Groupstage - Group B - Round Robin R1 #2</v>
      </c>
      <c r="O11" s="63" t="str">
        <f>IFERROR(__xludf.DUMMYFUNCTION("""COMPUTED_VALUE"""),"L1 TEAM vs. Nigma Galaxy")</f>
        <v>L1 TEAM vs. Nigma Galaxy</v>
      </c>
      <c r="P11" s="54"/>
    </row>
    <row r="12">
      <c r="A12" s="12"/>
      <c r="C12" s="48">
        <f>IFERROR(__xludf.DUMMYFUNCTION("""COMPUTED_VALUE"""),46210.0)</f>
        <v>46210</v>
      </c>
      <c r="E12" s="51" t="str">
        <f>IFERROR(__xludf.DUMMYFUNCTION("""COMPUTED_VALUE"""),"SS2")</f>
        <v>SS2</v>
      </c>
      <c r="F12" s="54" t="str">
        <f>IFERROR(__xludf.DUMMYFUNCTION("""COMPUTED_VALUE"""),"Stream C")</f>
        <v>Stream C</v>
      </c>
      <c r="G12" s="54" t="str">
        <f>IFERROR(__xludf.DUMMYFUNCTION("""COMPUTED_VALUE"""),"Bo2")</f>
        <v>Bo2</v>
      </c>
      <c r="H12" s="56">
        <f>IFERROR(__xludf.DUMMYFUNCTION("""COMPUTED_VALUE"""),0.6180555555555555)</f>
        <v>0.6180555556</v>
      </c>
      <c r="I12" s="57"/>
      <c r="J12" s="57"/>
      <c r="K12" s="57"/>
      <c r="L12" s="57"/>
      <c r="M12" s="57"/>
      <c r="N12" s="65" t="str">
        <f>IFERROR(__xludf.DUMMYFUNCTION("""COMPUTED_VALUE"""),"Groupstage - Group B - Round Robin R1 #3")</f>
        <v>Groupstage - Group B - Round Robin R1 #3</v>
      </c>
      <c r="O12" s="63" t="str">
        <f>IFERROR(__xludf.DUMMYFUNCTION("""COMPUTED_VALUE"""),"Level UP vs. Aurora Gaming")</f>
        <v>Level UP vs. Aurora Gaming</v>
      </c>
      <c r="P12" s="54"/>
    </row>
    <row r="13">
      <c r="A13" s="12"/>
      <c r="C13" s="48">
        <f>IFERROR(__xludf.DUMMYFUNCTION("""COMPUTED_VALUE"""),46210.0)</f>
        <v>46210</v>
      </c>
      <c r="E13" s="51" t="str">
        <f>IFERROR(__xludf.DUMMYFUNCTION("""COMPUTED_VALUE"""),"MS3")</f>
        <v>MS3</v>
      </c>
      <c r="F13" s="54" t="str">
        <f>IFERROR(__xludf.DUMMYFUNCTION("""COMPUTED_VALUE"""),"Stream A")</f>
        <v>Stream A</v>
      </c>
      <c r="G13" s="54" t="str">
        <f>IFERROR(__xludf.DUMMYFUNCTION("""COMPUTED_VALUE"""),"Bo2")</f>
        <v>Bo2</v>
      </c>
      <c r="H13" s="56">
        <f>IFERROR(__xludf.DUMMYFUNCTION("""COMPUTED_VALUE"""),0.7118055555555555)</f>
        <v>0.7118055556</v>
      </c>
      <c r="I13" s="57"/>
      <c r="J13" s="57"/>
      <c r="K13" s="57"/>
      <c r="L13" s="57"/>
      <c r="M13" s="57"/>
      <c r="N13" s="65" t="str">
        <f>IFERROR(__xludf.DUMMYFUNCTION("""COMPUTED_VALUE"""),"Groupstage - Group C - Round Robin R1 #1")</f>
        <v>Groupstage - Group C - Round Robin R1 #1</v>
      </c>
      <c r="O13" s="63" t="str">
        <f>IFERROR(__xludf.DUMMYFUNCTION("""COMPUTED_VALUE"""),"Team Spirit vs. MOUZ")</f>
        <v>Team Spirit vs. MOUZ</v>
      </c>
      <c r="P13" s="54"/>
    </row>
    <row r="14">
      <c r="A14" s="12"/>
      <c r="C14" s="48">
        <f>IFERROR(__xludf.DUMMYFUNCTION("""COMPUTED_VALUE"""),46210.0)</f>
        <v>46210</v>
      </c>
      <c r="E14" s="51" t="str">
        <f>IFERROR(__xludf.DUMMYFUNCTION("""COMPUTED_VALUE"""),"SS3")</f>
        <v>SS3</v>
      </c>
      <c r="F14" s="54" t="str">
        <f>IFERROR(__xludf.DUMMYFUNCTION("""COMPUTED_VALUE"""),"Stream B")</f>
        <v>Stream B</v>
      </c>
      <c r="G14" s="54" t="str">
        <f>IFERROR(__xludf.DUMMYFUNCTION("""COMPUTED_VALUE"""),"Bo2")</f>
        <v>Bo2</v>
      </c>
      <c r="H14" s="56">
        <f>IFERROR(__xludf.DUMMYFUNCTION("""COMPUTED_VALUE"""),0.7013888888888888)</f>
        <v>0.7013888889</v>
      </c>
      <c r="I14" s="57"/>
      <c r="J14" s="57"/>
      <c r="K14" s="57"/>
      <c r="L14" s="57"/>
      <c r="M14" s="57"/>
      <c r="N14" s="65" t="str">
        <f>IFERROR(__xludf.DUMMYFUNCTION("""COMPUTED_VALUE"""),"Groupstage - Group C - Round Robin R1 #2")</f>
        <v>Groupstage - Group C - Round Robin R1 #2</v>
      </c>
      <c r="O14" s="63" t="str">
        <f>IFERROR(__xludf.DUMMYFUNCTION("""COMPUTED_VALUE"""),"REKONIX vs. Vici Gaming")</f>
        <v>REKONIX vs. Vici Gaming</v>
      </c>
      <c r="P14" s="54"/>
    </row>
    <row r="15">
      <c r="A15" s="12"/>
      <c r="C15" s="48">
        <f>IFERROR(__xludf.DUMMYFUNCTION("""COMPUTED_VALUE"""),46210.0)</f>
        <v>46210</v>
      </c>
      <c r="E15" s="51" t="str">
        <f>IFERROR(__xludf.DUMMYFUNCTION("""COMPUTED_VALUE"""),"SS2")</f>
        <v>SS2</v>
      </c>
      <c r="F15" s="54" t="str">
        <f>IFERROR(__xludf.DUMMYFUNCTION("""COMPUTED_VALUE"""),"Stream C")</f>
        <v>Stream C</v>
      </c>
      <c r="G15" s="54" t="str">
        <f>IFERROR(__xludf.DUMMYFUNCTION("""COMPUTED_VALUE"""),"Bo2")</f>
        <v>Bo2</v>
      </c>
      <c r="H15" s="56">
        <f>IFERROR(__xludf.DUMMYFUNCTION("""COMPUTED_VALUE"""),0.7256944444444444)</f>
        <v>0.7256944444</v>
      </c>
      <c r="I15" s="57"/>
      <c r="J15" s="57"/>
      <c r="K15" s="57"/>
      <c r="L15" s="57"/>
      <c r="M15" s="57"/>
      <c r="N15" s="65" t="str">
        <f>IFERROR(__xludf.DUMMYFUNCTION("""COMPUTED_VALUE"""),"Groupstage - Group C - Round Robin R1 #3")</f>
        <v>Groupstage - Group C - Round Robin R1 #3</v>
      </c>
      <c r="O15" s="63" t="str">
        <f>IFERROR(__xludf.DUMMYFUNCTION("""COMPUTED_VALUE"""),"Team Nemesis vs. PVISION")</f>
        <v>Team Nemesis vs. PVISION</v>
      </c>
      <c r="P15" s="54"/>
    </row>
    <row r="16">
      <c r="A16" s="12"/>
      <c r="C16" s="48">
        <f>IFERROR(__xludf.DUMMYFUNCTION("""COMPUTED_VALUE"""),46210.0)</f>
        <v>46210</v>
      </c>
      <c r="E16" s="51" t="str">
        <f>IFERROR(__xludf.DUMMYFUNCTION("""COMPUTED_VALUE"""),"MS3")</f>
        <v>MS3</v>
      </c>
      <c r="F16" s="54" t="str">
        <f>IFERROR(__xludf.DUMMYFUNCTION("""COMPUTED_VALUE"""),"Stream A")</f>
        <v>Stream A</v>
      </c>
      <c r="G16" s="54" t="str">
        <f>IFERROR(__xludf.DUMMYFUNCTION("""COMPUTED_VALUE"""),"Bo2")</f>
        <v>Bo2</v>
      </c>
      <c r="H16" s="56">
        <f>IFERROR(__xludf.DUMMYFUNCTION("""COMPUTED_VALUE"""),0.8680555555555555)</f>
        <v>0.8680555556</v>
      </c>
      <c r="I16" s="57"/>
      <c r="J16" s="57"/>
      <c r="K16" s="57"/>
      <c r="L16" s="57"/>
      <c r="M16" s="57"/>
      <c r="N16" s="65" t="str">
        <f>IFERROR(__xludf.DUMMYFUNCTION("""COMPUTED_VALUE"""),"Groupstage - Group D - Round Robin R1 #1")</f>
        <v>Groupstage - Group D - Round Robin R1 #1</v>
      </c>
      <c r="O16" s="63" t="str">
        <f>IFERROR(__xludf.DUMMYFUNCTION("""COMPUTED_VALUE"""),"Team Yandex vs. OG Esports")</f>
        <v>Team Yandex vs. OG Esports</v>
      </c>
      <c r="P16" s="54"/>
    </row>
    <row r="17">
      <c r="A17" s="12"/>
      <c r="C17" s="48">
        <f>IFERROR(__xludf.DUMMYFUNCTION("""COMPUTED_VALUE"""),46210.0)</f>
        <v>46210</v>
      </c>
      <c r="E17" s="51" t="str">
        <f>IFERROR(__xludf.DUMMYFUNCTION("""COMPUTED_VALUE"""),"SS3")</f>
        <v>SS3</v>
      </c>
      <c r="F17" s="54" t="str">
        <f>IFERROR(__xludf.DUMMYFUNCTION("""COMPUTED_VALUE"""),"Stream B")</f>
        <v>Stream B</v>
      </c>
      <c r="G17" s="54" t="str">
        <f>IFERROR(__xludf.DUMMYFUNCTION("""COMPUTED_VALUE"""),"Bo2")</f>
        <v>Bo2</v>
      </c>
      <c r="H17" s="56">
        <f>IFERROR(__xludf.DUMMYFUNCTION("""COMPUTED_VALUE"""),0.8263888888888888)</f>
        <v>0.8263888889</v>
      </c>
      <c r="I17" s="57"/>
      <c r="J17" s="57"/>
      <c r="K17" s="57"/>
      <c r="L17" s="57"/>
      <c r="M17" s="57"/>
      <c r="N17" s="65" t="str">
        <f>IFERROR(__xludf.DUMMYFUNCTION("""COMPUTED_VALUE"""),"Groupstage - Group D - Round Robin R1 #2")</f>
        <v>Groupstage - Group D - Round Robin R1 #2</v>
      </c>
      <c r="O17" s="63" t="str">
        <f>IFERROR(__xludf.DUMMYFUNCTION("""COMPUTED_VALUE"""),"LGD Gaming vs. Virtus.pro")</f>
        <v>LGD Gaming vs. Virtus.pro</v>
      </c>
      <c r="P17" s="54"/>
    </row>
    <row r="18">
      <c r="A18" s="12"/>
      <c r="C18" s="83">
        <f>IFERROR(__xludf.DUMMYFUNCTION("""COMPUTED_VALUE"""),46210.0)</f>
        <v>46210</v>
      </c>
      <c r="E18" s="51" t="str">
        <f>IFERROR(__xludf.DUMMYFUNCTION("""COMPUTED_VALUE"""),"SS2")</f>
        <v>SS2</v>
      </c>
      <c r="F18" s="54" t="str">
        <f>IFERROR(__xludf.DUMMYFUNCTION("""COMPUTED_VALUE"""),"Stream C")</f>
        <v>Stream C</v>
      </c>
      <c r="G18" s="54" t="str">
        <f>IFERROR(__xludf.DUMMYFUNCTION("""COMPUTED_VALUE"""),"Bo2")</f>
        <v>Bo2</v>
      </c>
      <c r="H18" s="56">
        <f>IFERROR(__xludf.DUMMYFUNCTION("""COMPUTED_VALUE"""),0.84375)</f>
        <v>0.84375</v>
      </c>
      <c r="I18" s="85"/>
      <c r="J18" s="85"/>
      <c r="K18" s="85"/>
      <c r="L18" s="85"/>
      <c r="M18" s="85"/>
      <c r="N18" s="65" t="str">
        <f>IFERROR(__xludf.DUMMYFUNCTION("""COMPUTED_VALUE"""),"Groupstage - Group D - Round Robin R1 #3")</f>
        <v>Groupstage - Group D - Round Robin R1 #3</v>
      </c>
      <c r="O18" s="54" t="str">
        <f>IFERROR(__xludf.DUMMYFUNCTION("""COMPUTED_VALUE"""),"IC  x Insanity vs. 1W")</f>
        <v>IC  x Insanity vs. 1W</v>
      </c>
      <c r="P18" s="54"/>
    </row>
    <row r="19">
      <c r="A19" s="12"/>
      <c r="C19" s="48">
        <f>IFERROR(__xludf.DUMMYFUNCTION("""COMPUTED_VALUE"""),46210.0)</f>
        <v>46210</v>
      </c>
      <c r="E19" s="51"/>
      <c r="F19" s="54"/>
      <c r="G19" s="54"/>
      <c r="H19" s="56">
        <f>IFERROR(__xludf.DUMMYFUNCTION("""COMPUTED_VALUE"""),0.9513888888888888)</f>
        <v>0.9513888889</v>
      </c>
      <c r="I19" s="85"/>
      <c r="J19" s="85"/>
      <c r="K19" s="85"/>
      <c r="L19" s="85"/>
      <c r="M19" s="85"/>
      <c r="N19" s="86"/>
      <c r="O19" s="54"/>
      <c r="P19" s="54"/>
    </row>
    <row r="20">
      <c r="A20" s="89"/>
      <c r="B20" s="90">
        <f>IFERROR(__xludf.DUMMYFUNCTION("""COMPUTED_VALUE"""),2.0)</f>
        <v>2</v>
      </c>
      <c r="C20" s="83">
        <f>IFERROR(__xludf.DUMMYFUNCTION("""COMPUTED_VALUE"""),46211.0)</f>
        <v>46211</v>
      </c>
      <c r="D20" s="91">
        <f>IFERROR(__xludf.DUMMYFUNCTION("""COMPUTED_VALUE"""),46211.0)</f>
        <v>46211</v>
      </c>
      <c r="E20" s="51" t="str">
        <f>IFERROR(__xludf.DUMMYFUNCTION("""COMPUTED_VALUE"""),"MS3")</f>
        <v>MS3</v>
      </c>
      <c r="F20" s="92" t="str">
        <f>IFERROR(__xludf.DUMMYFUNCTION("""COMPUTED_VALUE"""),"Stream A")</f>
        <v>Stream A</v>
      </c>
      <c r="G20" s="92" t="str">
        <f>IFERROR(__xludf.DUMMYFUNCTION("""COMPUTED_VALUE"""),"Bo2")</f>
        <v>Bo2</v>
      </c>
      <c r="H20" s="93">
        <f>IFERROR(__xludf.DUMMYFUNCTION("""COMPUTED_VALUE"""),0.46527777777777773)</f>
        <v>0.4652777778</v>
      </c>
      <c r="I20" s="94"/>
      <c r="J20" s="94"/>
      <c r="K20" s="94"/>
      <c r="L20" s="94"/>
      <c r="M20" s="94"/>
      <c r="N20" s="65" t="str">
        <f>IFERROR(__xludf.DUMMYFUNCTION("""COMPUTED_VALUE"""),"Groupstage - Group A - Round Robin R2 #1")</f>
        <v>Groupstage - Group A - Round Robin R2 #1</v>
      </c>
      <c r="O20" s="96" t="str">
        <f>IFERROR(__xludf.DUMMYFUNCTION("""COMPUTED_VALUE"""),"GamerLegion vs. Xtreme Gaming")</f>
        <v>GamerLegion vs. Xtreme Gaming</v>
      </c>
      <c r="P20" s="92"/>
    </row>
    <row r="21">
      <c r="A21" s="12"/>
      <c r="C21" s="48">
        <f>IFERROR(__xludf.DUMMYFUNCTION("""COMPUTED_VALUE"""),46211.0)</f>
        <v>46211</v>
      </c>
      <c r="E21" s="51" t="str">
        <f>IFERROR(__xludf.DUMMYFUNCTION("""COMPUTED_VALUE"""),"SS3")</f>
        <v>SS3</v>
      </c>
      <c r="F21" s="54" t="str">
        <f>IFERROR(__xludf.DUMMYFUNCTION("""COMPUTED_VALUE"""),"Stream B")</f>
        <v>Stream B</v>
      </c>
      <c r="G21" s="54" t="str">
        <f>IFERROR(__xludf.DUMMYFUNCTION("""COMPUTED_VALUE"""),"Bo2")</f>
        <v>Bo2</v>
      </c>
      <c r="H21" s="56">
        <f>IFERROR(__xludf.DUMMYFUNCTION("""COMPUTED_VALUE"""),0.4618055555555555)</f>
        <v>0.4618055556</v>
      </c>
      <c r="I21" s="57"/>
      <c r="J21" s="57"/>
      <c r="K21" s="57"/>
      <c r="L21" s="57"/>
      <c r="M21" s="57"/>
      <c r="N21" s="65" t="str">
        <f>IFERROR(__xludf.DUMMYFUNCTION("""COMPUTED_VALUE"""),"Groupstage - Group A - Round Robin R2 #2")</f>
        <v>Groupstage - Group A - Round Robin R2 #2</v>
      </c>
      <c r="O21" s="63" t="str">
        <f>IFERROR(__xludf.DUMMYFUNCTION("""COMPUTED_VALUE"""),"Poor Rangers vs. BB Team")</f>
        <v>Poor Rangers vs. BB Team</v>
      </c>
      <c r="P21" s="54"/>
    </row>
    <row r="22">
      <c r="A22" s="12"/>
      <c r="C22" s="48">
        <f>IFERROR(__xludf.DUMMYFUNCTION("""COMPUTED_VALUE"""),46211.0)</f>
        <v>46211</v>
      </c>
      <c r="E22" s="51" t="str">
        <f>IFERROR(__xludf.DUMMYFUNCTION("""COMPUTED_VALUE"""),"SS2")</f>
        <v>SS2</v>
      </c>
      <c r="F22" s="54" t="str">
        <f>IFERROR(__xludf.DUMMYFUNCTION("""COMPUTED_VALUE"""),"Stream C")</f>
        <v>Stream C</v>
      </c>
      <c r="G22" s="54" t="str">
        <f>IFERROR(__xludf.DUMMYFUNCTION("""COMPUTED_VALUE"""),"Bo2")</f>
        <v>Bo2</v>
      </c>
      <c r="H22" s="56">
        <f>IFERROR(__xludf.DUMMYFUNCTION("""COMPUTED_VALUE"""),0.4583333333333333)</f>
        <v>0.4583333333</v>
      </c>
      <c r="I22" s="57"/>
      <c r="J22" s="57"/>
      <c r="K22" s="57"/>
      <c r="L22" s="57"/>
      <c r="M22" s="57"/>
      <c r="N22" s="65" t="str">
        <f>IFERROR(__xludf.DUMMYFUNCTION("""COMPUTED_VALUE"""),"Groupstage - Group A - Round Robin R2 #3")</f>
        <v>Groupstage - Group A - Round Robin R2 #3</v>
      </c>
      <c r="O22" s="63" t="str">
        <f>IFERROR(__xludf.DUMMYFUNCTION("""COMPUTED_VALUE"""),"Team Falcons vs. Rune Eaters")</f>
        <v>Team Falcons vs. Rune Eaters</v>
      </c>
      <c r="P22" s="54"/>
    </row>
    <row r="23">
      <c r="A23" s="12"/>
      <c r="C23" s="48">
        <f>IFERROR(__xludf.DUMMYFUNCTION("""COMPUTED_VALUE"""),46211.0)</f>
        <v>46211</v>
      </c>
      <c r="E23" s="51" t="str">
        <f>IFERROR(__xludf.DUMMYFUNCTION("""COMPUTED_VALUE"""),"MS3")</f>
        <v>MS3</v>
      </c>
      <c r="F23" s="54" t="str">
        <f>IFERROR(__xludf.DUMMYFUNCTION("""COMPUTED_VALUE"""),"Stream A")</f>
        <v>Stream A</v>
      </c>
      <c r="G23" s="54" t="str">
        <f>IFERROR(__xludf.DUMMYFUNCTION("""COMPUTED_VALUE"""),"Bo2")</f>
        <v>Bo2</v>
      </c>
      <c r="H23" s="56">
        <f>IFERROR(__xludf.DUMMYFUNCTION("""COMPUTED_VALUE"""),0.6041666666666666)</f>
        <v>0.6041666667</v>
      </c>
      <c r="I23" s="57"/>
      <c r="J23" s="57"/>
      <c r="K23" s="57"/>
      <c r="L23" s="57"/>
      <c r="M23" s="57"/>
      <c r="N23" s="65" t="str">
        <f>IFERROR(__xludf.DUMMYFUNCTION("""COMPUTED_VALUE"""),"Groupstage - Group B - Round Robin R2 #1")</f>
        <v>Groupstage - Group B - Round Robin R2 #1</v>
      </c>
      <c r="O23" s="63" t="str">
        <f>IFERROR(__xludf.DUMMYFUNCTION("""COMPUTED_VALUE"""),"Nigma Galaxy vs. Aurora Gaming")</f>
        <v>Nigma Galaxy vs. Aurora Gaming</v>
      </c>
      <c r="P23" s="54"/>
    </row>
    <row r="24">
      <c r="A24" s="12"/>
      <c r="C24" s="48">
        <f>IFERROR(__xludf.DUMMYFUNCTION("""COMPUTED_VALUE"""),46211.0)</f>
        <v>46211</v>
      </c>
      <c r="E24" s="51" t="str">
        <f>IFERROR(__xludf.DUMMYFUNCTION("""COMPUTED_VALUE"""),"SS3")</f>
        <v>SS3</v>
      </c>
      <c r="F24" s="54" t="str">
        <f>IFERROR(__xludf.DUMMYFUNCTION("""COMPUTED_VALUE"""),"Stream B")</f>
        <v>Stream B</v>
      </c>
      <c r="G24" s="54" t="str">
        <f>IFERROR(__xludf.DUMMYFUNCTION("""COMPUTED_VALUE"""),"Bo2")</f>
        <v>Bo2</v>
      </c>
      <c r="H24" s="56">
        <f>IFERROR(__xludf.DUMMYFUNCTION("""COMPUTED_VALUE"""),0.5729166666666666)</f>
        <v>0.5729166667</v>
      </c>
      <c r="I24" s="57"/>
      <c r="J24" s="57"/>
      <c r="K24" s="57"/>
      <c r="L24" s="57"/>
      <c r="M24" s="57"/>
      <c r="N24" s="65" t="str">
        <f>IFERROR(__xludf.DUMMYFUNCTION("""COMPUTED_VALUE"""),"Groupstage - Group B - Round Robin R2 #2")</f>
        <v>Groupstage - Group B - Round Robin R2 #2</v>
      </c>
      <c r="O24" s="63" t="str">
        <f>IFERROR(__xludf.DUMMYFUNCTION("""COMPUTED_VALUE"""),"L1 TEAM vs. PTime")</f>
        <v>L1 TEAM vs. PTime</v>
      </c>
      <c r="P24" s="54"/>
    </row>
    <row r="25">
      <c r="A25" s="12"/>
      <c r="C25" s="48">
        <f>IFERROR(__xludf.DUMMYFUNCTION("""COMPUTED_VALUE"""),46211.0)</f>
        <v>46211</v>
      </c>
      <c r="E25" s="51" t="str">
        <f>IFERROR(__xludf.DUMMYFUNCTION("""COMPUTED_VALUE"""),"SS2")</f>
        <v>SS2</v>
      </c>
      <c r="F25" s="54" t="str">
        <f>IFERROR(__xludf.DUMMYFUNCTION("""COMPUTED_VALUE"""),"Stream C")</f>
        <v>Stream C</v>
      </c>
      <c r="G25" s="54" t="str">
        <f>IFERROR(__xludf.DUMMYFUNCTION("""COMPUTED_VALUE"""),"Bo2")</f>
        <v>Bo2</v>
      </c>
      <c r="H25" s="56">
        <f>IFERROR(__xludf.DUMMYFUNCTION("""COMPUTED_VALUE"""),0.579861111111111)</f>
        <v>0.5798611111</v>
      </c>
      <c r="I25" s="57"/>
      <c r="J25" s="57"/>
      <c r="K25" s="57"/>
      <c r="L25" s="57"/>
      <c r="M25" s="57"/>
      <c r="N25" s="65" t="str">
        <f>IFERROR(__xludf.DUMMYFUNCTION("""COMPUTED_VALUE"""),"Groupstage - Group B - Round Robin R2 #3")</f>
        <v>Groupstage - Group B - Round Robin R2 #3</v>
      </c>
      <c r="O25" s="63" t="str">
        <f>IFERROR(__xludf.DUMMYFUNCTION("""COMPUTED_VALUE"""),"Team Liquid vs. Level UP")</f>
        <v>Team Liquid vs. Level UP</v>
      </c>
      <c r="P25" s="54"/>
    </row>
    <row r="26">
      <c r="A26" s="12"/>
      <c r="C26" s="48">
        <f>IFERROR(__xludf.DUMMYFUNCTION("""COMPUTED_VALUE"""),46211.0)</f>
        <v>46211</v>
      </c>
      <c r="E26" s="51" t="str">
        <f>IFERROR(__xludf.DUMMYFUNCTION("""COMPUTED_VALUE"""),"MS3")</f>
        <v>MS3</v>
      </c>
      <c r="F26" s="54" t="str">
        <f>IFERROR(__xludf.DUMMYFUNCTION("""COMPUTED_VALUE"""),"Stream A")</f>
        <v>Stream A</v>
      </c>
      <c r="G26" s="54" t="str">
        <f>IFERROR(__xludf.DUMMYFUNCTION("""COMPUTED_VALUE"""),"Bo2")</f>
        <v>Bo2</v>
      </c>
      <c r="H26" s="56">
        <f>IFERROR(__xludf.DUMMYFUNCTION("""COMPUTED_VALUE"""),0.7430555555555555)</f>
        <v>0.7430555556</v>
      </c>
      <c r="I26" s="57"/>
      <c r="J26" s="57"/>
      <c r="K26" s="57"/>
      <c r="L26" s="57"/>
      <c r="M26" s="57"/>
      <c r="N26" s="65" t="str">
        <f>IFERROR(__xludf.DUMMYFUNCTION("""COMPUTED_VALUE"""),"Groupstage - Group C - Round Robin R2 #1")</f>
        <v>Groupstage - Group C - Round Robin R2 #1</v>
      </c>
      <c r="O26" s="63" t="str">
        <f>IFERROR(__xludf.DUMMYFUNCTION("""COMPUTED_VALUE"""),"Vici Gaming vs. PVISION")</f>
        <v>Vici Gaming vs. PVISION</v>
      </c>
      <c r="P26" s="54"/>
    </row>
    <row r="27">
      <c r="A27" s="12"/>
      <c r="C27" s="48">
        <f>IFERROR(__xludf.DUMMYFUNCTION("""COMPUTED_VALUE"""),46211.0)</f>
        <v>46211</v>
      </c>
      <c r="E27" s="51" t="str">
        <f>IFERROR(__xludf.DUMMYFUNCTION("""COMPUTED_VALUE"""),"SS3")</f>
        <v>SS3</v>
      </c>
      <c r="F27" s="54" t="str">
        <f>IFERROR(__xludf.DUMMYFUNCTION("""COMPUTED_VALUE"""),"Stream B")</f>
        <v>Stream B</v>
      </c>
      <c r="G27" s="54" t="str">
        <f>IFERROR(__xludf.DUMMYFUNCTION("""COMPUTED_VALUE"""),"Bo2")</f>
        <v>Bo2</v>
      </c>
      <c r="H27" s="56">
        <f>IFERROR(__xludf.DUMMYFUNCTION("""COMPUTED_VALUE"""),0.6840277777777778)</f>
        <v>0.6840277778</v>
      </c>
      <c r="I27" s="57"/>
      <c r="J27" s="57"/>
      <c r="K27" s="57"/>
      <c r="L27" s="57"/>
      <c r="M27" s="57"/>
      <c r="N27" s="65" t="str">
        <f>IFERROR(__xludf.DUMMYFUNCTION("""COMPUTED_VALUE"""),"Groupstage - Group C - Round Robin R2 #2")</f>
        <v>Groupstage - Group C - Round Robin R2 #2</v>
      </c>
      <c r="O27" s="63" t="str">
        <f>IFERROR(__xludf.DUMMYFUNCTION("""COMPUTED_VALUE"""),"REKONIX vs. MOUZ")</f>
        <v>REKONIX vs. MOUZ</v>
      </c>
      <c r="P27" s="54"/>
    </row>
    <row r="28">
      <c r="A28" s="12"/>
      <c r="C28" s="117">
        <f>IFERROR(__xludf.DUMMYFUNCTION("""COMPUTED_VALUE"""),46211.0)</f>
        <v>46211</v>
      </c>
      <c r="E28" s="51" t="str">
        <f>IFERROR(__xludf.DUMMYFUNCTION("""COMPUTED_VALUE"""),"SS2")</f>
        <v>SS2</v>
      </c>
      <c r="F28" s="54" t="str">
        <f>IFERROR(__xludf.DUMMYFUNCTION("""COMPUTED_VALUE"""),"Stream C")</f>
        <v>Stream C</v>
      </c>
      <c r="G28" s="54" t="str">
        <f>IFERROR(__xludf.DUMMYFUNCTION("""COMPUTED_VALUE"""),"Bo2")</f>
        <v>Bo2</v>
      </c>
      <c r="H28" s="56">
        <f>IFERROR(__xludf.DUMMYFUNCTION("""COMPUTED_VALUE"""),0.6979166666666666)</f>
        <v>0.6979166667</v>
      </c>
      <c r="I28" s="57"/>
      <c r="J28" s="57"/>
      <c r="K28" s="57"/>
      <c r="L28" s="57"/>
      <c r="M28" s="57"/>
      <c r="N28" s="65" t="str">
        <f>IFERROR(__xludf.DUMMYFUNCTION("""COMPUTED_VALUE"""),"Groupstage - Group C - Round Robin R2 #3")</f>
        <v>Groupstage - Group C - Round Robin R2 #3</v>
      </c>
      <c r="O28" s="63" t="str">
        <f>IFERROR(__xludf.DUMMYFUNCTION("""COMPUTED_VALUE"""),"Team Spirit vs. Team Nemesis")</f>
        <v>Team Spirit vs. Team Nemesis</v>
      </c>
      <c r="P28" s="54"/>
    </row>
    <row r="29">
      <c r="A29" s="12"/>
      <c r="C29" s="48">
        <f>IFERROR(__xludf.DUMMYFUNCTION("""COMPUTED_VALUE"""),46211.0)</f>
        <v>46211</v>
      </c>
      <c r="E29" s="51" t="str">
        <f>IFERROR(__xludf.DUMMYFUNCTION("""COMPUTED_VALUE"""),"MS3")</f>
        <v>MS3</v>
      </c>
      <c r="F29" s="54" t="str">
        <f>IFERROR(__xludf.DUMMYFUNCTION("""COMPUTED_VALUE"""),"Stream A")</f>
        <v>Stream A</v>
      </c>
      <c r="G29" s="54" t="str">
        <f>IFERROR(__xludf.DUMMYFUNCTION("""COMPUTED_VALUE"""),"Bo2")</f>
        <v>Bo2</v>
      </c>
      <c r="H29" s="56">
        <f>IFERROR(__xludf.DUMMYFUNCTION("""COMPUTED_VALUE"""),0.8576388888888888)</f>
        <v>0.8576388889</v>
      </c>
      <c r="I29" s="57"/>
      <c r="J29" s="57"/>
      <c r="K29" s="57"/>
      <c r="L29" s="57"/>
      <c r="M29" s="57"/>
      <c r="N29" s="65" t="str">
        <f>IFERROR(__xludf.DUMMYFUNCTION("""COMPUTED_VALUE"""),"Groupstage - Group D - Round Robin R2 #1")</f>
        <v>Groupstage - Group D - Round Robin R2 #1</v>
      </c>
      <c r="O29" s="63" t="str">
        <f>IFERROR(__xludf.DUMMYFUNCTION("""COMPUTED_VALUE"""),"Virtus.pro vs. 1W")</f>
        <v>Virtus.pro vs. 1W</v>
      </c>
      <c r="P29" s="54"/>
    </row>
    <row r="30">
      <c r="A30" s="12"/>
      <c r="C30" s="48">
        <f>IFERROR(__xludf.DUMMYFUNCTION("""COMPUTED_VALUE"""),46211.0)</f>
        <v>46211</v>
      </c>
      <c r="E30" s="51" t="str">
        <f>IFERROR(__xludf.DUMMYFUNCTION("""COMPUTED_VALUE"""),"SS3")</f>
        <v>SS3</v>
      </c>
      <c r="F30" s="54" t="str">
        <f>IFERROR(__xludf.DUMMYFUNCTION("""COMPUTED_VALUE"""),"Stream B")</f>
        <v>Stream B</v>
      </c>
      <c r="G30" s="54" t="str">
        <f>IFERROR(__xludf.DUMMYFUNCTION("""COMPUTED_VALUE"""),"Bo2")</f>
        <v>Bo2</v>
      </c>
      <c r="H30" s="56">
        <f>IFERROR(__xludf.DUMMYFUNCTION("""COMPUTED_VALUE"""),0.8020833333333333)</f>
        <v>0.8020833333</v>
      </c>
      <c r="I30" s="57"/>
      <c r="J30" s="57"/>
      <c r="K30" s="57"/>
      <c r="L30" s="57"/>
      <c r="M30" s="57"/>
      <c r="N30" s="65" t="str">
        <f>IFERROR(__xludf.DUMMYFUNCTION("""COMPUTED_VALUE"""),"Groupstage - Group D - Round Robin R2 #2")</f>
        <v>Groupstage - Group D - Round Robin R2 #2</v>
      </c>
      <c r="O30" s="63" t="str">
        <f>IFERROR(__xludf.DUMMYFUNCTION("""COMPUTED_VALUE"""),"LGD Gaming vs. OG Esports")</f>
        <v>LGD Gaming vs. OG Esports</v>
      </c>
      <c r="P30" s="54"/>
    </row>
    <row r="31">
      <c r="A31" s="12"/>
      <c r="C31" s="48">
        <f>IFERROR(__xludf.DUMMYFUNCTION("""COMPUTED_VALUE"""),46211.0)</f>
        <v>46211</v>
      </c>
      <c r="E31" s="51" t="str">
        <f>IFERROR(__xludf.DUMMYFUNCTION("""COMPUTED_VALUE"""),"SS2")</f>
        <v>SS2</v>
      </c>
      <c r="F31" s="54" t="str">
        <f>IFERROR(__xludf.DUMMYFUNCTION("""COMPUTED_VALUE"""),"Stream C")</f>
        <v>Stream C</v>
      </c>
      <c r="G31" s="54" t="str">
        <f>IFERROR(__xludf.DUMMYFUNCTION("""COMPUTED_VALUE"""),"Bo2")</f>
        <v>Bo2</v>
      </c>
      <c r="H31" s="56">
        <f>IFERROR(__xludf.DUMMYFUNCTION("""COMPUTED_VALUE"""),0.8229166666666666)</f>
        <v>0.8229166667</v>
      </c>
      <c r="I31" s="85"/>
      <c r="J31" s="85"/>
      <c r="K31" s="85"/>
      <c r="L31" s="85"/>
      <c r="M31" s="85"/>
      <c r="N31" s="65" t="str">
        <f>IFERROR(__xludf.DUMMYFUNCTION("""COMPUTED_VALUE"""),"Groupstage - Group D - Round Robin R2 #3")</f>
        <v>Groupstage - Group D - Round Robin R2 #3</v>
      </c>
      <c r="O31" s="54" t="str">
        <f>IFERROR(__xludf.DUMMYFUNCTION("""COMPUTED_VALUE"""),"Team Yandex vs. IC  x Insanity")</f>
        <v>Team Yandex vs. IC  x Insanity</v>
      </c>
      <c r="P31" s="54"/>
    </row>
    <row r="32">
      <c r="A32" s="124"/>
      <c r="B32" s="125"/>
      <c r="C32" s="117">
        <f>IFERROR(__xludf.DUMMYFUNCTION("""COMPUTED_VALUE"""),46211.0)</f>
        <v>46211</v>
      </c>
      <c r="D32" s="125"/>
      <c r="E32" s="51"/>
      <c r="F32" s="86"/>
      <c r="G32" s="86"/>
      <c r="H32" s="126">
        <f>IFERROR(__xludf.DUMMYFUNCTION("""COMPUTED_VALUE"""),0.9409722222222222)</f>
        <v>0.9409722222</v>
      </c>
      <c r="I32" s="127"/>
      <c r="J32" s="127"/>
      <c r="K32" s="127"/>
      <c r="L32" s="127"/>
      <c r="M32" s="127"/>
      <c r="N32" s="86"/>
      <c r="O32" s="86"/>
      <c r="P32" s="86"/>
    </row>
    <row r="33">
      <c r="A33" s="12"/>
      <c r="B33" s="40">
        <f>IFERROR(__xludf.DUMMYFUNCTION("""COMPUTED_VALUE"""),3.0)</f>
        <v>3</v>
      </c>
      <c r="C33" s="48">
        <f>IFERROR(__xludf.DUMMYFUNCTION("""COMPUTED_VALUE"""),46212.0)</f>
        <v>46212</v>
      </c>
      <c r="D33" s="50">
        <f>IFERROR(__xludf.DUMMYFUNCTION("""COMPUTED_VALUE"""),46212.0)</f>
        <v>46212</v>
      </c>
      <c r="E33" s="51" t="str">
        <f>IFERROR(__xludf.DUMMYFUNCTION("""COMPUTED_VALUE"""),"MS3")</f>
        <v>MS3</v>
      </c>
      <c r="F33" s="54" t="str">
        <f>IFERROR(__xludf.DUMMYFUNCTION("""COMPUTED_VALUE"""),"Stream A")</f>
        <v>Stream A</v>
      </c>
      <c r="G33" s="54" t="str">
        <f>IFERROR(__xludf.DUMMYFUNCTION("""COMPUTED_VALUE"""),"Bo2")</f>
        <v>Bo2</v>
      </c>
      <c r="H33" s="56">
        <f>IFERROR(__xludf.DUMMYFUNCTION("""COMPUTED_VALUE"""),0.5451388888888888)</f>
        <v>0.5451388889</v>
      </c>
      <c r="I33" s="57"/>
      <c r="J33" s="57"/>
      <c r="K33" s="57"/>
      <c r="L33" s="57"/>
      <c r="M33" s="57"/>
      <c r="N33" s="65" t="str">
        <f>IFERROR(__xludf.DUMMYFUNCTION("""COMPUTED_VALUE"""),"Groupstage - Group A - Round Robin R3 #1")</f>
        <v>Groupstage - Group A - Round Robin R3 #1</v>
      </c>
      <c r="O33" s="63" t="str">
        <f>IFERROR(__xludf.DUMMYFUNCTION("""COMPUTED_VALUE"""),"GamerLegion vs. Team Falcons")</f>
        <v>GamerLegion vs. Team Falcons</v>
      </c>
      <c r="P33" s="54"/>
    </row>
    <row r="34">
      <c r="A34" s="12"/>
      <c r="C34" s="48">
        <f>IFERROR(__xludf.DUMMYFUNCTION("""COMPUTED_VALUE"""),46212.0)</f>
        <v>46212</v>
      </c>
      <c r="E34" s="51" t="str">
        <f>IFERROR(__xludf.DUMMYFUNCTION("""COMPUTED_VALUE"""),"SS3")</f>
        <v>SS3</v>
      </c>
      <c r="F34" s="54" t="str">
        <f>IFERROR(__xludf.DUMMYFUNCTION("""COMPUTED_VALUE"""),"Stream B")</f>
        <v>Stream B</v>
      </c>
      <c r="G34" s="54" t="str">
        <f>IFERROR(__xludf.DUMMYFUNCTION("""COMPUTED_VALUE"""),"Bo2")</f>
        <v>Bo2</v>
      </c>
      <c r="H34" s="56">
        <f>IFERROR(__xludf.DUMMYFUNCTION("""COMPUTED_VALUE"""),0.4583333333333333)</f>
        <v>0.4583333333</v>
      </c>
      <c r="I34" s="57"/>
      <c r="J34" s="57"/>
      <c r="K34" s="57"/>
      <c r="L34" s="57"/>
      <c r="M34" s="57"/>
      <c r="N34" s="65" t="str">
        <f>IFERROR(__xludf.DUMMYFUNCTION("""COMPUTED_VALUE"""),"Groupstage - Group A - Round Robin R3 #2")</f>
        <v>Groupstage - Group A - Round Robin R3 #2</v>
      </c>
      <c r="O34" s="63" t="str">
        <f>IFERROR(__xludf.DUMMYFUNCTION("""COMPUTED_VALUE"""),"Poor Rangers vs. Xtreme Gaming")</f>
        <v>Poor Rangers vs. Xtreme Gaming</v>
      </c>
      <c r="P34" s="54"/>
    </row>
    <row r="35">
      <c r="A35" s="12"/>
      <c r="C35" s="48">
        <f>IFERROR(__xludf.DUMMYFUNCTION("""COMPUTED_VALUE"""),46212.0)</f>
        <v>46212</v>
      </c>
      <c r="E35" s="51" t="str">
        <f>IFERROR(__xludf.DUMMYFUNCTION("""COMPUTED_VALUE"""),"SS2")</f>
        <v>SS2</v>
      </c>
      <c r="F35" s="54" t="str">
        <f>IFERROR(__xludf.DUMMYFUNCTION("""COMPUTED_VALUE"""),"Stream C")</f>
        <v>Stream C</v>
      </c>
      <c r="G35" s="54" t="str">
        <f>IFERROR(__xludf.DUMMYFUNCTION("""COMPUTED_VALUE"""),"Bo2")</f>
        <v>Bo2</v>
      </c>
      <c r="H35" s="56">
        <f>IFERROR(__xludf.DUMMYFUNCTION("""COMPUTED_VALUE"""),0.7222222222222222)</f>
        <v>0.7222222222</v>
      </c>
      <c r="I35" s="57"/>
      <c r="J35" s="57"/>
      <c r="K35" s="57"/>
      <c r="L35" s="57"/>
      <c r="M35" s="57"/>
      <c r="N35" s="65" t="str">
        <f>IFERROR(__xludf.DUMMYFUNCTION("""COMPUTED_VALUE"""),"Groupstage - Group A - Round Robin R3 #3")</f>
        <v>Groupstage - Group A - Round Robin R3 #3</v>
      </c>
      <c r="O35" s="63" t="str">
        <f>IFERROR(__xludf.DUMMYFUNCTION("""COMPUTED_VALUE"""),"BB Team vs. Rune Eaters")</f>
        <v>BB Team vs. Rune Eaters</v>
      </c>
      <c r="P35" s="54"/>
    </row>
    <row r="36">
      <c r="A36" s="12"/>
      <c r="C36" s="48">
        <f>IFERROR(__xludf.DUMMYFUNCTION("""COMPUTED_VALUE"""),46212.0)</f>
        <v>46212</v>
      </c>
      <c r="E36" s="51" t="str">
        <f>IFERROR(__xludf.DUMMYFUNCTION("""COMPUTED_VALUE"""),"MS3")</f>
        <v>MS3</v>
      </c>
      <c r="F36" s="54" t="str">
        <f>IFERROR(__xludf.DUMMYFUNCTION("""COMPUTED_VALUE"""),"Stream A")</f>
        <v>Stream A</v>
      </c>
      <c r="G36" s="54" t="str">
        <f>IFERROR(__xludf.DUMMYFUNCTION("""COMPUTED_VALUE"""),"Bo2")</f>
        <v>Bo2</v>
      </c>
      <c r="H36" s="56">
        <f>IFERROR(__xludf.DUMMYFUNCTION("""COMPUTED_VALUE"""),0.6631944444444444)</f>
        <v>0.6631944444</v>
      </c>
      <c r="I36" s="57"/>
      <c r="J36" s="57"/>
      <c r="K36" s="57"/>
      <c r="L36" s="57"/>
      <c r="M36" s="57"/>
      <c r="N36" s="65" t="str">
        <f>IFERROR(__xludf.DUMMYFUNCTION("""COMPUTED_VALUE"""),"Groupstage - Group B - Round Robin R3 #1")</f>
        <v>Groupstage - Group B - Round Robin R3 #1</v>
      </c>
      <c r="O36" s="63" t="str">
        <f>IFERROR(__xludf.DUMMYFUNCTION("""COMPUTED_VALUE"""),"Nigma Galaxy vs. Team Liquid")</f>
        <v>Nigma Galaxy vs. Team Liquid</v>
      </c>
      <c r="P36" s="54"/>
    </row>
    <row r="37">
      <c r="A37" s="12"/>
      <c r="C37" s="48">
        <f>IFERROR(__xludf.DUMMYFUNCTION("""COMPUTED_VALUE"""),46212.0)</f>
        <v>46212</v>
      </c>
      <c r="E37" s="51" t="str">
        <f>IFERROR(__xludf.DUMMYFUNCTION("""COMPUTED_VALUE"""),"SS3")</f>
        <v>SS3</v>
      </c>
      <c r="F37" s="54" t="str">
        <f>IFERROR(__xludf.DUMMYFUNCTION("""COMPUTED_VALUE"""),"Stream B")</f>
        <v>Stream B</v>
      </c>
      <c r="G37" s="54" t="str">
        <f>IFERROR(__xludf.DUMMYFUNCTION("""COMPUTED_VALUE"""),"Bo2")</f>
        <v>Bo2</v>
      </c>
      <c r="H37" s="56">
        <f>IFERROR(__xludf.DUMMYFUNCTION("""COMPUTED_VALUE"""),0.5625)</f>
        <v>0.5625</v>
      </c>
      <c r="I37" s="57"/>
      <c r="J37" s="57"/>
      <c r="K37" s="57"/>
      <c r="L37" s="57"/>
      <c r="M37" s="57"/>
      <c r="N37" s="65" t="str">
        <f>IFERROR(__xludf.DUMMYFUNCTION("""COMPUTED_VALUE"""),"Groupstage - Group B - Round Robin R3 #2")</f>
        <v>Groupstage - Group B - Round Robin R3 #2</v>
      </c>
      <c r="O37" s="63" t="str">
        <f>IFERROR(__xludf.DUMMYFUNCTION("""COMPUTED_VALUE"""),"L1 TEAM vs. Aurora Gaming")</f>
        <v>L1 TEAM vs. Aurora Gaming</v>
      </c>
      <c r="P37" s="54"/>
    </row>
    <row r="38">
      <c r="A38" s="12"/>
      <c r="C38" s="48">
        <f>IFERROR(__xludf.DUMMYFUNCTION("""COMPUTED_VALUE"""),46212.0)</f>
        <v>46212</v>
      </c>
      <c r="E38" s="51" t="str">
        <f>IFERROR(__xludf.DUMMYFUNCTION("""COMPUTED_VALUE"""),"SS2")</f>
        <v>SS2</v>
      </c>
      <c r="F38" s="54" t="str">
        <f>IFERROR(__xludf.DUMMYFUNCTION("""COMPUTED_VALUE"""),"Stream C")</f>
        <v>Stream C</v>
      </c>
      <c r="G38" s="54" t="str">
        <f>IFERROR(__xludf.DUMMYFUNCTION("""COMPUTED_VALUE"""),"Bo2")</f>
        <v>Bo2</v>
      </c>
      <c r="H38" s="56">
        <f>IFERROR(__xludf.DUMMYFUNCTION("""COMPUTED_VALUE"""),0.8263888888888888)</f>
        <v>0.8263888889</v>
      </c>
      <c r="I38" s="57"/>
      <c r="J38" s="57"/>
      <c r="K38" s="57"/>
      <c r="L38" s="57"/>
      <c r="M38" s="57"/>
      <c r="N38" s="65" t="str">
        <f>IFERROR(__xludf.DUMMYFUNCTION("""COMPUTED_VALUE"""),"Groupstage - Group B - Round Robin R3 #3")</f>
        <v>Groupstage - Group B - Round Robin R3 #3</v>
      </c>
      <c r="O38" s="63" t="str">
        <f>IFERROR(__xludf.DUMMYFUNCTION("""COMPUTED_VALUE"""),"PTime vs. Level UP")</f>
        <v>PTime vs. Level UP</v>
      </c>
      <c r="P38" s="54"/>
    </row>
    <row r="39">
      <c r="A39" s="12"/>
      <c r="C39" s="48">
        <f>IFERROR(__xludf.DUMMYFUNCTION("""COMPUTED_VALUE"""),46212.0)</f>
        <v>46212</v>
      </c>
      <c r="E39" s="51" t="str">
        <f>IFERROR(__xludf.DUMMYFUNCTION("""COMPUTED_VALUE"""),"MS3")</f>
        <v>MS3</v>
      </c>
      <c r="F39" s="54" t="str">
        <f>IFERROR(__xludf.DUMMYFUNCTION("""COMPUTED_VALUE"""),"Stream A")</f>
        <v>Stream A</v>
      </c>
      <c r="G39" s="54" t="str">
        <f>IFERROR(__xludf.DUMMYFUNCTION("""COMPUTED_VALUE"""),"Bo2")</f>
        <v>Bo2</v>
      </c>
      <c r="H39" s="56">
        <f>IFERROR(__xludf.DUMMYFUNCTION("""COMPUTED_VALUE"""),0.767361111111111)</f>
        <v>0.7673611111</v>
      </c>
      <c r="I39" s="57"/>
      <c r="J39" s="57"/>
      <c r="K39" s="57"/>
      <c r="L39" s="57"/>
      <c r="M39" s="57"/>
      <c r="N39" s="65" t="str">
        <f>IFERROR(__xludf.DUMMYFUNCTION("""COMPUTED_VALUE"""),"Groupstage - Group C - Round Robin R3 #1")</f>
        <v>Groupstage - Group C - Round Robin R3 #1</v>
      </c>
      <c r="O39" s="63" t="str">
        <f>IFERROR(__xludf.DUMMYFUNCTION("""COMPUTED_VALUE"""),"Vici Gaming vs. Team Spirit")</f>
        <v>Vici Gaming vs. Team Spirit</v>
      </c>
      <c r="P39" s="54"/>
    </row>
    <row r="40">
      <c r="A40" s="12"/>
      <c r="C40" s="83">
        <f>IFERROR(__xludf.DUMMYFUNCTION("""COMPUTED_VALUE"""),46212.0)</f>
        <v>46212</v>
      </c>
      <c r="E40" s="51" t="str">
        <f>IFERROR(__xludf.DUMMYFUNCTION("""COMPUTED_VALUE"""),"SS3")</f>
        <v>SS3</v>
      </c>
      <c r="F40" s="54" t="str">
        <f>IFERROR(__xludf.DUMMYFUNCTION("""COMPUTED_VALUE"""),"Stream B")</f>
        <v>Stream B</v>
      </c>
      <c r="G40" s="54" t="str">
        <f>IFERROR(__xludf.DUMMYFUNCTION("""COMPUTED_VALUE"""),"Bo2")</f>
        <v>Bo2</v>
      </c>
      <c r="H40" s="56">
        <f>IFERROR(__xludf.DUMMYFUNCTION("""COMPUTED_VALUE"""),0.6666666666666666)</f>
        <v>0.6666666667</v>
      </c>
      <c r="I40" s="57"/>
      <c r="J40" s="57"/>
      <c r="K40" s="57"/>
      <c r="L40" s="57"/>
      <c r="M40" s="57"/>
      <c r="N40" s="65" t="str">
        <f>IFERROR(__xludf.DUMMYFUNCTION("""COMPUTED_VALUE"""),"Groupstage - Group C - Round Robin R3 #2")</f>
        <v>Groupstage - Group C - Round Robin R3 #2</v>
      </c>
      <c r="O40" s="63" t="str">
        <f>IFERROR(__xludf.DUMMYFUNCTION("""COMPUTED_VALUE"""),"MOUZ vs. Team Nemesis")</f>
        <v>MOUZ vs. Team Nemesis</v>
      </c>
      <c r="P40" s="54"/>
    </row>
    <row r="41">
      <c r="A41" s="12"/>
      <c r="C41" s="48">
        <f>IFERROR(__xludf.DUMMYFUNCTION("""COMPUTED_VALUE"""),46212.0)</f>
        <v>46212</v>
      </c>
      <c r="E41" s="51" t="str">
        <f>IFERROR(__xludf.DUMMYFUNCTION("""COMPUTED_VALUE"""),"SS2")</f>
        <v>SS2</v>
      </c>
      <c r="F41" s="54" t="str">
        <f>IFERROR(__xludf.DUMMYFUNCTION("""COMPUTED_VALUE"""),"Stream C")</f>
        <v>Stream C</v>
      </c>
      <c r="G41" s="54" t="str">
        <f>IFERROR(__xludf.DUMMYFUNCTION("""COMPUTED_VALUE"""),"Bo2")</f>
        <v>Bo2</v>
      </c>
      <c r="H41" s="56">
        <f>IFERROR(__xludf.DUMMYFUNCTION("""COMPUTED_VALUE"""),0.9305555555555555)</f>
        <v>0.9305555556</v>
      </c>
      <c r="I41" s="57"/>
      <c r="J41" s="57"/>
      <c r="K41" s="57"/>
      <c r="L41" s="57"/>
      <c r="M41" s="57"/>
      <c r="N41" s="65" t="str">
        <f>IFERROR(__xludf.DUMMYFUNCTION("""COMPUTED_VALUE"""),"Groupstage - Group C - Round Robin R3 #3")</f>
        <v>Groupstage - Group C - Round Robin R3 #3</v>
      </c>
      <c r="O41" s="63" t="str">
        <f>IFERROR(__xludf.DUMMYFUNCTION("""COMPUTED_VALUE"""),"REKONIX vs. PVISION")</f>
        <v>REKONIX vs. PVISION</v>
      </c>
      <c r="P41" s="54"/>
    </row>
    <row r="42">
      <c r="A42" s="12"/>
      <c r="C42" s="48">
        <f>IFERROR(__xludf.DUMMYFUNCTION("""COMPUTED_VALUE"""),46212.0)</f>
        <v>46212</v>
      </c>
      <c r="E42" s="51" t="str">
        <f>IFERROR(__xludf.DUMMYFUNCTION("""COMPUTED_VALUE"""),"MS3")</f>
        <v>MS3</v>
      </c>
      <c r="F42" s="54" t="str">
        <f>IFERROR(__xludf.DUMMYFUNCTION("""COMPUTED_VALUE"""),"Stream A")</f>
        <v>Stream A</v>
      </c>
      <c r="G42" s="54" t="str">
        <f>IFERROR(__xludf.DUMMYFUNCTION("""COMPUTED_VALUE"""),"Bo2")</f>
        <v>Bo2</v>
      </c>
      <c r="H42" s="56">
        <f>IFERROR(__xludf.DUMMYFUNCTION("""COMPUTED_VALUE"""),0.8715277777777777)</f>
        <v>0.8715277778</v>
      </c>
      <c r="I42" s="57"/>
      <c r="J42" s="57"/>
      <c r="K42" s="57"/>
      <c r="L42" s="57"/>
      <c r="M42" s="57"/>
      <c r="N42" s="65" t="str">
        <f>IFERROR(__xludf.DUMMYFUNCTION("""COMPUTED_VALUE"""),"Groupstage - Group D - Round Robin R3 #1")</f>
        <v>Groupstage - Group D - Round Robin R3 #1</v>
      </c>
      <c r="O42" s="63" t="str">
        <f>IFERROR(__xludf.DUMMYFUNCTION("""COMPUTED_VALUE"""),"LGD Gaming vs. 1W")</f>
        <v>LGD Gaming vs. 1W</v>
      </c>
      <c r="P42" s="54"/>
    </row>
    <row r="43">
      <c r="A43" s="12"/>
      <c r="C43" s="48">
        <f>IFERROR(__xludf.DUMMYFUNCTION("""COMPUTED_VALUE"""),46212.0)</f>
        <v>46212</v>
      </c>
      <c r="E43" s="51" t="str">
        <f>IFERROR(__xludf.DUMMYFUNCTION("""COMPUTED_VALUE"""),"SS3")</f>
        <v>SS3</v>
      </c>
      <c r="F43" s="54" t="str">
        <f>IFERROR(__xludf.DUMMYFUNCTION("""COMPUTED_VALUE"""),"Stream B")</f>
        <v>Stream B</v>
      </c>
      <c r="G43" s="54" t="str">
        <f>IFERROR(__xludf.DUMMYFUNCTION("""COMPUTED_VALUE"""),"Bo2")</f>
        <v>Bo2</v>
      </c>
      <c r="H43" s="56">
        <f>IFERROR(__xludf.DUMMYFUNCTION("""COMPUTED_VALUE"""),0.7708333333333333)</f>
        <v>0.7708333333</v>
      </c>
      <c r="I43" s="57"/>
      <c r="J43" s="57"/>
      <c r="K43" s="57"/>
      <c r="L43" s="57"/>
      <c r="M43" s="57"/>
      <c r="N43" s="65" t="str">
        <f>IFERROR(__xludf.DUMMYFUNCTION("""COMPUTED_VALUE"""),"Groupstage - Group D - Round Robin R3 #2")</f>
        <v>Groupstage - Group D - Round Robin R3 #2</v>
      </c>
      <c r="O43" s="63" t="str">
        <f>IFERROR(__xludf.DUMMYFUNCTION("""COMPUTED_VALUE"""),"Virtus.pro vs. Team Yandex")</f>
        <v>Virtus.pro vs. Team Yandex</v>
      </c>
      <c r="P43" s="54"/>
    </row>
    <row r="44">
      <c r="A44" s="12"/>
      <c r="C44" s="117">
        <f>IFERROR(__xludf.DUMMYFUNCTION("""COMPUTED_VALUE"""),46212.0)</f>
        <v>46212</v>
      </c>
      <c r="E44" s="51" t="str">
        <f>IFERROR(__xludf.DUMMYFUNCTION("""COMPUTED_VALUE"""),"SS2")</f>
        <v>SS2</v>
      </c>
      <c r="F44" s="54" t="str">
        <f>IFERROR(__xludf.DUMMYFUNCTION("""COMPUTED_VALUE"""),"Stream C")</f>
        <v>Stream C</v>
      </c>
      <c r="G44" s="54" t="str">
        <f>IFERROR(__xludf.DUMMYFUNCTION("""COMPUTED_VALUE"""),"Bo2")</f>
        <v>Bo2</v>
      </c>
      <c r="H44" s="56">
        <f>IFERROR(__xludf.DUMMYFUNCTION("""COMPUTED_VALUE"""),1.034722222222222)</f>
        <v>1.034722222</v>
      </c>
      <c r="I44" s="85"/>
      <c r="J44" s="85"/>
      <c r="K44" s="85"/>
      <c r="L44" s="85"/>
      <c r="M44" s="85"/>
      <c r="N44" s="65" t="str">
        <f>IFERROR(__xludf.DUMMYFUNCTION("""COMPUTED_VALUE"""),"Groupstage - Group D - Round Robin R3 #3")</f>
        <v>Groupstage - Group D - Round Robin R3 #3</v>
      </c>
      <c r="O44" s="54" t="str">
        <f>IFERROR(__xludf.DUMMYFUNCTION("""COMPUTED_VALUE"""),"OG Esports vs. IC  x Insanity")</f>
        <v>OG Esports vs. IC  x Insanity</v>
      </c>
      <c r="P44" s="54"/>
    </row>
    <row r="45" ht="15.0" customHeight="1">
      <c r="A45" s="12"/>
      <c r="C45" s="48">
        <f>IFERROR(__xludf.DUMMYFUNCTION("""COMPUTED_VALUE"""),46212.0)</f>
        <v>46212</v>
      </c>
      <c r="E45" s="51"/>
      <c r="F45" s="54"/>
      <c r="G45" s="54"/>
      <c r="H45" s="56">
        <f>IFERROR(__xludf.DUMMYFUNCTION("""COMPUTED_VALUE"""),0.954861111111111)</f>
        <v>0.9548611111</v>
      </c>
      <c r="I45" s="85"/>
      <c r="J45" s="85"/>
      <c r="K45" s="85"/>
      <c r="L45" s="85"/>
      <c r="M45" s="85"/>
      <c r="N45" s="86"/>
      <c r="O45" s="54"/>
      <c r="P45" s="54"/>
    </row>
    <row r="46">
      <c r="A46" s="89"/>
      <c r="B46" s="90">
        <f>IFERROR(__xludf.DUMMYFUNCTION("""COMPUTED_VALUE"""),4.0)</f>
        <v>4</v>
      </c>
      <c r="C46" s="83">
        <f>IFERROR(__xludf.DUMMYFUNCTION("""COMPUTED_VALUE"""),46213.0)</f>
        <v>46213</v>
      </c>
      <c r="D46" s="91">
        <f>IFERROR(__xludf.DUMMYFUNCTION("""COMPUTED_VALUE"""),46213.0)</f>
        <v>46213</v>
      </c>
      <c r="E46" s="51" t="str">
        <f>IFERROR(__xludf.DUMMYFUNCTION("""COMPUTED_VALUE"""),"MS3")</f>
        <v>MS3</v>
      </c>
      <c r="F46" s="92" t="str">
        <f>IFERROR(__xludf.DUMMYFUNCTION("""COMPUTED_VALUE"""),"Stream A")</f>
        <v>Stream A</v>
      </c>
      <c r="G46" s="92" t="str">
        <f>IFERROR(__xludf.DUMMYFUNCTION("""COMPUTED_VALUE"""),"Bo2")</f>
        <v>Bo2</v>
      </c>
      <c r="H46" s="93">
        <f>IFERROR(__xludf.DUMMYFUNCTION("""COMPUTED_VALUE"""),0.46527777777777773)</f>
        <v>0.4652777778</v>
      </c>
      <c r="I46" s="94"/>
      <c r="J46" s="94"/>
      <c r="K46" s="94"/>
      <c r="L46" s="94"/>
      <c r="M46" s="94"/>
      <c r="N46" s="65" t="str">
        <f>IFERROR(__xludf.DUMMYFUNCTION("""COMPUTED_VALUE"""),"Groupstage - Group A - Round Robin R4 #1")</f>
        <v>Groupstage - Group A - Round Robin R4 #1</v>
      </c>
      <c r="O46" s="96" t="str">
        <f>IFERROR(__xludf.DUMMYFUNCTION("""COMPUTED_VALUE"""),"Xtreme Gaming vs. BB Team")</f>
        <v>Xtreme Gaming vs. BB Team</v>
      </c>
      <c r="P46" s="92"/>
    </row>
    <row r="47">
      <c r="A47" s="12"/>
      <c r="C47" s="48">
        <f>IFERROR(__xludf.DUMMYFUNCTION("""COMPUTED_VALUE"""),46213.0)</f>
        <v>46213</v>
      </c>
      <c r="E47" s="51" t="str">
        <f>IFERROR(__xludf.DUMMYFUNCTION("""COMPUTED_VALUE"""),"SS3")</f>
        <v>SS3</v>
      </c>
      <c r="F47" s="54" t="str">
        <f>IFERROR(__xludf.DUMMYFUNCTION("""COMPUTED_VALUE"""),"Stream B")</f>
        <v>Stream B</v>
      </c>
      <c r="G47" s="54" t="str">
        <f>IFERROR(__xludf.DUMMYFUNCTION("""COMPUTED_VALUE"""),"Bo2")</f>
        <v>Bo2</v>
      </c>
      <c r="H47" s="56">
        <f>IFERROR(__xludf.DUMMYFUNCTION("""COMPUTED_VALUE"""),0.4583333333333333)</f>
        <v>0.4583333333</v>
      </c>
      <c r="I47" s="57"/>
      <c r="J47" s="57"/>
      <c r="K47" s="57"/>
      <c r="L47" s="57"/>
      <c r="M47" s="57"/>
      <c r="N47" s="65" t="str">
        <f>IFERROR(__xludf.DUMMYFUNCTION("""COMPUTED_VALUE"""),"Groupstage - Group A - Round Robin R4 #2")</f>
        <v>Groupstage - Group A - Round Robin R4 #2</v>
      </c>
      <c r="O47" s="63" t="str">
        <f>IFERROR(__xludf.DUMMYFUNCTION("""COMPUTED_VALUE"""),"Poor Rangers vs. Team Falcons")</f>
        <v>Poor Rangers vs. Team Falcons</v>
      </c>
      <c r="P47" s="54"/>
    </row>
    <row r="48">
      <c r="A48" s="12"/>
      <c r="C48" s="48">
        <f>IFERROR(__xludf.DUMMYFUNCTION("""COMPUTED_VALUE"""),46213.0)</f>
        <v>46213</v>
      </c>
      <c r="E48" s="51" t="str">
        <f>IFERROR(__xludf.DUMMYFUNCTION("""COMPUTED_VALUE"""),"SS2")</f>
        <v>SS2</v>
      </c>
      <c r="F48" s="54" t="str">
        <f>IFERROR(__xludf.DUMMYFUNCTION("""COMPUTED_VALUE"""),"Stream C")</f>
        <v>Stream C</v>
      </c>
      <c r="G48" s="54" t="str">
        <f>IFERROR(__xludf.DUMMYFUNCTION("""COMPUTED_VALUE"""),"Bo2")</f>
        <v>Bo2</v>
      </c>
      <c r="H48" s="56">
        <f>IFERROR(__xludf.DUMMYFUNCTION("""COMPUTED_VALUE"""),0.4583333333333333)</f>
        <v>0.4583333333</v>
      </c>
      <c r="I48" s="57"/>
      <c r="J48" s="57"/>
      <c r="K48" s="57"/>
      <c r="L48" s="57"/>
      <c r="M48" s="57"/>
      <c r="N48" s="65" t="str">
        <f>IFERROR(__xludf.DUMMYFUNCTION("""COMPUTED_VALUE"""),"Groupstage - Group A - Round Robin R4 #3")</f>
        <v>Groupstage - Group A - Round Robin R4 #3</v>
      </c>
      <c r="O48" s="63" t="str">
        <f>IFERROR(__xludf.DUMMYFUNCTION("""COMPUTED_VALUE"""),"Rune Eaters vs. GamerLegion")</f>
        <v>Rune Eaters vs. GamerLegion</v>
      </c>
      <c r="P48" s="54"/>
    </row>
    <row r="49">
      <c r="A49" s="12"/>
      <c r="C49" s="48">
        <f>IFERROR(__xludf.DUMMYFUNCTION("""COMPUTED_VALUE"""),46213.0)</f>
        <v>46213</v>
      </c>
      <c r="E49" s="51" t="str">
        <f>IFERROR(__xludf.DUMMYFUNCTION("""COMPUTED_VALUE"""),"MS3")</f>
        <v>MS3</v>
      </c>
      <c r="F49" s="54" t="str">
        <f>IFERROR(__xludf.DUMMYFUNCTION("""COMPUTED_VALUE"""),"Stream A")</f>
        <v>Stream A</v>
      </c>
      <c r="G49" s="54" t="str">
        <f>IFERROR(__xludf.DUMMYFUNCTION("""COMPUTED_VALUE"""),"Bo2")</f>
        <v>Bo2</v>
      </c>
      <c r="H49" s="56">
        <f>IFERROR(__xludf.DUMMYFUNCTION("""COMPUTED_VALUE"""),0.5694444444444444)</f>
        <v>0.5694444444</v>
      </c>
      <c r="I49" s="57"/>
      <c r="J49" s="57"/>
      <c r="K49" s="57"/>
      <c r="L49" s="57"/>
      <c r="M49" s="57"/>
      <c r="N49" s="65" t="str">
        <f>IFERROR(__xludf.DUMMYFUNCTION("""COMPUTED_VALUE"""),"Groupstage - Group B - Round Robin R4 #1")</f>
        <v>Groupstage - Group B - Round Robin R4 #1</v>
      </c>
      <c r="O49" s="63" t="str">
        <f>IFERROR(__xludf.DUMMYFUNCTION("""COMPUTED_VALUE"""),"Aurora Gaming vs. PTime")</f>
        <v>Aurora Gaming vs. PTime</v>
      </c>
      <c r="P49" s="54"/>
    </row>
    <row r="50">
      <c r="A50" s="12"/>
      <c r="C50" s="48">
        <f>IFERROR(__xludf.DUMMYFUNCTION("""COMPUTED_VALUE"""),46213.0)</f>
        <v>46213</v>
      </c>
      <c r="E50" s="51" t="str">
        <f>IFERROR(__xludf.DUMMYFUNCTION("""COMPUTED_VALUE"""),"SS3")</f>
        <v>SS3</v>
      </c>
      <c r="F50" s="54" t="str">
        <f>IFERROR(__xludf.DUMMYFUNCTION("""COMPUTED_VALUE"""),"Stream B")</f>
        <v>Stream B</v>
      </c>
      <c r="G50" s="54" t="str">
        <f>IFERROR(__xludf.DUMMYFUNCTION("""COMPUTED_VALUE"""),"Bo2")</f>
        <v>Bo2</v>
      </c>
      <c r="H50" s="56">
        <f>IFERROR(__xludf.DUMMYFUNCTION("""COMPUTED_VALUE"""),0.5625)</f>
        <v>0.5625</v>
      </c>
      <c r="I50" s="57"/>
      <c r="J50" s="57"/>
      <c r="K50" s="57"/>
      <c r="L50" s="57"/>
      <c r="M50" s="57"/>
      <c r="N50" s="65" t="str">
        <f>IFERROR(__xludf.DUMMYFUNCTION("""COMPUTED_VALUE"""),"Groupstage - Group B - Round Robin R4 #2")</f>
        <v>Groupstage - Group B - Round Robin R4 #2</v>
      </c>
      <c r="O50" s="63" t="str">
        <f>IFERROR(__xludf.DUMMYFUNCTION("""COMPUTED_VALUE"""),"L1 TEAM vs. Team Liquid")</f>
        <v>L1 TEAM vs. Team Liquid</v>
      </c>
      <c r="P50" s="54"/>
    </row>
    <row r="51">
      <c r="A51" s="12"/>
      <c r="C51" s="48">
        <f>IFERROR(__xludf.DUMMYFUNCTION("""COMPUTED_VALUE"""),46213.0)</f>
        <v>46213</v>
      </c>
      <c r="E51" s="51" t="str">
        <f>IFERROR(__xludf.DUMMYFUNCTION("""COMPUTED_VALUE"""),"SS2")</f>
        <v>SS2</v>
      </c>
      <c r="F51" s="54" t="str">
        <f>IFERROR(__xludf.DUMMYFUNCTION("""COMPUTED_VALUE"""),"Stream C")</f>
        <v>Stream C</v>
      </c>
      <c r="G51" s="54" t="str">
        <f>IFERROR(__xludf.DUMMYFUNCTION("""COMPUTED_VALUE"""),"Bo2")</f>
        <v>Bo2</v>
      </c>
      <c r="H51" s="56">
        <f>IFERROR(__xludf.DUMMYFUNCTION("""COMPUTED_VALUE"""),0.6041666666666666)</f>
        <v>0.6041666667</v>
      </c>
      <c r="I51" s="57"/>
      <c r="J51" s="57"/>
      <c r="K51" s="57"/>
      <c r="L51" s="57"/>
      <c r="M51" s="57"/>
      <c r="N51" s="65" t="str">
        <f>IFERROR(__xludf.DUMMYFUNCTION("""COMPUTED_VALUE"""),"Groupstage - Group B - Round Robin R4 #3")</f>
        <v>Groupstage - Group B - Round Robin R4 #3</v>
      </c>
      <c r="O51" s="63" t="str">
        <f>IFERROR(__xludf.DUMMYFUNCTION("""COMPUTED_VALUE"""),"Level UP vs. Nigma Galaxy")</f>
        <v>Level UP vs. Nigma Galaxy</v>
      </c>
      <c r="P51" s="54"/>
    </row>
    <row r="52">
      <c r="A52" s="12"/>
      <c r="C52" s="48">
        <f>IFERROR(__xludf.DUMMYFUNCTION("""COMPUTED_VALUE"""),46213.0)</f>
        <v>46213</v>
      </c>
      <c r="E52" s="51" t="str">
        <f>IFERROR(__xludf.DUMMYFUNCTION("""COMPUTED_VALUE"""),"MS3")</f>
        <v>MS3</v>
      </c>
      <c r="F52" s="54" t="str">
        <f>IFERROR(__xludf.DUMMYFUNCTION("""COMPUTED_VALUE"""),"Stream A")</f>
        <v>Stream A</v>
      </c>
      <c r="G52" s="54" t="str">
        <f>IFERROR(__xludf.DUMMYFUNCTION("""COMPUTED_VALUE"""),"Bo2")</f>
        <v>Bo2</v>
      </c>
      <c r="H52" s="56">
        <f>IFERROR(__xludf.DUMMYFUNCTION("""COMPUTED_VALUE"""),0.6979166666666666)</f>
        <v>0.6979166667</v>
      </c>
      <c r="I52" s="57"/>
      <c r="J52" s="57"/>
      <c r="K52" s="57"/>
      <c r="L52" s="57"/>
      <c r="M52" s="57"/>
      <c r="N52" s="65" t="str">
        <f>IFERROR(__xludf.DUMMYFUNCTION("""COMPUTED_VALUE"""),"Groupstage - Group C - Round Robin R4 #1")</f>
        <v>Groupstage - Group C - Round Robin R4 #1</v>
      </c>
      <c r="O52" s="63" t="str">
        <f>IFERROR(__xludf.DUMMYFUNCTION("""COMPUTED_VALUE"""),"PVISION vs. MOUZ")</f>
        <v>PVISION vs. MOUZ</v>
      </c>
      <c r="P52" s="54"/>
    </row>
    <row r="53">
      <c r="A53" s="12"/>
      <c r="C53" s="48">
        <f>IFERROR(__xludf.DUMMYFUNCTION("""COMPUTED_VALUE"""),46213.0)</f>
        <v>46213</v>
      </c>
      <c r="E53" s="51" t="str">
        <f>IFERROR(__xludf.DUMMYFUNCTION("""COMPUTED_VALUE"""),"SS3")</f>
        <v>SS3</v>
      </c>
      <c r="F53" s="54" t="str">
        <f>IFERROR(__xludf.DUMMYFUNCTION("""COMPUTED_VALUE"""),"Stream B")</f>
        <v>Stream B</v>
      </c>
      <c r="G53" s="54" t="str">
        <f>IFERROR(__xludf.DUMMYFUNCTION("""COMPUTED_VALUE"""),"Bo2")</f>
        <v>Bo2</v>
      </c>
      <c r="H53" s="56">
        <f>IFERROR(__xludf.DUMMYFUNCTION("""COMPUTED_VALUE"""),0.673611111111111)</f>
        <v>0.6736111111</v>
      </c>
      <c r="I53" s="57"/>
      <c r="J53" s="57"/>
      <c r="K53" s="57"/>
      <c r="L53" s="57"/>
      <c r="M53" s="57"/>
      <c r="N53" s="65" t="str">
        <f>IFERROR(__xludf.DUMMYFUNCTION("""COMPUTED_VALUE"""),"Groupstage - Group C - Round Robin R4 #2")</f>
        <v>Groupstage - Group C - Round Robin R4 #2</v>
      </c>
      <c r="O53" s="63" t="str">
        <f>IFERROR(__xludf.DUMMYFUNCTION("""COMPUTED_VALUE"""),"Team Nemesis vs. Vici Gaming")</f>
        <v>Team Nemesis vs. Vici Gaming</v>
      </c>
      <c r="P53" s="54"/>
    </row>
    <row r="54">
      <c r="A54" s="12"/>
      <c r="C54" s="48">
        <f>IFERROR(__xludf.DUMMYFUNCTION("""COMPUTED_VALUE"""),46213.0)</f>
        <v>46213</v>
      </c>
      <c r="E54" s="51" t="str">
        <f>IFERROR(__xludf.DUMMYFUNCTION("""COMPUTED_VALUE"""),"SS2")</f>
        <v>SS2</v>
      </c>
      <c r="F54" s="54" t="str">
        <f>IFERROR(__xludf.DUMMYFUNCTION("""COMPUTED_VALUE"""),"Stream C")</f>
        <v>Stream C</v>
      </c>
      <c r="G54" s="54" t="str">
        <f>IFERROR(__xludf.DUMMYFUNCTION("""COMPUTED_VALUE"""),"Bo2")</f>
        <v>Bo2</v>
      </c>
      <c r="H54" s="56">
        <f>IFERROR(__xludf.DUMMYFUNCTION("""COMPUTED_VALUE"""),0.7083333333333333)</f>
        <v>0.7083333333</v>
      </c>
      <c r="I54" s="57"/>
      <c r="J54" s="57"/>
      <c r="K54" s="57"/>
      <c r="L54" s="57"/>
      <c r="M54" s="57"/>
      <c r="N54" s="65" t="str">
        <f>IFERROR(__xludf.DUMMYFUNCTION("""COMPUTED_VALUE"""),"Groupstage - Group C - Round Robin R4 #3")</f>
        <v>Groupstage - Group C - Round Robin R4 #3</v>
      </c>
      <c r="O54" s="63" t="str">
        <f>IFERROR(__xludf.DUMMYFUNCTION("""COMPUTED_VALUE"""),"REKONIX vs. Team Spirit")</f>
        <v>REKONIX vs. Team Spirit</v>
      </c>
      <c r="P54" s="54"/>
    </row>
    <row r="55">
      <c r="A55" s="12"/>
      <c r="C55" s="48">
        <f>IFERROR(__xludf.DUMMYFUNCTION("""COMPUTED_VALUE"""),46213.0)</f>
        <v>46213</v>
      </c>
      <c r="E55" s="51" t="str">
        <f>IFERROR(__xludf.DUMMYFUNCTION("""COMPUTED_VALUE"""),"MS3")</f>
        <v>MS3</v>
      </c>
      <c r="F55" s="54" t="str">
        <f>IFERROR(__xludf.DUMMYFUNCTION("""COMPUTED_VALUE"""),"Stream A")</f>
        <v>Stream A</v>
      </c>
      <c r="G55" s="54" t="str">
        <f>IFERROR(__xludf.DUMMYFUNCTION("""COMPUTED_VALUE"""),"Bo2")</f>
        <v>Bo2</v>
      </c>
      <c r="H55" s="56">
        <f>IFERROR(__xludf.DUMMYFUNCTION("""COMPUTED_VALUE"""),0.8090277777777777)</f>
        <v>0.8090277778</v>
      </c>
      <c r="I55" s="57"/>
      <c r="J55" s="57"/>
      <c r="K55" s="57"/>
      <c r="L55" s="57"/>
      <c r="M55" s="57"/>
      <c r="N55" s="65" t="str">
        <f>IFERROR(__xludf.DUMMYFUNCTION("""COMPUTED_VALUE"""),"Groupstage - Group D - Round Robin R4 #1")</f>
        <v>Groupstage - Group D - Round Robin R4 #1</v>
      </c>
      <c r="O55" s="63" t="str">
        <f>IFERROR(__xludf.DUMMYFUNCTION("""COMPUTED_VALUE"""),"LGD Gaming vs. Team Yandex")</f>
        <v>LGD Gaming vs. Team Yandex</v>
      </c>
      <c r="P55" s="54"/>
    </row>
    <row r="56">
      <c r="A56" s="12"/>
      <c r="C56" s="48">
        <f>IFERROR(__xludf.DUMMYFUNCTION("""COMPUTED_VALUE"""),46213.0)</f>
        <v>46213</v>
      </c>
      <c r="E56" s="51" t="str">
        <f>IFERROR(__xludf.DUMMYFUNCTION("""COMPUTED_VALUE"""),"SS3")</f>
        <v>SS3</v>
      </c>
      <c r="F56" s="54" t="str">
        <f>IFERROR(__xludf.DUMMYFUNCTION("""COMPUTED_VALUE"""),"Stream B")</f>
        <v>Stream B</v>
      </c>
      <c r="G56" s="54" t="str">
        <f>IFERROR(__xludf.DUMMYFUNCTION("""COMPUTED_VALUE"""),"Bo2")</f>
        <v>Bo2</v>
      </c>
      <c r="H56" s="56">
        <f>IFERROR(__xludf.DUMMYFUNCTION("""COMPUTED_VALUE"""),0.798611111111111)</f>
        <v>0.7986111111</v>
      </c>
      <c r="I56" s="57"/>
      <c r="J56" s="57"/>
      <c r="K56" s="57"/>
      <c r="L56" s="57"/>
      <c r="M56" s="57"/>
      <c r="N56" s="65" t="str">
        <f>IFERROR(__xludf.DUMMYFUNCTION("""COMPUTED_VALUE"""),"Groupstage - Group D - Round Robin R4 #2")</f>
        <v>Groupstage - Group D - Round Robin R4 #2</v>
      </c>
      <c r="O56" s="63" t="str">
        <f>IFERROR(__xludf.DUMMYFUNCTION("""COMPUTED_VALUE"""),"1W vs. OG Esports")</f>
        <v>1W vs. OG Esports</v>
      </c>
      <c r="P56" s="54"/>
    </row>
    <row r="57">
      <c r="A57" s="12"/>
      <c r="C57" s="48">
        <f>IFERROR(__xludf.DUMMYFUNCTION("""COMPUTED_VALUE"""),46213.0)</f>
        <v>46213</v>
      </c>
      <c r="E57" s="51" t="str">
        <f>IFERROR(__xludf.DUMMYFUNCTION("""COMPUTED_VALUE"""),"SS2")</f>
        <v>SS2</v>
      </c>
      <c r="F57" s="54" t="str">
        <f>IFERROR(__xludf.DUMMYFUNCTION("""COMPUTED_VALUE"""),"Stream C")</f>
        <v>Stream C</v>
      </c>
      <c r="G57" s="54" t="str">
        <f>IFERROR(__xludf.DUMMYFUNCTION("""COMPUTED_VALUE"""),"Bo2")</f>
        <v>Bo2</v>
      </c>
      <c r="H57" s="56">
        <f>IFERROR(__xludf.DUMMYFUNCTION("""COMPUTED_VALUE"""),0.8194444444444444)</f>
        <v>0.8194444444</v>
      </c>
      <c r="I57" s="85"/>
      <c r="J57" s="85"/>
      <c r="K57" s="85"/>
      <c r="L57" s="85"/>
      <c r="M57" s="85"/>
      <c r="N57" s="65" t="str">
        <f>IFERROR(__xludf.DUMMYFUNCTION("""COMPUTED_VALUE"""),"Groupstage - Group D - Round Robin R4 #3")</f>
        <v>Groupstage - Group D - Round Robin R4 #3</v>
      </c>
      <c r="O57" s="54" t="str">
        <f>IFERROR(__xludf.DUMMYFUNCTION("""COMPUTED_VALUE"""),"IC  x Insanity vs. Virtus.pro")</f>
        <v>IC  x Insanity vs. Virtus.pro</v>
      </c>
      <c r="P57" s="54"/>
    </row>
    <row r="58">
      <c r="A58" s="124"/>
      <c r="B58" s="125"/>
      <c r="C58" s="117">
        <f>IFERROR(__xludf.DUMMYFUNCTION("""COMPUTED_VALUE"""),46213.0)</f>
        <v>46213</v>
      </c>
      <c r="D58" s="125"/>
      <c r="E58" s="51"/>
      <c r="F58" s="86"/>
      <c r="G58" s="86"/>
      <c r="H58" s="126">
        <f>IFERROR(__xludf.DUMMYFUNCTION("""COMPUTED_VALUE"""),0.892361111111111)</f>
        <v>0.8923611111</v>
      </c>
      <c r="I58" s="127"/>
      <c r="J58" s="127"/>
      <c r="K58" s="127"/>
      <c r="L58" s="127"/>
      <c r="M58" s="127"/>
      <c r="N58" s="86"/>
      <c r="O58" s="86"/>
      <c r="P58" s="86"/>
    </row>
    <row r="59">
      <c r="A59" s="12"/>
      <c r="B59" s="40">
        <f>IFERROR(__xludf.DUMMYFUNCTION("""COMPUTED_VALUE"""),5.0)</f>
        <v>5</v>
      </c>
      <c r="C59" s="48">
        <f>IFERROR(__xludf.DUMMYFUNCTION("""COMPUTED_VALUE"""),46214.0)</f>
        <v>46214</v>
      </c>
      <c r="D59" s="50">
        <f>IFERROR(__xludf.DUMMYFUNCTION("""COMPUTED_VALUE"""),46214.0)</f>
        <v>46214</v>
      </c>
      <c r="E59" s="51" t="str">
        <f>IFERROR(__xludf.DUMMYFUNCTION("""COMPUTED_VALUE"""),"MS3")</f>
        <v>MS3</v>
      </c>
      <c r="F59" s="54" t="str">
        <f>IFERROR(__xludf.DUMMYFUNCTION("""COMPUTED_VALUE"""),"Stream A")</f>
        <v>Stream A</v>
      </c>
      <c r="G59" s="54" t="str">
        <f>IFERROR(__xludf.DUMMYFUNCTION("""COMPUTED_VALUE"""),"Bo2")</f>
        <v>Bo2</v>
      </c>
      <c r="H59" s="56">
        <f>IFERROR(__xludf.DUMMYFUNCTION("""COMPUTED_VALUE"""),0.46527777777777773)</f>
        <v>0.4652777778</v>
      </c>
      <c r="I59" s="57"/>
      <c r="J59" s="57"/>
      <c r="K59" s="57"/>
      <c r="L59" s="57"/>
      <c r="M59" s="57"/>
      <c r="N59" s="65" t="str">
        <f>IFERROR(__xludf.DUMMYFUNCTION("""COMPUTED_VALUE"""),"Groupstage - Group A - Round Robin R5 #1")</f>
        <v>Groupstage - Group A - Round Robin R5 #1</v>
      </c>
      <c r="O59" s="63" t="str">
        <f>IFERROR(__xludf.DUMMYFUNCTION("""COMPUTED_VALUE"""),"Xtreme Gaming vs. Team Falcons")</f>
        <v>Xtreme Gaming vs. Team Falcons</v>
      </c>
      <c r="P59" s="54"/>
    </row>
    <row r="60">
      <c r="A60" s="12"/>
      <c r="C60" s="48">
        <f>IFERROR(__xludf.DUMMYFUNCTION("""COMPUTED_VALUE"""),46214.0)</f>
        <v>46214</v>
      </c>
      <c r="E60" s="51" t="str">
        <f>IFERROR(__xludf.DUMMYFUNCTION("""COMPUTED_VALUE"""),"SS3")</f>
        <v>SS3</v>
      </c>
      <c r="F60" s="54" t="str">
        <f>IFERROR(__xludf.DUMMYFUNCTION("""COMPUTED_VALUE"""),"Stream B")</f>
        <v>Stream B</v>
      </c>
      <c r="G60" s="54" t="str">
        <f>IFERROR(__xludf.DUMMYFUNCTION("""COMPUTED_VALUE"""),"Bo2")</f>
        <v>Bo2</v>
      </c>
      <c r="H60" s="56">
        <f>IFERROR(__xludf.DUMMYFUNCTION("""COMPUTED_VALUE"""),0.4583333333333333)</f>
        <v>0.4583333333</v>
      </c>
      <c r="I60" s="57"/>
      <c r="J60" s="57"/>
      <c r="K60" s="57"/>
      <c r="L60" s="57"/>
      <c r="M60" s="57"/>
      <c r="N60" s="65" t="str">
        <f>IFERROR(__xludf.DUMMYFUNCTION("""COMPUTED_VALUE"""),"Groupstage - Group A - Round Robin R5 #2")</f>
        <v>Groupstage - Group A - Round Robin R5 #2</v>
      </c>
      <c r="O60" s="63" t="str">
        <f>IFERROR(__xludf.DUMMYFUNCTION("""COMPUTED_VALUE"""),"BB Team vs. GamerLegion")</f>
        <v>BB Team vs. GamerLegion</v>
      </c>
      <c r="P60" s="54"/>
    </row>
    <row r="61">
      <c r="A61" s="12"/>
      <c r="C61" s="48">
        <f>IFERROR(__xludf.DUMMYFUNCTION("""COMPUTED_VALUE"""),46214.0)</f>
        <v>46214</v>
      </c>
      <c r="E61" s="51" t="str">
        <f>IFERROR(__xludf.DUMMYFUNCTION("""COMPUTED_VALUE"""),"SS2")</f>
        <v>SS2</v>
      </c>
      <c r="F61" s="54" t="str">
        <f>IFERROR(__xludf.DUMMYFUNCTION("""COMPUTED_VALUE"""),"Stream C")</f>
        <v>Stream C</v>
      </c>
      <c r="G61" s="54" t="str">
        <f>IFERROR(__xludf.DUMMYFUNCTION("""COMPUTED_VALUE"""),"Bo2")</f>
        <v>Bo2</v>
      </c>
      <c r="H61" s="56">
        <f>IFERROR(__xludf.DUMMYFUNCTION("""COMPUTED_VALUE"""),0.4583333333333333)</f>
        <v>0.4583333333</v>
      </c>
      <c r="I61" s="57"/>
      <c r="J61" s="57"/>
      <c r="K61" s="57"/>
      <c r="L61" s="57"/>
      <c r="M61" s="57"/>
      <c r="N61" s="65" t="str">
        <f>IFERROR(__xludf.DUMMYFUNCTION("""COMPUTED_VALUE"""),"Groupstage - Group A - Round Robin R5 #3")</f>
        <v>Groupstage - Group A - Round Robin R5 #3</v>
      </c>
      <c r="O61" s="63" t="str">
        <f>IFERROR(__xludf.DUMMYFUNCTION("""COMPUTED_VALUE"""),"Poor Rangers vs. Rune Eaters")</f>
        <v>Poor Rangers vs. Rune Eaters</v>
      </c>
      <c r="P61" s="54"/>
    </row>
    <row r="62">
      <c r="A62" s="12"/>
      <c r="C62" s="48">
        <f>IFERROR(__xludf.DUMMYFUNCTION("""COMPUTED_VALUE"""),46214.0)</f>
        <v>46214</v>
      </c>
      <c r="E62" s="51" t="str">
        <f>IFERROR(__xludf.DUMMYFUNCTION("""COMPUTED_VALUE"""),"MS3")</f>
        <v>MS3</v>
      </c>
      <c r="F62" s="54" t="str">
        <f>IFERROR(__xludf.DUMMYFUNCTION("""COMPUTED_VALUE"""),"Stream A")</f>
        <v>Stream A</v>
      </c>
      <c r="G62" s="54" t="str">
        <f>IFERROR(__xludf.DUMMYFUNCTION("""COMPUTED_VALUE"""),"Bo2")</f>
        <v>Bo2</v>
      </c>
      <c r="H62" s="56">
        <f>IFERROR(__xludf.DUMMYFUNCTION("""COMPUTED_VALUE"""),0.6006944444444444)</f>
        <v>0.6006944444</v>
      </c>
      <c r="I62" s="57"/>
      <c r="J62" s="57"/>
      <c r="K62" s="57"/>
      <c r="L62" s="57"/>
      <c r="M62" s="57"/>
      <c r="N62" s="65" t="str">
        <f>IFERROR(__xludf.DUMMYFUNCTION("""COMPUTED_VALUE"""),"Groupstage - Group B - Round Robin R5 #1")</f>
        <v>Groupstage - Group B - Round Robin R5 #1</v>
      </c>
      <c r="O62" s="63" t="str">
        <f>IFERROR(__xludf.DUMMYFUNCTION("""COMPUTED_VALUE"""),"Aurora Gaming vs. Team Liquid")</f>
        <v>Aurora Gaming vs. Team Liquid</v>
      </c>
      <c r="P62" s="54"/>
    </row>
    <row r="63">
      <c r="A63" s="12"/>
      <c r="C63" s="48">
        <f>IFERROR(__xludf.DUMMYFUNCTION("""COMPUTED_VALUE"""),46214.0)</f>
        <v>46214</v>
      </c>
      <c r="E63" s="51" t="str">
        <f>IFERROR(__xludf.DUMMYFUNCTION("""COMPUTED_VALUE"""),"SS3")</f>
        <v>SS3</v>
      </c>
      <c r="F63" s="54" t="str">
        <f>IFERROR(__xludf.DUMMYFUNCTION("""COMPUTED_VALUE"""),"Stream B")</f>
        <v>Stream B</v>
      </c>
      <c r="G63" s="54" t="str">
        <f>IFERROR(__xludf.DUMMYFUNCTION("""COMPUTED_VALUE"""),"Bo2")</f>
        <v>Bo2</v>
      </c>
      <c r="H63" s="56">
        <f>IFERROR(__xludf.DUMMYFUNCTION("""COMPUTED_VALUE"""),0.5902777777777778)</f>
        <v>0.5902777778</v>
      </c>
      <c r="I63" s="57"/>
      <c r="J63" s="57"/>
      <c r="K63" s="57"/>
      <c r="L63" s="57"/>
      <c r="M63" s="57"/>
      <c r="N63" s="65" t="str">
        <f>IFERROR(__xludf.DUMMYFUNCTION("""COMPUTED_VALUE"""),"Groupstage - Group B - Round Robin R5 #2")</f>
        <v>Groupstage - Group B - Round Robin R5 #2</v>
      </c>
      <c r="O63" s="63" t="str">
        <f>IFERROR(__xludf.DUMMYFUNCTION("""COMPUTED_VALUE"""),"PTime vs. Nigma Galaxy")</f>
        <v>PTime vs. Nigma Galaxy</v>
      </c>
      <c r="P63" s="54"/>
    </row>
    <row r="64">
      <c r="A64" s="12"/>
      <c r="C64" s="48">
        <f>IFERROR(__xludf.DUMMYFUNCTION("""COMPUTED_VALUE"""),46214.0)</f>
        <v>46214</v>
      </c>
      <c r="E64" s="51" t="str">
        <f>IFERROR(__xludf.DUMMYFUNCTION("""COMPUTED_VALUE"""),"SS2")</f>
        <v>SS2</v>
      </c>
      <c r="F64" s="54" t="str">
        <f>IFERROR(__xludf.DUMMYFUNCTION("""COMPUTED_VALUE"""),"Stream C")</f>
        <v>Stream C</v>
      </c>
      <c r="G64" s="54" t="str">
        <f>IFERROR(__xludf.DUMMYFUNCTION("""COMPUTED_VALUE"""),"Bo2")</f>
        <v>Bo2</v>
      </c>
      <c r="H64" s="56">
        <f>IFERROR(__xludf.DUMMYFUNCTION("""COMPUTED_VALUE"""),0.579861111111111)</f>
        <v>0.5798611111</v>
      </c>
      <c r="I64" s="57"/>
      <c r="J64" s="57"/>
      <c r="K64" s="57"/>
      <c r="L64" s="57"/>
      <c r="M64" s="57"/>
      <c r="N64" s="65" t="str">
        <f>IFERROR(__xludf.DUMMYFUNCTION("""COMPUTED_VALUE"""),"Groupstage - Group B - Round Robin R5 #3")</f>
        <v>Groupstage - Group B - Round Robin R5 #3</v>
      </c>
      <c r="O64" s="63" t="str">
        <f>IFERROR(__xludf.DUMMYFUNCTION("""COMPUTED_VALUE"""),"L1 TEAM vs. Level UP")</f>
        <v>L1 TEAM vs. Level UP</v>
      </c>
      <c r="P64" s="54"/>
    </row>
    <row r="65">
      <c r="A65" s="12"/>
      <c r="C65" s="48">
        <f>IFERROR(__xludf.DUMMYFUNCTION("""COMPUTED_VALUE"""),46214.0)</f>
        <v>46214</v>
      </c>
      <c r="E65" s="51" t="str">
        <f>IFERROR(__xludf.DUMMYFUNCTION("""COMPUTED_VALUE"""),"MS3")</f>
        <v>MS3</v>
      </c>
      <c r="F65" s="54" t="str">
        <f>IFERROR(__xludf.DUMMYFUNCTION("""COMPUTED_VALUE"""),"Stream A")</f>
        <v>Stream A</v>
      </c>
      <c r="G65" s="140" t="str">
        <f>IFERROR(__xludf.DUMMYFUNCTION("""COMPUTED_VALUE"""),"Bo1/Bo3")</f>
        <v>Bo1/Bo3</v>
      </c>
      <c r="H65" s="56">
        <f>IFERROR(__xludf.DUMMYFUNCTION("""COMPUTED_VALUE"""),0.704861111111111)</f>
        <v>0.7048611111</v>
      </c>
      <c r="I65" s="57"/>
      <c r="J65" s="57"/>
      <c r="K65" s="57"/>
      <c r="L65" s="57"/>
      <c r="M65" s="57"/>
      <c r="N65" s="65" t="str">
        <f>IFERROR(__xludf.DUMMYFUNCTION("""COMPUTED_VALUE"""),"Groupstage - Tiebreaker spot")</f>
        <v>Groupstage - Tiebreaker spot</v>
      </c>
      <c r="O65" s="63" t="str">
        <f>IFERROR(__xludf.DUMMYFUNCTION("""COMPUTED_VALUE"""),"Not")</f>
        <v>Not</v>
      </c>
      <c r="P65" s="54"/>
    </row>
    <row r="66">
      <c r="A66" s="12"/>
      <c r="C66" s="48">
        <f>IFERROR(__xludf.DUMMYFUNCTION("""COMPUTED_VALUE"""),46214.0)</f>
        <v>46214</v>
      </c>
      <c r="E66" s="51" t="str">
        <f>IFERROR(__xludf.DUMMYFUNCTION("""COMPUTED_VALUE"""),"SS3")</f>
        <v>SS3</v>
      </c>
      <c r="F66" s="54" t="str">
        <f>IFERROR(__xludf.DUMMYFUNCTION("""COMPUTED_VALUE"""),"Stream B")</f>
        <v>Stream B</v>
      </c>
      <c r="G66" s="140" t="str">
        <f>IFERROR(__xludf.DUMMYFUNCTION("""COMPUTED_VALUE"""),"Bo1/Bo3")</f>
        <v>Bo1/Bo3</v>
      </c>
      <c r="H66" s="56">
        <f>IFERROR(__xludf.DUMMYFUNCTION("""COMPUTED_VALUE"""),0.704861111111111)</f>
        <v>0.7048611111</v>
      </c>
      <c r="I66" s="57"/>
      <c r="J66" s="57"/>
      <c r="K66" s="57"/>
      <c r="L66" s="57"/>
      <c r="M66" s="57"/>
      <c r="N66" s="65" t="str">
        <f>IFERROR(__xludf.DUMMYFUNCTION("""COMPUTED_VALUE"""),"Groupstage - Tiebreaker spot")</f>
        <v>Groupstage - Tiebreaker spot</v>
      </c>
      <c r="O66" s="63" t="str">
        <f>IFERROR(__xludf.DUMMYFUNCTION("""COMPUTED_VALUE"""),"Required")</f>
        <v>Required</v>
      </c>
      <c r="P66" s="54"/>
    </row>
    <row r="67">
      <c r="A67" s="12"/>
      <c r="C67" s="48">
        <f>IFERROR(__xludf.DUMMYFUNCTION("""COMPUTED_VALUE"""),46214.0)</f>
        <v>46214</v>
      </c>
      <c r="E67" s="51" t="str">
        <f>IFERROR(__xludf.DUMMYFUNCTION("""COMPUTED_VALUE"""),"SS2")</f>
        <v>SS2</v>
      </c>
      <c r="F67" s="54" t="str">
        <f>IFERROR(__xludf.DUMMYFUNCTION("""COMPUTED_VALUE"""),"Stream C")</f>
        <v>Stream C</v>
      </c>
      <c r="G67" s="140" t="str">
        <f>IFERROR(__xludf.DUMMYFUNCTION("""COMPUTED_VALUE"""),"Bo1/Bo3")</f>
        <v>Bo1/Bo3</v>
      </c>
      <c r="H67" s="56">
        <f>IFERROR(__xludf.DUMMYFUNCTION("""COMPUTED_VALUE"""),0.704861111111111)</f>
        <v>0.7048611111</v>
      </c>
      <c r="I67" s="57"/>
      <c r="J67" s="57"/>
      <c r="K67" s="57"/>
      <c r="L67" s="57"/>
      <c r="M67" s="57"/>
      <c r="N67" s="65" t="str">
        <f>IFERROR(__xludf.DUMMYFUNCTION("""COMPUTED_VALUE"""),"Groupstage - Tiebreaker spot")</f>
        <v>Groupstage - Tiebreaker spot</v>
      </c>
      <c r="O67" s="63" t="str">
        <f>IFERROR(__xludf.DUMMYFUNCTION("""COMPUTED_VALUE"""),"Not")</f>
        <v>Not</v>
      </c>
      <c r="P67" s="54"/>
    </row>
    <row r="68">
      <c r="A68" s="12"/>
      <c r="C68" s="48">
        <f>IFERROR(__xludf.DUMMYFUNCTION("""COMPUTED_VALUE"""),46214.0)</f>
        <v>46214</v>
      </c>
      <c r="E68" s="51" t="str">
        <f>IFERROR(__xludf.DUMMYFUNCTION("""COMPUTED_VALUE"""),"MS3")</f>
        <v>MS3</v>
      </c>
      <c r="F68" s="54" t="str">
        <f>IFERROR(__xludf.DUMMYFUNCTION("""COMPUTED_VALUE"""),"Stream A")</f>
        <v>Stream A</v>
      </c>
      <c r="G68" s="140" t="str">
        <f>IFERROR(__xludf.DUMMYFUNCTION("""COMPUTED_VALUE"""),"Bo1/Bo3")</f>
        <v>Bo1/Bo3</v>
      </c>
      <c r="H68" s="56">
        <f>IFERROR(__xludf.DUMMYFUNCTION("""COMPUTED_VALUE"""),0.829861111111111)</f>
        <v>0.8298611111</v>
      </c>
      <c r="I68" s="57"/>
      <c r="J68" s="57"/>
      <c r="K68" s="57"/>
      <c r="L68" s="57"/>
      <c r="M68" s="57"/>
      <c r="N68" s="65" t="str">
        <f>IFERROR(__xludf.DUMMYFUNCTION("""COMPUTED_VALUE"""),"Groupstage - Tiebreaker spot")</f>
        <v>Groupstage - Tiebreaker spot</v>
      </c>
      <c r="O68" s="63" t="str">
        <f>IFERROR(__xludf.DUMMYFUNCTION("""COMPUTED_VALUE"""),"Required")</f>
        <v>Required</v>
      </c>
      <c r="P68" s="54"/>
    </row>
    <row r="69">
      <c r="A69" s="12"/>
      <c r="C69" s="48">
        <f>IFERROR(__xludf.DUMMYFUNCTION("""COMPUTED_VALUE"""),46214.0)</f>
        <v>46214</v>
      </c>
      <c r="E69" s="51" t="str">
        <f>IFERROR(__xludf.DUMMYFUNCTION("""COMPUTED_VALUE"""),"SS3")</f>
        <v>SS3</v>
      </c>
      <c r="F69" s="54" t="str">
        <f>IFERROR(__xludf.DUMMYFUNCTION("""COMPUTED_VALUE"""),"Stream B")</f>
        <v>Stream B</v>
      </c>
      <c r="G69" s="140" t="str">
        <f>IFERROR(__xludf.DUMMYFUNCTION("""COMPUTED_VALUE"""),"Bo1/Bo3")</f>
        <v>Bo1/Bo3</v>
      </c>
      <c r="H69" s="56">
        <f>IFERROR(__xludf.DUMMYFUNCTION("""COMPUTED_VALUE"""),0.829861111111111)</f>
        <v>0.8298611111</v>
      </c>
      <c r="I69" s="57"/>
      <c r="J69" s="57"/>
      <c r="K69" s="57"/>
      <c r="L69" s="57"/>
      <c r="M69" s="57"/>
      <c r="N69" s="65" t="str">
        <f>IFERROR(__xludf.DUMMYFUNCTION("""COMPUTED_VALUE"""),"Groupstage - Tiebreaker spot")</f>
        <v>Groupstage - Tiebreaker spot</v>
      </c>
      <c r="O69" s="63" t="str">
        <f>IFERROR(__xludf.DUMMYFUNCTION("""COMPUTED_VALUE"""),"Not")</f>
        <v>Not</v>
      </c>
      <c r="P69" s="54"/>
    </row>
    <row r="70">
      <c r="A70" s="12"/>
      <c r="C70" s="48">
        <f>IFERROR(__xludf.DUMMYFUNCTION("""COMPUTED_VALUE"""),46214.0)</f>
        <v>46214</v>
      </c>
      <c r="E70" s="51" t="str">
        <f>IFERROR(__xludf.DUMMYFUNCTION("""COMPUTED_VALUE"""),"SS2")</f>
        <v>SS2</v>
      </c>
      <c r="F70" s="54" t="str">
        <f>IFERROR(__xludf.DUMMYFUNCTION("""COMPUTED_VALUE"""),"Stream C")</f>
        <v>Stream C</v>
      </c>
      <c r="G70" s="140" t="str">
        <f>IFERROR(__xludf.DUMMYFUNCTION("""COMPUTED_VALUE"""),"Bo1/Bo3")</f>
        <v>Bo1/Bo3</v>
      </c>
      <c r="H70" s="56">
        <f>IFERROR(__xludf.DUMMYFUNCTION("""COMPUTED_VALUE"""),0.829861111111111)</f>
        <v>0.8298611111</v>
      </c>
      <c r="I70" s="141"/>
      <c r="J70" s="141"/>
      <c r="K70" s="141"/>
      <c r="L70" s="141"/>
      <c r="M70" s="141"/>
      <c r="N70" s="65" t="str">
        <f>IFERROR(__xludf.DUMMYFUNCTION("""COMPUTED_VALUE"""),"Groupstage - Tiebreaker spot")</f>
        <v>Groupstage - Tiebreaker spot</v>
      </c>
      <c r="O70" s="54" t="str">
        <f>IFERROR(__xludf.DUMMYFUNCTION("""COMPUTED_VALUE"""),"Required")</f>
        <v>Required</v>
      </c>
      <c r="P70" s="54"/>
    </row>
    <row r="71">
      <c r="A71" s="12"/>
      <c r="C71" s="48">
        <f>IFERROR(__xludf.DUMMYFUNCTION("""COMPUTED_VALUE"""),46214.0)</f>
        <v>46214</v>
      </c>
      <c r="E71" s="51"/>
      <c r="F71" s="54"/>
      <c r="G71" s="54"/>
      <c r="H71" s="56">
        <f>IFERROR(__xludf.DUMMYFUNCTION("""COMPUTED_VALUE"""),0.954861111111111)</f>
        <v>0.9548611111</v>
      </c>
      <c r="I71" s="85"/>
      <c r="J71" s="85"/>
      <c r="K71" s="85"/>
      <c r="L71" s="85"/>
      <c r="M71" s="85"/>
      <c r="N71" s="54"/>
      <c r="O71" s="54"/>
      <c r="P71" s="54"/>
    </row>
    <row r="72">
      <c r="A72" s="89"/>
      <c r="B72" s="90">
        <f>IFERROR(__xludf.DUMMYFUNCTION("""COMPUTED_VALUE"""),6.0)</f>
        <v>6</v>
      </c>
      <c r="C72" s="83">
        <f>IFERROR(__xludf.DUMMYFUNCTION("""COMPUTED_VALUE"""),46215.0)</f>
        <v>46215</v>
      </c>
      <c r="D72" s="91">
        <f>IFERROR(__xludf.DUMMYFUNCTION("""COMPUTED_VALUE"""),46215.0)</f>
        <v>46215</v>
      </c>
      <c r="E72" s="51" t="str">
        <f>IFERROR(__xludf.DUMMYFUNCTION("""COMPUTED_VALUE"""),"MS3")</f>
        <v>MS3</v>
      </c>
      <c r="F72" s="92" t="str">
        <f>IFERROR(__xludf.DUMMYFUNCTION("""COMPUTED_VALUE"""),"Stream A")</f>
        <v>Stream A</v>
      </c>
      <c r="G72" s="92" t="str">
        <f>IFERROR(__xludf.DUMMYFUNCTION("""COMPUTED_VALUE"""),"Bo2")</f>
        <v>Bo2</v>
      </c>
      <c r="H72" s="93">
        <f>IFERROR(__xludf.DUMMYFUNCTION("""COMPUTED_VALUE"""),0.4618055555555555)</f>
        <v>0.4618055556</v>
      </c>
      <c r="I72" s="94"/>
      <c r="J72" s="94"/>
      <c r="K72" s="94"/>
      <c r="L72" s="94"/>
      <c r="M72" s="94"/>
      <c r="N72" s="142" t="str">
        <f>IFERROR(__xludf.DUMMYFUNCTION("""COMPUTED_VALUE"""),"Groupstage - Group C - Round Robin R5 #1")</f>
        <v>Groupstage - Group C - Round Robin R5 #1</v>
      </c>
      <c r="O72" s="96" t="str">
        <f>IFERROR(__xludf.DUMMYFUNCTION("""COMPUTED_VALUE"""),"PVISION vs. Team Spirit")</f>
        <v>PVISION vs. Team Spirit</v>
      </c>
      <c r="P72" s="92"/>
    </row>
    <row r="73">
      <c r="A73" s="12"/>
      <c r="C73" s="48">
        <f>IFERROR(__xludf.DUMMYFUNCTION("""COMPUTED_VALUE"""),46215.0)</f>
        <v>46215</v>
      </c>
      <c r="E73" s="51" t="str">
        <f>IFERROR(__xludf.DUMMYFUNCTION("""COMPUTED_VALUE"""),"SS3")</f>
        <v>SS3</v>
      </c>
      <c r="F73" s="54" t="str">
        <f>IFERROR(__xludf.DUMMYFUNCTION("""COMPUTED_VALUE"""),"Stream B")</f>
        <v>Stream B</v>
      </c>
      <c r="G73" s="54" t="str">
        <f>IFERROR(__xludf.DUMMYFUNCTION("""COMPUTED_VALUE"""),"Bo2")</f>
        <v>Bo2</v>
      </c>
      <c r="H73" s="56">
        <f>IFERROR(__xludf.DUMMYFUNCTION("""COMPUTED_VALUE"""),0.4583333333333333)</f>
        <v>0.4583333333</v>
      </c>
      <c r="I73" s="57"/>
      <c r="J73" s="57"/>
      <c r="K73" s="57"/>
      <c r="L73" s="57"/>
      <c r="M73" s="57"/>
      <c r="N73" s="65" t="str">
        <f>IFERROR(__xludf.DUMMYFUNCTION("""COMPUTED_VALUE"""),"Groupstage - Group C - Round Robin R5 #2")</f>
        <v>Groupstage - Group C - Round Robin R5 #2</v>
      </c>
      <c r="O73" s="63" t="str">
        <f>IFERROR(__xludf.DUMMYFUNCTION("""COMPUTED_VALUE"""),"MOUZ vs. Vici Gaming")</f>
        <v>MOUZ vs. Vici Gaming</v>
      </c>
      <c r="P73" s="54"/>
    </row>
    <row r="74">
      <c r="A74" s="12"/>
      <c r="C74" s="48">
        <f>IFERROR(__xludf.DUMMYFUNCTION("""COMPUTED_VALUE"""),46215.0)</f>
        <v>46215</v>
      </c>
      <c r="E74" s="51" t="str">
        <f>IFERROR(__xludf.DUMMYFUNCTION("""COMPUTED_VALUE"""),"SS2")</f>
        <v>SS2</v>
      </c>
      <c r="F74" s="54" t="str">
        <f>IFERROR(__xludf.DUMMYFUNCTION("""COMPUTED_VALUE"""),"Stream C")</f>
        <v>Stream C</v>
      </c>
      <c r="G74" s="54" t="str">
        <f>IFERROR(__xludf.DUMMYFUNCTION("""COMPUTED_VALUE"""),"Bo2")</f>
        <v>Bo2</v>
      </c>
      <c r="H74" s="56">
        <f>IFERROR(__xludf.DUMMYFUNCTION("""COMPUTED_VALUE"""),0.4618055555555555)</f>
        <v>0.4618055556</v>
      </c>
      <c r="I74" s="57"/>
      <c r="J74" s="57"/>
      <c r="K74" s="57"/>
      <c r="L74" s="57"/>
      <c r="M74" s="57"/>
      <c r="N74" s="65" t="str">
        <f>IFERROR(__xludf.DUMMYFUNCTION("""COMPUTED_VALUE"""),"Groupstage - Group C - Round Robin R5 #3")</f>
        <v>Groupstage - Group C - Round Robin R5 #3</v>
      </c>
      <c r="O74" s="63" t="str">
        <f>IFERROR(__xludf.DUMMYFUNCTION("""COMPUTED_VALUE"""),"REKONIX vs. Team Nemesis")</f>
        <v>REKONIX vs. Team Nemesis</v>
      </c>
      <c r="P74" s="54"/>
    </row>
    <row r="75">
      <c r="A75" s="12"/>
      <c r="C75" s="48">
        <f>IFERROR(__xludf.DUMMYFUNCTION("""COMPUTED_VALUE"""),46215.0)</f>
        <v>46215</v>
      </c>
      <c r="E75" s="51" t="str">
        <f>IFERROR(__xludf.DUMMYFUNCTION("""COMPUTED_VALUE"""),"MS3")</f>
        <v>MS3</v>
      </c>
      <c r="F75" s="54" t="str">
        <f>IFERROR(__xludf.DUMMYFUNCTION("""COMPUTED_VALUE"""),"Stream A")</f>
        <v>Stream A</v>
      </c>
      <c r="G75" s="54" t="str">
        <f>IFERROR(__xludf.DUMMYFUNCTION("""COMPUTED_VALUE"""),"Bo2")</f>
        <v>Bo2</v>
      </c>
      <c r="H75" s="56">
        <f>IFERROR(__xludf.DUMMYFUNCTION("""COMPUTED_VALUE"""),0.5833333333333333)</f>
        <v>0.5833333333</v>
      </c>
      <c r="I75" s="57"/>
      <c r="J75" s="57"/>
      <c r="K75" s="57"/>
      <c r="L75" s="57"/>
      <c r="M75" s="57"/>
      <c r="N75" s="65" t="str">
        <f>IFERROR(__xludf.DUMMYFUNCTION("""COMPUTED_VALUE"""),"Groupstage - Group D - Round Robin R5 #1")</f>
        <v>Groupstage - Group D - Round Robin R5 #1</v>
      </c>
      <c r="O75" s="63" t="str">
        <f>IFERROR(__xludf.DUMMYFUNCTION("""COMPUTED_VALUE"""),"1W vs. Team Yandex")</f>
        <v>1W vs. Team Yandex</v>
      </c>
      <c r="P75" s="54"/>
    </row>
    <row r="76">
      <c r="A76" s="12"/>
      <c r="C76" s="48">
        <f>IFERROR(__xludf.DUMMYFUNCTION("""COMPUTED_VALUE"""),46215.0)</f>
        <v>46215</v>
      </c>
      <c r="E76" s="51" t="str">
        <f>IFERROR(__xludf.DUMMYFUNCTION("""COMPUTED_VALUE"""),"SS3")</f>
        <v>SS3</v>
      </c>
      <c r="F76" s="54" t="str">
        <f>IFERROR(__xludf.DUMMYFUNCTION("""COMPUTED_VALUE"""),"Stream B")</f>
        <v>Stream B</v>
      </c>
      <c r="G76" s="54" t="str">
        <f>IFERROR(__xludf.DUMMYFUNCTION("""COMPUTED_VALUE"""),"Bo2")</f>
        <v>Bo2</v>
      </c>
      <c r="H76" s="56">
        <f>IFERROR(__xludf.DUMMYFUNCTION("""COMPUTED_VALUE"""),0.5972222222222222)</f>
        <v>0.5972222222</v>
      </c>
      <c r="I76" s="57"/>
      <c r="J76" s="57"/>
      <c r="K76" s="57"/>
      <c r="L76" s="57"/>
      <c r="M76" s="57"/>
      <c r="N76" s="65" t="str">
        <f>IFERROR(__xludf.DUMMYFUNCTION("""COMPUTED_VALUE"""),"Groupstage - Group D - Round Robin R5 #2")</f>
        <v>Groupstage - Group D - Round Robin R5 #2</v>
      </c>
      <c r="O76" s="63" t="str">
        <f>IFERROR(__xludf.DUMMYFUNCTION("""COMPUTED_VALUE"""),"OG Esports vs. Virtus.pro")</f>
        <v>OG Esports vs. Virtus.pro</v>
      </c>
      <c r="P76" s="54"/>
    </row>
    <row r="77">
      <c r="A77" s="12"/>
      <c r="C77" s="48">
        <f>IFERROR(__xludf.DUMMYFUNCTION("""COMPUTED_VALUE"""),46215.0)</f>
        <v>46215</v>
      </c>
      <c r="E77" s="51" t="str">
        <f>IFERROR(__xludf.DUMMYFUNCTION("""COMPUTED_VALUE"""),"SS2")</f>
        <v>SS2</v>
      </c>
      <c r="F77" s="54" t="str">
        <f>IFERROR(__xludf.DUMMYFUNCTION("""COMPUTED_VALUE"""),"Stream C")</f>
        <v>Stream C</v>
      </c>
      <c r="G77" s="54" t="str">
        <f>IFERROR(__xludf.DUMMYFUNCTION("""COMPUTED_VALUE"""),"Bo2")</f>
        <v>Bo2</v>
      </c>
      <c r="H77" s="56">
        <f>IFERROR(__xludf.DUMMYFUNCTION("""COMPUTED_VALUE"""),0.5868055555555555)</f>
        <v>0.5868055556</v>
      </c>
      <c r="I77" s="85"/>
      <c r="J77" s="85"/>
      <c r="K77" s="85"/>
      <c r="L77" s="85"/>
      <c r="M77" s="85"/>
      <c r="N77" s="65" t="str">
        <f>IFERROR(__xludf.DUMMYFUNCTION("""COMPUTED_VALUE"""),"Groupstage - Group D - Round Robin R5 #3")</f>
        <v>Groupstage - Group D - Round Robin R5 #3</v>
      </c>
      <c r="O77" s="54" t="str">
        <f>IFERROR(__xludf.DUMMYFUNCTION("""COMPUTED_VALUE"""),"LGD Gaming vs. IC  x Insanity")</f>
        <v>LGD Gaming vs. IC  x Insanity</v>
      </c>
      <c r="P77" s="54"/>
    </row>
    <row r="78">
      <c r="A78" s="12"/>
      <c r="C78" s="48">
        <f>IFERROR(__xludf.DUMMYFUNCTION("""COMPUTED_VALUE"""),46215.0)</f>
        <v>46215</v>
      </c>
      <c r="E78" s="51" t="str">
        <f>IFERROR(__xludf.DUMMYFUNCTION("""COMPUTED_VALUE"""),"MS3")</f>
        <v>MS3</v>
      </c>
      <c r="F78" s="54" t="str">
        <f>IFERROR(__xludf.DUMMYFUNCTION("""COMPUTED_VALUE"""),"Stream A")</f>
        <v>Stream A</v>
      </c>
      <c r="G78" s="140" t="str">
        <f>IFERROR(__xludf.DUMMYFUNCTION("""COMPUTED_VALUE"""),"Bo1/Bo3")</f>
        <v>Bo1/Bo3</v>
      </c>
      <c r="H78" s="56">
        <f>IFERROR(__xludf.DUMMYFUNCTION("""COMPUTED_VALUE"""),0.6874999999999999)</f>
        <v>0.6875</v>
      </c>
      <c r="I78" s="57"/>
      <c r="J78" s="57"/>
      <c r="K78" s="57"/>
      <c r="L78" s="57"/>
      <c r="M78" s="57"/>
      <c r="N78" s="65" t="str">
        <f>IFERROR(__xludf.DUMMYFUNCTION("""COMPUTED_VALUE"""),"Groupstage - Tiebreaker spot")</f>
        <v>Groupstage - Tiebreaker spot</v>
      </c>
      <c r="O78" s="54" t="str">
        <f>IFERROR(__xludf.DUMMYFUNCTION("""COMPUTED_VALUE"""),"Not required")</f>
        <v>Not required</v>
      </c>
      <c r="P78" s="54"/>
    </row>
    <row r="79">
      <c r="A79" s="12"/>
      <c r="C79" s="48">
        <f>IFERROR(__xludf.DUMMYFUNCTION("""COMPUTED_VALUE"""),46215.0)</f>
        <v>46215</v>
      </c>
      <c r="E79" s="51" t="str">
        <f>IFERROR(__xludf.DUMMYFUNCTION("""COMPUTED_VALUE"""),"SS3")</f>
        <v>SS3</v>
      </c>
      <c r="F79" s="54" t="str">
        <f>IFERROR(__xludf.DUMMYFUNCTION("""COMPUTED_VALUE"""),"Stream B")</f>
        <v>Stream B</v>
      </c>
      <c r="G79" s="140" t="str">
        <f>IFERROR(__xludf.DUMMYFUNCTION("""COMPUTED_VALUE"""),"Bo1/Bo3")</f>
        <v>Bo1/Bo3</v>
      </c>
      <c r="H79" s="56">
        <f>IFERROR(__xludf.DUMMYFUNCTION("""COMPUTED_VALUE"""),0.6874999999999999)</f>
        <v>0.6875</v>
      </c>
      <c r="I79" s="57"/>
      <c r="J79" s="57"/>
      <c r="K79" s="57"/>
      <c r="L79" s="57"/>
      <c r="M79" s="57"/>
      <c r="N79" s="65" t="str">
        <f>IFERROR(__xludf.DUMMYFUNCTION("""COMPUTED_VALUE"""),"Groupstage - Tiebreaker spot")</f>
        <v>Groupstage - Tiebreaker spot</v>
      </c>
      <c r="O79" s="54" t="str">
        <f>IFERROR(__xludf.DUMMYFUNCTION("""COMPUTED_VALUE"""),"LGD Gaming vs. Virtus.pro - 1v1")</f>
        <v>LGD Gaming vs. Virtus.pro - 1v1</v>
      </c>
      <c r="P79" s="54"/>
    </row>
    <row r="80">
      <c r="A80" s="12"/>
      <c r="C80" s="48">
        <f>IFERROR(__xludf.DUMMYFUNCTION("""COMPUTED_VALUE"""),46215.0)</f>
        <v>46215</v>
      </c>
      <c r="E80" s="51" t="str">
        <f>IFERROR(__xludf.DUMMYFUNCTION("""COMPUTED_VALUE"""),"SS2")</f>
        <v>SS2</v>
      </c>
      <c r="F80" s="54" t="str">
        <f>IFERROR(__xludf.DUMMYFUNCTION("""COMPUTED_VALUE"""),"Stream C")</f>
        <v>Stream C</v>
      </c>
      <c r="G80" s="140" t="str">
        <f>IFERROR(__xludf.DUMMYFUNCTION("""COMPUTED_VALUE"""),"Bo1/Bo3")</f>
        <v>Bo1/Bo3</v>
      </c>
      <c r="H80" s="56">
        <f>IFERROR(__xludf.DUMMYFUNCTION("""COMPUTED_VALUE"""),0.6874999999999999)</f>
        <v>0.6875</v>
      </c>
      <c r="I80" s="57"/>
      <c r="J80" s="57"/>
      <c r="K80" s="57"/>
      <c r="L80" s="57"/>
      <c r="M80" s="57"/>
      <c r="N80" s="65" t="str">
        <f>IFERROR(__xludf.DUMMYFUNCTION("""COMPUTED_VALUE"""),"Groupstage - Tiebreaker spot")</f>
        <v>Groupstage - Tiebreaker spot</v>
      </c>
      <c r="O80" s="54" t="str">
        <f>IFERROR(__xludf.DUMMYFUNCTION("""COMPUTED_VALUE"""),"Not required")</f>
        <v>Not required</v>
      </c>
      <c r="P80" s="54"/>
    </row>
    <row r="81">
      <c r="A81" s="12"/>
      <c r="C81" s="48">
        <f>IFERROR(__xludf.DUMMYFUNCTION("""COMPUTED_VALUE"""),46215.0)</f>
        <v>46215</v>
      </c>
      <c r="E81" s="51" t="str">
        <f>IFERROR(__xludf.DUMMYFUNCTION("""COMPUTED_VALUE"""),"MS3")</f>
        <v>MS3</v>
      </c>
      <c r="F81" s="54" t="str">
        <f>IFERROR(__xludf.DUMMYFUNCTION("""COMPUTED_VALUE"""),"Stream A")</f>
        <v>Stream A</v>
      </c>
      <c r="G81" s="140" t="str">
        <f>IFERROR(__xludf.DUMMYFUNCTION("""COMPUTED_VALUE"""),"Bo1/Bo3")</f>
        <v>Bo1/Bo3</v>
      </c>
      <c r="H81" s="56">
        <f>IFERROR(__xludf.DUMMYFUNCTION("""COMPUTED_VALUE"""),0.8124999999999999)</f>
        <v>0.8125</v>
      </c>
      <c r="I81" s="57"/>
      <c r="J81" s="57"/>
      <c r="K81" s="57"/>
      <c r="L81" s="57"/>
      <c r="M81" s="57"/>
      <c r="N81" s="65" t="str">
        <f>IFERROR(__xludf.DUMMYFUNCTION("""COMPUTED_VALUE"""),"Groupstage - Tiebreaker spot")</f>
        <v>Groupstage - Tiebreaker spot</v>
      </c>
      <c r="O81" s="54" t="str">
        <f>IFERROR(__xludf.DUMMYFUNCTION("""COMPUTED_VALUE"""),"Not required")</f>
        <v>Not required</v>
      </c>
      <c r="P81" s="54"/>
    </row>
    <row r="82">
      <c r="A82" s="12"/>
      <c r="C82" s="48">
        <f>IFERROR(__xludf.DUMMYFUNCTION("""COMPUTED_VALUE"""),46215.0)</f>
        <v>46215</v>
      </c>
      <c r="E82" s="51" t="str">
        <f>IFERROR(__xludf.DUMMYFUNCTION("""COMPUTED_VALUE"""),"SS3")</f>
        <v>SS3</v>
      </c>
      <c r="F82" s="54" t="str">
        <f>IFERROR(__xludf.DUMMYFUNCTION("""COMPUTED_VALUE"""),"Stream B")</f>
        <v>Stream B</v>
      </c>
      <c r="G82" s="140" t="str">
        <f>IFERROR(__xludf.DUMMYFUNCTION("""COMPUTED_VALUE"""),"Bo1/Bo3")</f>
        <v>Bo1/Bo3</v>
      </c>
      <c r="H82" s="56">
        <f>IFERROR(__xludf.DUMMYFUNCTION("""COMPUTED_VALUE"""),0.8124999999999999)</f>
        <v>0.8125</v>
      </c>
      <c r="I82" s="57"/>
      <c r="J82" s="57"/>
      <c r="K82" s="57"/>
      <c r="L82" s="57"/>
      <c r="M82" s="57"/>
      <c r="N82" s="65" t="str">
        <f>IFERROR(__xludf.DUMMYFUNCTION("""COMPUTED_VALUE"""),"Groupstage - Tiebreaker spot")</f>
        <v>Groupstage - Tiebreaker spot</v>
      </c>
      <c r="O82" s="54" t="str">
        <f>IFERROR(__xludf.DUMMYFUNCTION("""COMPUTED_VALUE"""),"Not required")</f>
        <v>Not required</v>
      </c>
      <c r="P82" s="54"/>
    </row>
    <row r="83">
      <c r="A83" s="12"/>
      <c r="C83" s="48">
        <f>IFERROR(__xludf.DUMMYFUNCTION("""COMPUTED_VALUE"""),46215.0)</f>
        <v>46215</v>
      </c>
      <c r="E83" s="51" t="str">
        <f>IFERROR(__xludf.DUMMYFUNCTION("""COMPUTED_VALUE"""),"SS2")</f>
        <v>SS2</v>
      </c>
      <c r="F83" s="54" t="str">
        <f>IFERROR(__xludf.DUMMYFUNCTION("""COMPUTED_VALUE"""),"Stream C")</f>
        <v>Stream C</v>
      </c>
      <c r="G83" s="140" t="str">
        <f>IFERROR(__xludf.DUMMYFUNCTION("""COMPUTED_VALUE"""),"Bo1/Bo3")</f>
        <v>Bo1/Bo3</v>
      </c>
      <c r="H83" s="56">
        <f>IFERROR(__xludf.DUMMYFUNCTION("""COMPUTED_VALUE"""),0.8124999999999999)</f>
        <v>0.8125</v>
      </c>
      <c r="I83" s="141"/>
      <c r="J83" s="141"/>
      <c r="K83" s="141"/>
      <c r="L83" s="141"/>
      <c r="M83" s="141"/>
      <c r="N83" s="65" t="str">
        <f>IFERROR(__xludf.DUMMYFUNCTION("""COMPUTED_VALUE"""),"Groupstage - Tiebreaker spot")</f>
        <v>Groupstage - Tiebreaker spot</v>
      </c>
      <c r="O83" s="54" t="str">
        <f>IFERROR(__xludf.DUMMYFUNCTION("""COMPUTED_VALUE"""),"Not required")</f>
        <v>Not required</v>
      </c>
      <c r="P83" s="54"/>
    </row>
    <row r="84">
      <c r="A84" s="12"/>
      <c r="C84" s="48">
        <f>IFERROR(__xludf.DUMMYFUNCTION("""COMPUTED_VALUE"""),46215.0)</f>
        <v>46215</v>
      </c>
      <c r="E84" s="51"/>
      <c r="F84" s="54"/>
      <c r="G84" s="54"/>
      <c r="H84" s="56">
        <f>IFERROR(__xludf.DUMMYFUNCTION("""COMPUTED_VALUE"""),0.9374999999999999)</f>
        <v>0.9375</v>
      </c>
      <c r="I84" s="85"/>
      <c r="J84" s="85"/>
      <c r="K84" s="85"/>
      <c r="L84" s="85"/>
      <c r="M84" s="85"/>
      <c r="N84" s="54"/>
      <c r="O84" s="54"/>
      <c r="P84" s="54"/>
    </row>
    <row r="85">
      <c r="A85" s="89"/>
      <c r="B85" s="90">
        <f>IFERROR(__xludf.DUMMYFUNCTION("""COMPUTED_VALUE"""),7.0)</f>
        <v>7</v>
      </c>
      <c r="C85" s="83">
        <f>IFERROR(__xludf.DUMMYFUNCTION("""COMPUTED_VALUE"""),46217.0)</f>
        <v>46217</v>
      </c>
      <c r="D85" s="91">
        <f>IFERROR(__xludf.DUMMYFUNCTION("""COMPUTED_VALUE"""),46217.0)</f>
        <v>46217</v>
      </c>
      <c r="E85" s="119" t="str">
        <f>IFERROR(__xludf.DUMMYFUNCTION("""COMPUTED_VALUE"""),"MS3")</f>
        <v>MS3</v>
      </c>
      <c r="F85" s="92" t="str">
        <f>IFERROR(__xludf.DUMMYFUNCTION("""COMPUTED_VALUE"""),"Stream A")</f>
        <v>Stream A</v>
      </c>
      <c r="G85" s="92" t="str">
        <f>IFERROR(__xludf.DUMMYFUNCTION("""COMPUTED_VALUE"""),"Bo3")</f>
        <v>Bo3</v>
      </c>
      <c r="H85" s="93">
        <f>IFERROR(__xludf.DUMMYFUNCTION("""COMPUTED_VALUE"""),0.5416666666666666)</f>
        <v>0.5416666667</v>
      </c>
      <c r="I85" s="143"/>
      <c r="J85" s="143"/>
      <c r="K85" s="143"/>
      <c r="L85" s="143"/>
      <c r="M85" s="143"/>
      <c r="N85" s="92" t="str">
        <f>IFERROR(__xludf.DUMMYFUNCTION("""COMPUTED_VALUE"""),"Survival - Round 1 - 4v3 #1")</f>
        <v>Survival - Round 1 - 4v3 #1</v>
      </c>
      <c r="O85" s="92" t="str">
        <f>IFERROR(__xludf.DUMMYFUNCTION("""COMPUTED_VALUE"""),"Team Liquid vs. Xtreme Gaming")</f>
        <v>Team Liquid vs. Xtreme Gaming</v>
      </c>
      <c r="P85" s="92"/>
    </row>
    <row r="86">
      <c r="A86" s="12"/>
      <c r="C86" s="48">
        <f>IFERROR(__xludf.DUMMYFUNCTION("""COMPUTED_VALUE"""),46217.0)</f>
        <v>46217</v>
      </c>
      <c r="E86" s="51" t="str">
        <f>IFERROR(__xludf.DUMMYFUNCTION("""COMPUTED_VALUE"""),"SS3")</f>
        <v>SS3</v>
      </c>
      <c r="F86" s="54" t="str">
        <f>IFERROR(__xludf.DUMMYFUNCTION("""COMPUTED_VALUE"""),"Stream B")</f>
        <v>Stream B</v>
      </c>
      <c r="G86" s="54" t="str">
        <f>IFERROR(__xludf.DUMMYFUNCTION("""COMPUTED_VALUE"""),"Bo3")</f>
        <v>Bo3</v>
      </c>
      <c r="H86" s="56">
        <f>IFERROR(__xludf.DUMMYFUNCTION("""COMPUTED_VALUE"""),0.5416666666666666)</f>
        <v>0.5416666667</v>
      </c>
      <c r="I86" s="85"/>
      <c r="J86" s="85"/>
      <c r="K86" s="85"/>
      <c r="L86" s="85"/>
      <c r="M86" s="85"/>
      <c r="N86" s="54" t="str">
        <f>IFERROR(__xludf.DUMMYFUNCTION("""COMPUTED_VALUE"""),"Survival - Round 1 - 4v3 #2")</f>
        <v>Survival - Round 1 - 4v3 #2</v>
      </c>
      <c r="O86" s="54" t="str">
        <f>IFERROR(__xludf.DUMMYFUNCTION("""COMPUTED_VALUE"""),"Rune Eaters vs. Virtus.pro")</f>
        <v>Rune Eaters vs. Virtus.pro</v>
      </c>
      <c r="P86" s="54"/>
    </row>
    <row r="87">
      <c r="A87" s="12"/>
      <c r="C87" s="48">
        <f>IFERROR(__xludf.DUMMYFUNCTION("""COMPUTED_VALUE"""),46217.0)</f>
        <v>46217</v>
      </c>
      <c r="E87" s="51" t="str">
        <f>IFERROR(__xludf.DUMMYFUNCTION("""COMPUTED_VALUE"""),"MS3")</f>
        <v>MS3</v>
      </c>
      <c r="F87" s="54" t="str">
        <f>IFERROR(__xludf.DUMMYFUNCTION("""COMPUTED_VALUE"""),"Stream A")</f>
        <v>Stream A</v>
      </c>
      <c r="G87" s="54" t="str">
        <f>IFERROR(__xludf.DUMMYFUNCTION("""COMPUTED_VALUE"""),"Bo3")</f>
        <v>Bo3</v>
      </c>
      <c r="H87" s="56">
        <f>IFERROR(__xludf.DUMMYFUNCTION("""COMPUTED_VALUE"""),0.6875)</f>
        <v>0.6875</v>
      </c>
      <c r="I87" s="85"/>
      <c r="J87" s="85"/>
      <c r="K87" s="85"/>
      <c r="L87" s="85"/>
      <c r="M87" s="85"/>
      <c r="N87" s="54" t="str">
        <f>IFERROR(__xludf.DUMMYFUNCTION("""COMPUTED_VALUE"""),"Survival - Round 1 - 4v3 #3")</f>
        <v>Survival - Round 1 - 4v3 #3</v>
      </c>
      <c r="O87" s="54" t="str">
        <f>IFERROR(__xludf.DUMMYFUNCTION("""COMPUTED_VALUE"""),"LGD Gaming vs. MOUZ")</f>
        <v>LGD Gaming vs. MOUZ</v>
      </c>
      <c r="P87" s="54"/>
    </row>
    <row r="88">
      <c r="A88" s="12"/>
      <c r="C88" s="48">
        <f>IFERROR(__xludf.DUMMYFUNCTION("""COMPUTED_VALUE"""),46217.0)</f>
        <v>46217</v>
      </c>
      <c r="E88" s="51" t="str">
        <f>IFERROR(__xludf.DUMMYFUNCTION("""COMPUTED_VALUE"""),"SS3")</f>
        <v>SS3</v>
      </c>
      <c r="F88" s="54" t="str">
        <f>IFERROR(__xludf.DUMMYFUNCTION("""COMPUTED_VALUE"""),"Stream B")</f>
        <v>Stream B</v>
      </c>
      <c r="G88" s="54" t="str">
        <f>IFERROR(__xludf.DUMMYFUNCTION("""COMPUTED_VALUE"""),"Bo3")</f>
        <v>Bo3</v>
      </c>
      <c r="H88" s="56">
        <f>IFERROR(__xludf.DUMMYFUNCTION("""COMPUTED_VALUE"""),0.6875)</f>
        <v>0.6875</v>
      </c>
      <c r="I88" s="85"/>
      <c r="J88" s="85"/>
      <c r="K88" s="85"/>
      <c r="L88" s="85"/>
      <c r="M88" s="85"/>
      <c r="N88" s="54" t="str">
        <f>IFERROR(__xludf.DUMMYFUNCTION("""COMPUTED_VALUE"""),"Survival - Round 1 - 4v3 #4")</f>
        <v>Survival - Round 1 - 4v3 #4</v>
      </c>
      <c r="O88" s="54" t="str">
        <f>IFERROR(__xludf.DUMMYFUNCTION("""COMPUTED_VALUE"""),"Vici Gaming vs. PTime")</f>
        <v>Vici Gaming vs. PTime</v>
      </c>
      <c r="P88" s="54" t="str">
        <f>IFERROR(__xludf.DUMMYFUNCTION("""COMPUTED_VALUE"""),"VG DEFAULT WIN")</f>
        <v>VG DEFAULT WIN</v>
      </c>
    </row>
    <row r="89">
      <c r="A89" s="124"/>
      <c r="B89" s="125"/>
      <c r="C89" s="117">
        <f>IFERROR(__xludf.DUMMYFUNCTION("""COMPUTED_VALUE"""),46217.0)</f>
        <v>46217</v>
      </c>
      <c r="D89" s="125"/>
      <c r="E89" s="137"/>
      <c r="F89" s="86"/>
      <c r="G89" s="86"/>
      <c r="H89" s="126">
        <f>IFERROR(__xludf.DUMMYFUNCTION("""COMPUTED_VALUE"""),0.8125)</f>
        <v>0.8125</v>
      </c>
      <c r="I89" s="127"/>
      <c r="J89" s="127"/>
      <c r="K89" s="127"/>
      <c r="L89" s="127"/>
      <c r="M89" s="127"/>
      <c r="N89" s="86"/>
      <c r="O89" s="86"/>
      <c r="P89" s="86"/>
    </row>
    <row r="90">
      <c r="A90" s="144"/>
      <c r="B90" s="145">
        <f>IFERROR(__xludf.DUMMYFUNCTION("""COMPUTED_VALUE"""),8.0)</f>
        <v>8</v>
      </c>
      <c r="C90" s="145">
        <f>IFERROR(__xludf.DUMMYFUNCTION("""COMPUTED_VALUE"""),46218.0)</f>
        <v>46218</v>
      </c>
      <c r="D90" s="146">
        <f>IFERROR(__xludf.DUMMYFUNCTION("""COMPUTED_VALUE"""),46218.0)</f>
        <v>46218</v>
      </c>
      <c r="E90" s="147" t="str">
        <f>IFERROR(__xludf.DUMMYFUNCTION("""COMPUTED_VALUE"""),"MS3")</f>
        <v>MS3</v>
      </c>
      <c r="F90" s="148"/>
      <c r="G90" s="149" t="str">
        <f>IFERROR(__xludf.DUMMYFUNCTION("""COMPUTED_VALUE"""),"Bo3")</f>
        <v>Bo3</v>
      </c>
      <c r="H90" s="150">
        <f>IFERROR(__xludf.DUMMYFUNCTION("""COMPUTED_VALUE"""),0.5416666666666666)</f>
        <v>0.5416666667</v>
      </c>
      <c r="I90" s="151"/>
      <c r="J90" s="151"/>
      <c r="K90" s="151"/>
      <c r="L90" s="151"/>
      <c r="M90" s="151"/>
      <c r="N90" s="149" t="str">
        <f>IFERROR(__xludf.DUMMYFUNCTION("""COMPUTED_VALUE"""),"Survival - Round 1 - 4v3 #4")</f>
        <v>Survival - Round 1 - 4v3 #4</v>
      </c>
      <c r="O90" s="152" t="str">
        <f>IFERROR(__xludf.DUMMYFUNCTION("""COMPUTED_VALUE"""),"Vici Gaming vs. PTime")</f>
        <v>Vici Gaming vs. PTime</v>
      </c>
      <c r="P90" s="54" t="str">
        <f>IFERROR(__xludf.DUMMYFUNCTION("""COMPUTED_VALUE"""),"VG DEFAULT WIN")</f>
        <v>VG DEFAULT WIN</v>
      </c>
    </row>
    <row r="91">
      <c r="A91" s="144"/>
      <c r="C91" s="145">
        <f>IFERROR(__xludf.DUMMYFUNCTION("""COMPUTED_VALUE"""),46218.0)</f>
        <v>46218</v>
      </c>
      <c r="E91" s="147" t="str">
        <f>IFERROR(__xludf.DUMMYFUNCTION("""COMPUTED_VALUE"""),"MS3")</f>
        <v>MS3</v>
      </c>
      <c r="F91" s="61" t="str">
        <f>IFERROR(__xludf.DUMMYFUNCTION("""COMPUTED_VALUE"""),"Stream A")</f>
        <v>Stream A</v>
      </c>
      <c r="G91" s="61" t="str">
        <f>IFERROR(__xludf.DUMMYFUNCTION("""COMPUTED_VALUE"""),"Bo3")</f>
        <v>Bo3</v>
      </c>
      <c r="H91" s="153">
        <f>IFERROR(__xludf.DUMMYFUNCTION("""COMPUTED_VALUE"""),0.5451388888888888)</f>
        <v>0.5451388889</v>
      </c>
      <c r="I91" s="154"/>
      <c r="J91" s="154"/>
      <c r="K91" s="154"/>
      <c r="L91" s="154"/>
      <c r="M91" s="154"/>
      <c r="N91" s="61" t="str">
        <f>IFERROR(__xludf.DUMMYFUNCTION("""COMPUTED_VALUE"""),"Survival - Round 2 - v2 #1")</f>
        <v>Survival - Round 2 - v2 #1</v>
      </c>
      <c r="O91" s="61" t="str">
        <f>IFERROR(__xludf.DUMMYFUNCTION("""COMPUTED_VALUE"""),"Team Spirit vs. Team Liquid")</f>
        <v>Team Spirit vs. Team Liquid</v>
      </c>
      <c r="P91" s="54"/>
    </row>
    <row r="92">
      <c r="A92" s="144"/>
      <c r="C92" s="145">
        <f>IFERROR(__xludf.DUMMYFUNCTION("""COMPUTED_VALUE"""),46218.0)</f>
        <v>46218</v>
      </c>
      <c r="E92" s="147" t="str">
        <f>IFERROR(__xludf.DUMMYFUNCTION("""COMPUTED_VALUE"""),"SS3")</f>
        <v>SS3</v>
      </c>
      <c r="F92" s="155" t="str">
        <f>IFERROR(__xludf.DUMMYFUNCTION("""COMPUTED_VALUE"""),"Stream B")</f>
        <v>Stream B</v>
      </c>
      <c r="G92" s="155" t="str">
        <f>IFERROR(__xludf.DUMMYFUNCTION("""COMPUTED_VALUE"""),"Bo3")</f>
        <v>Bo3</v>
      </c>
      <c r="H92" s="157">
        <f>IFERROR(__xludf.DUMMYFUNCTION("""COMPUTED_VALUE"""),0.5416666666666666)</f>
        <v>0.5416666667</v>
      </c>
      <c r="I92" s="158"/>
      <c r="J92" s="158"/>
      <c r="K92" s="158"/>
      <c r="L92" s="158"/>
      <c r="M92" s="158"/>
      <c r="N92" s="155" t="str">
        <f>IFERROR(__xludf.DUMMYFUNCTION("""COMPUTED_VALUE"""),"Survival - Round 2 - v2 #2")</f>
        <v>Survival - Round 2 - v2 #2</v>
      </c>
      <c r="O92" s="155" t="str">
        <f>IFERROR(__xludf.DUMMYFUNCTION("""COMPUTED_VALUE"""),"Aurora Gaming vs. Rune Eaters")</f>
        <v>Aurora Gaming vs. Rune Eaters</v>
      </c>
      <c r="P92" s="54"/>
    </row>
    <row r="93">
      <c r="A93" s="144"/>
      <c r="C93" s="145">
        <f>IFERROR(__xludf.DUMMYFUNCTION("""COMPUTED_VALUE"""),46218.0)</f>
        <v>46218</v>
      </c>
      <c r="E93" s="147" t="str">
        <f>IFERROR(__xludf.DUMMYFUNCTION("""COMPUTED_VALUE"""),"MS3")</f>
        <v>MS3</v>
      </c>
      <c r="F93" s="61" t="str">
        <f>IFERROR(__xludf.DUMMYFUNCTION("""COMPUTED_VALUE"""),"Stream A")</f>
        <v>Stream A</v>
      </c>
      <c r="G93" s="61" t="str">
        <f>IFERROR(__xludf.DUMMYFUNCTION("""COMPUTED_VALUE"""),"Bo3")</f>
        <v>Bo3</v>
      </c>
      <c r="H93" s="153">
        <f>IFERROR(__xludf.DUMMYFUNCTION("""COMPUTED_VALUE"""),0.7395833333333333)</f>
        <v>0.7395833333</v>
      </c>
      <c r="I93" s="154"/>
      <c r="J93" s="154"/>
      <c r="K93" s="154"/>
      <c r="L93" s="154"/>
      <c r="M93" s="154"/>
      <c r="N93" s="61" t="str">
        <f>IFERROR(__xludf.DUMMYFUNCTION("""COMPUTED_VALUE"""),"Survival - Round 2 - v2 #3")</f>
        <v>Survival - Round 2 - v2 #3</v>
      </c>
      <c r="O93" s="61" t="str">
        <f>IFERROR(__xludf.DUMMYFUNCTION("""COMPUTED_VALUE"""),"BB Team vs. LGD Gaming")</f>
        <v>BB Team vs. LGD Gaming</v>
      </c>
      <c r="P93" s="54"/>
    </row>
    <row r="94">
      <c r="A94" s="144"/>
      <c r="C94" s="145">
        <f>IFERROR(__xludf.DUMMYFUNCTION("""COMPUTED_VALUE"""),46218.0)</f>
        <v>46218</v>
      </c>
      <c r="E94" s="147" t="str">
        <f>IFERROR(__xludf.DUMMYFUNCTION("""COMPUTED_VALUE"""),"SS3")</f>
        <v>SS3</v>
      </c>
      <c r="F94" s="155" t="str">
        <f>IFERROR(__xludf.DUMMYFUNCTION("""COMPUTED_VALUE"""),"Stream B")</f>
        <v>Stream B</v>
      </c>
      <c r="G94" s="155" t="str">
        <f>IFERROR(__xludf.DUMMYFUNCTION("""COMPUTED_VALUE"""),"Bo3")</f>
        <v>Bo3</v>
      </c>
      <c r="H94" s="157">
        <f>IFERROR(__xludf.DUMMYFUNCTION("""COMPUTED_VALUE"""),0.6701388888888888)</f>
        <v>0.6701388889</v>
      </c>
      <c r="I94" s="158"/>
      <c r="J94" s="158"/>
      <c r="K94" s="158"/>
      <c r="L94" s="158"/>
      <c r="M94" s="158"/>
      <c r="N94" s="155" t="str">
        <f>IFERROR(__xludf.DUMMYFUNCTION("""COMPUTED_VALUE"""),"Survival - Round 2 - v2 #4")</f>
        <v>Survival - Round 2 - v2 #4</v>
      </c>
      <c r="O94" s="155" t="str">
        <f>IFERROR(__xludf.DUMMYFUNCTION("""COMPUTED_VALUE"""),"1W vs. Vici Gaming")</f>
        <v>1W vs. Vici Gaming</v>
      </c>
      <c r="P94" s="54"/>
    </row>
    <row r="95">
      <c r="A95" s="144"/>
      <c r="C95" s="145">
        <f>IFERROR(__xludf.DUMMYFUNCTION("""COMPUTED_VALUE"""),46218.0)</f>
        <v>46218</v>
      </c>
      <c r="E95" s="160"/>
      <c r="F95" s="148"/>
      <c r="G95" s="148"/>
      <c r="H95" s="150">
        <f>IFERROR(__xludf.DUMMYFUNCTION("""COMPUTED_VALUE"""),0.8645833333333333)</f>
        <v>0.8645833333</v>
      </c>
      <c r="I95" s="151"/>
      <c r="J95" s="151"/>
      <c r="K95" s="151"/>
      <c r="L95" s="151"/>
      <c r="M95" s="151"/>
      <c r="N95" s="148"/>
      <c r="O95" s="148"/>
      <c r="P95" s="54"/>
    </row>
    <row r="96">
      <c r="A96" s="161"/>
      <c r="B96" s="162">
        <f>IFERROR(__xludf.DUMMYFUNCTION("""COMPUTED_VALUE"""),9.0)</f>
        <v>9</v>
      </c>
      <c r="C96" s="162">
        <f>IFERROR(__xludf.DUMMYFUNCTION("""COMPUTED_VALUE"""),46219.0)</f>
        <v>46219</v>
      </c>
      <c r="D96" s="163">
        <f>IFERROR(__xludf.DUMMYFUNCTION("""COMPUTED_VALUE"""),46219.0)</f>
        <v>46219</v>
      </c>
      <c r="E96" s="164" t="str">
        <f>IFERROR(__xludf.DUMMYFUNCTION("""COMPUTED_VALUE"""),"MS3")</f>
        <v>MS3</v>
      </c>
      <c r="F96" s="165" t="str">
        <f>IFERROR(__xludf.DUMMYFUNCTION("""COMPUTED_VALUE"""),"Stream A")</f>
        <v>Stream A</v>
      </c>
      <c r="G96" s="165" t="str">
        <f>IFERROR(__xludf.DUMMYFUNCTION("""COMPUTED_VALUE"""),"Bo3")</f>
        <v>Bo3</v>
      </c>
      <c r="H96" s="166">
        <f>IFERROR(__xludf.DUMMYFUNCTION("""COMPUTED_VALUE"""),0.5451388888888888)</f>
        <v>0.5451388889</v>
      </c>
      <c r="I96" s="167"/>
      <c r="J96" s="167"/>
      <c r="K96" s="167"/>
      <c r="L96" s="167"/>
      <c r="M96" s="167"/>
      <c r="N96" s="165" t="str">
        <f>IFERROR(__xludf.DUMMYFUNCTION("""COMPUTED_VALUE"""),"Playoffs - Quarterfinal #1")</f>
        <v>Playoffs - Quarterfinal #1</v>
      </c>
      <c r="O96" s="165" t="str">
        <f>IFERROR(__xludf.DUMMYFUNCTION("""COMPUTED_VALUE"""),"Team Yandex vs. Team Spirit")</f>
        <v>Team Yandex vs. Team Spirit</v>
      </c>
      <c r="P96" s="54"/>
    </row>
    <row r="97">
      <c r="A97" s="144"/>
      <c r="C97" s="145">
        <f>IFERROR(__xludf.DUMMYFUNCTION("""COMPUTED_VALUE"""),46219.0)</f>
        <v>46219</v>
      </c>
      <c r="E97" s="147" t="str">
        <f>IFERROR(__xludf.DUMMYFUNCTION("""COMPUTED_VALUE"""),"MS3")</f>
        <v>MS3</v>
      </c>
      <c r="F97" s="61" t="str">
        <f>IFERROR(__xludf.DUMMYFUNCTION("""COMPUTED_VALUE"""),"Stream A")</f>
        <v>Stream A</v>
      </c>
      <c r="G97" s="61" t="str">
        <f>IFERROR(__xludf.DUMMYFUNCTION("""COMPUTED_VALUE"""),"Bo3")</f>
        <v>Bo3</v>
      </c>
      <c r="H97" s="153">
        <f>IFERROR(__xludf.DUMMYFUNCTION("""COMPUTED_VALUE"""),0.6805555555555555)</f>
        <v>0.6805555556</v>
      </c>
      <c r="I97" s="154"/>
      <c r="J97" s="154"/>
      <c r="K97" s="154"/>
      <c r="L97" s="154"/>
      <c r="M97" s="154"/>
      <c r="N97" s="61" t="str">
        <f>IFERROR(__xludf.DUMMYFUNCTION("""COMPUTED_VALUE"""),"Playoffs - Quarterfinal #2")</f>
        <v>Playoffs - Quarterfinal #2</v>
      </c>
      <c r="O97" s="61" t="str">
        <f>IFERROR(__xludf.DUMMYFUNCTION("""COMPUTED_VALUE"""),"PVISION vs. Rune Eaters")</f>
        <v>PVISION vs. Rune Eaters</v>
      </c>
      <c r="P97" s="54"/>
    </row>
    <row r="98">
      <c r="A98" s="168"/>
      <c r="B98" s="125"/>
      <c r="C98" s="169">
        <f>IFERROR(__xludf.DUMMYFUNCTION("""COMPUTED_VALUE"""),46219.0)</f>
        <v>46219</v>
      </c>
      <c r="D98" s="125"/>
      <c r="E98" s="170"/>
      <c r="F98" s="171"/>
      <c r="G98" s="171"/>
      <c r="H98" s="172">
        <f>IFERROR(__xludf.DUMMYFUNCTION("""COMPUTED_VALUE"""),0.8055555555555555)</f>
        <v>0.8055555556</v>
      </c>
      <c r="I98" s="173"/>
      <c r="J98" s="173"/>
      <c r="K98" s="173"/>
      <c r="L98" s="173"/>
      <c r="M98" s="173"/>
      <c r="N98" s="171"/>
      <c r="O98" s="171"/>
      <c r="P98" s="54"/>
    </row>
    <row r="99">
      <c r="A99" s="144"/>
      <c r="B99" s="145">
        <f>IFERROR(__xludf.DUMMYFUNCTION("""COMPUTED_VALUE"""),10.0)</f>
        <v>10</v>
      </c>
      <c r="C99" s="145">
        <f>IFERROR(__xludf.DUMMYFUNCTION("""COMPUTED_VALUE"""),46220.0)</f>
        <v>46220</v>
      </c>
      <c r="D99" s="146">
        <f>IFERROR(__xludf.DUMMYFUNCTION("""COMPUTED_VALUE"""),46220.0)</f>
        <v>46220</v>
      </c>
      <c r="E99" s="147" t="str">
        <f>IFERROR(__xludf.DUMMYFUNCTION("""COMPUTED_VALUE"""),"MS3")</f>
        <v>MS3</v>
      </c>
      <c r="F99" s="61" t="str">
        <f>IFERROR(__xludf.DUMMYFUNCTION("""COMPUTED_VALUE"""),"Stream A")</f>
        <v>Stream A</v>
      </c>
      <c r="G99" s="61" t="str">
        <f>IFERROR(__xludf.DUMMYFUNCTION("""COMPUTED_VALUE"""),"Bo3")</f>
        <v>Bo3</v>
      </c>
      <c r="H99" s="153">
        <f>IFERROR(__xludf.DUMMYFUNCTION("""COMPUTED_VALUE"""),0.5451388888888888)</f>
        <v>0.5451388889</v>
      </c>
      <c r="I99" s="154"/>
      <c r="J99" s="154"/>
      <c r="K99" s="154"/>
      <c r="L99" s="154"/>
      <c r="M99" s="154"/>
      <c r="N99" s="61" t="str">
        <f>IFERROR(__xludf.DUMMYFUNCTION("""COMPUTED_VALUE"""),"Playoffs - Quarterfinal #3")</f>
        <v>Playoffs - Quarterfinal #3</v>
      </c>
      <c r="O99" s="61" t="str">
        <f>IFERROR(__xludf.DUMMYFUNCTION("""COMPUTED_VALUE"""),"Team Falcons vs. Vici Gaming ")</f>
        <v>Team Falcons vs. Vici Gaming </v>
      </c>
      <c r="P99" s="54"/>
    </row>
    <row r="100">
      <c r="A100" s="144"/>
      <c r="C100" s="145">
        <f>IFERROR(__xludf.DUMMYFUNCTION("""COMPUTED_VALUE"""),46220.0)</f>
        <v>46220</v>
      </c>
      <c r="E100" s="147" t="str">
        <f>IFERROR(__xludf.DUMMYFUNCTION("""COMPUTED_VALUE"""),"MS3")</f>
        <v>MS3</v>
      </c>
      <c r="F100" s="61" t="str">
        <f>IFERROR(__xludf.DUMMYFUNCTION("""COMPUTED_VALUE"""),"Stream A")</f>
        <v>Stream A</v>
      </c>
      <c r="G100" s="61" t="str">
        <f>IFERROR(__xludf.DUMMYFUNCTION("""COMPUTED_VALUE"""),"Bo3")</f>
        <v>Bo3</v>
      </c>
      <c r="H100" s="153">
        <f>IFERROR(__xludf.DUMMYFUNCTION("""COMPUTED_VALUE"""),0.6770833333333333)</f>
        <v>0.6770833333</v>
      </c>
      <c r="I100" s="154"/>
      <c r="J100" s="154"/>
      <c r="K100" s="154"/>
      <c r="L100" s="154"/>
      <c r="M100" s="154"/>
      <c r="N100" s="61" t="str">
        <f>IFERROR(__xludf.DUMMYFUNCTION("""COMPUTED_VALUE"""),"Playoffs - Quarterfinal #4")</f>
        <v>Playoffs - Quarterfinal #4</v>
      </c>
      <c r="O100" s="61" t="str">
        <f>IFERROR(__xludf.DUMMYFUNCTION("""COMPUTED_VALUE"""),"Nigma Galaxy vs. BB Team")</f>
        <v>Nigma Galaxy vs. BB Team</v>
      </c>
      <c r="P100" s="54"/>
    </row>
    <row r="101">
      <c r="A101" s="144"/>
      <c r="C101" s="145">
        <f>IFERROR(__xludf.DUMMYFUNCTION("""COMPUTED_VALUE"""),46220.0)</f>
        <v>46220</v>
      </c>
      <c r="E101" s="160"/>
      <c r="F101" s="148"/>
      <c r="G101" s="148"/>
      <c r="H101" s="150">
        <f>IFERROR(__xludf.DUMMYFUNCTION("""COMPUTED_VALUE"""),0.8020833333333333)</f>
        <v>0.8020833333</v>
      </c>
      <c r="I101" s="151"/>
      <c r="J101" s="151"/>
      <c r="K101" s="151"/>
      <c r="L101" s="151"/>
      <c r="M101" s="151"/>
      <c r="N101" s="148"/>
      <c r="O101" s="149" t="str">
        <f>IFERROR(__xludf.DUMMYFUNCTION("""COMPUTED_VALUE""")," ")</f>
        <v> </v>
      </c>
      <c r="P101" s="54"/>
    </row>
    <row r="102">
      <c r="A102" s="161"/>
      <c r="B102" s="162">
        <f>IFERROR(__xludf.DUMMYFUNCTION("""COMPUTED_VALUE"""),11.0)</f>
        <v>11</v>
      </c>
      <c r="C102" s="162">
        <f>IFERROR(__xludf.DUMMYFUNCTION("""COMPUTED_VALUE"""),46221.0)</f>
        <v>46221</v>
      </c>
      <c r="D102" s="163">
        <f>IFERROR(__xludf.DUMMYFUNCTION("""COMPUTED_VALUE"""),46221.0)</f>
        <v>46221</v>
      </c>
      <c r="E102" s="164" t="str">
        <f>IFERROR(__xludf.DUMMYFUNCTION("""COMPUTED_VALUE"""),"MS3")</f>
        <v>MS3</v>
      </c>
      <c r="F102" s="165" t="str">
        <f>IFERROR(__xludf.DUMMYFUNCTION("""COMPUTED_VALUE"""),"Stream A")</f>
        <v>Stream A</v>
      </c>
      <c r="G102" s="165" t="str">
        <f>IFERROR(__xludf.DUMMYFUNCTION("""COMPUTED_VALUE"""),"Bo3")</f>
        <v>Bo3</v>
      </c>
      <c r="H102" s="166">
        <f>IFERROR(__xludf.DUMMYFUNCTION("""COMPUTED_VALUE"""),0.5416666666666666)</f>
        <v>0.5416666667</v>
      </c>
      <c r="I102" s="167"/>
      <c r="J102" s="167"/>
      <c r="K102" s="167"/>
      <c r="L102" s="167"/>
      <c r="M102" s="167"/>
      <c r="N102" s="165" t="str">
        <f>IFERROR(__xludf.DUMMYFUNCTION("""COMPUTED_VALUE"""),"Playoffs - Semifinal #1")</f>
        <v>Playoffs - Semifinal #1</v>
      </c>
      <c r="O102" s="174" t="str">
        <f>IFERROR(__xludf.DUMMYFUNCTION("""COMPUTED_VALUE"""),"BB Team vs. Vici Gaming")</f>
        <v>BB Team vs. Vici Gaming</v>
      </c>
      <c r="P102" s="54"/>
    </row>
    <row r="103">
      <c r="A103" s="144"/>
      <c r="C103" s="145">
        <f>IFERROR(__xludf.DUMMYFUNCTION("""COMPUTED_VALUE"""),46221.0)</f>
        <v>46221</v>
      </c>
      <c r="E103" s="147" t="str">
        <f>IFERROR(__xludf.DUMMYFUNCTION("""COMPUTED_VALUE"""),"MS3")</f>
        <v>MS3</v>
      </c>
      <c r="F103" s="61" t="str">
        <f>IFERROR(__xludf.DUMMYFUNCTION("""COMPUTED_VALUE"""),"Stream A")</f>
        <v>Stream A</v>
      </c>
      <c r="G103" s="61" t="str">
        <f>IFERROR(__xludf.DUMMYFUNCTION("""COMPUTED_VALUE"""),"Bo3")</f>
        <v>Bo3</v>
      </c>
      <c r="H103" s="153">
        <f>IFERROR(__xludf.DUMMYFUNCTION("""COMPUTED_VALUE"""),0.6875)</f>
        <v>0.6875</v>
      </c>
      <c r="I103" s="154"/>
      <c r="J103" s="154"/>
      <c r="K103" s="154"/>
      <c r="L103" s="154"/>
      <c r="M103" s="154"/>
      <c r="N103" s="61" t="str">
        <f>IFERROR(__xludf.DUMMYFUNCTION("""COMPUTED_VALUE"""),"Playoffs - Semifinal #2")</f>
        <v>Playoffs - Semifinal #2</v>
      </c>
      <c r="O103" s="176" t="str">
        <f>IFERROR(__xludf.DUMMYFUNCTION("""COMPUTED_VALUE"""),"Team Yandex vs. PVISION")</f>
        <v>Team Yandex vs. PVISION</v>
      </c>
      <c r="P103" s="54"/>
    </row>
    <row r="104">
      <c r="A104" s="168"/>
      <c r="B104" s="125"/>
      <c r="C104" s="169">
        <f>IFERROR(__xludf.DUMMYFUNCTION("""COMPUTED_VALUE"""),46221.0)</f>
        <v>46221</v>
      </c>
      <c r="D104" s="125"/>
      <c r="E104" s="170"/>
      <c r="F104" s="171"/>
      <c r="G104" s="171"/>
      <c r="H104" s="172">
        <f>IFERROR(__xludf.DUMMYFUNCTION("""COMPUTED_VALUE"""),0.8125)</f>
        <v>0.8125</v>
      </c>
      <c r="I104" s="173"/>
      <c r="J104" s="173"/>
      <c r="K104" s="173"/>
      <c r="L104" s="173"/>
      <c r="M104" s="173"/>
      <c r="N104" s="171"/>
      <c r="O104" s="171"/>
      <c r="P104" s="54"/>
    </row>
    <row r="105">
      <c r="A105" s="144"/>
      <c r="B105" s="145">
        <f>IFERROR(__xludf.DUMMYFUNCTION("""COMPUTED_VALUE"""),12.0)</f>
        <v>12</v>
      </c>
      <c r="C105" s="145">
        <f>IFERROR(__xludf.DUMMYFUNCTION("""COMPUTED_VALUE"""),46222.0)</f>
        <v>46222</v>
      </c>
      <c r="D105" s="146">
        <f>IFERROR(__xludf.DUMMYFUNCTION("""COMPUTED_VALUE"""),46222.0)</f>
        <v>46222</v>
      </c>
      <c r="E105" s="147" t="str">
        <f>IFERROR(__xludf.DUMMYFUNCTION("""COMPUTED_VALUE"""),"MS3")</f>
        <v>MS3</v>
      </c>
      <c r="F105" s="61" t="str">
        <f>IFERROR(__xludf.DUMMYFUNCTION("""COMPUTED_VALUE"""),"Stream A")</f>
        <v>Stream A</v>
      </c>
      <c r="G105" s="61" t="str">
        <f>IFERROR(__xludf.DUMMYFUNCTION("""COMPUTED_VALUE"""),"Bo3")</f>
        <v>Bo3</v>
      </c>
      <c r="H105" s="153">
        <f>IFERROR(__xludf.DUMMYFUNCTION("""COMPUTED_VALUE"""),0.5)</f>
        <v>0.5</v>
      </c>
      <c r="I105" s="154"/>
      <c r="J105" s="154"/>
      <c r="K105" s="154"/>
      <c r="L105" s="154"/>
      <c r="M105" s="154"/>
      <c r="N105" s="61" t="str">
        <f>IFERROR(__xludf.DUMMYFUNCTION("""COMPUTED_VALUE"""),"")</f>
        <v/>
      </c>
      <c r="O105" s="176" t="str">
        <f>IFERROR(__xludf.DUMMYFUNCTION("""COMPUTED_VALUE"""),"")</f>
        <v/>
      </c>
      <c r="P105" s="54" t="str">
        <f>IFERROR(__xludf.DUMMYFUNCTION("""COMPUTED_VALUE"""),"")</f>
        <v/>
      </c>
    </row>
    <row r="106">
      <c r="A106" s="144"/>
      <c r="C106" s="145">
        <f>IFERROR(__xludf.DUMMYFUNCTION("""COMPUTED_VALUE"""),46222.0)</f>
        <v>46222</v>
      </c>
      <c r="E106" s="147" t="str">
        <f>IFERROR(__xludf.DUMMYFUNCTION("""COMPUTED_VALUE"""),"MS3")</f>
        <v>MS3</v>
      </c>
      <c r="F106" s="61" t="str">
        <f>IFERROR(__xludf.DUMMYFUNCTION("""COMPUTED_VALUE"""),"Stream A")</f>
        <v>Stream A</v>
      </c>
      <c r="G106" s="61" t="str">
        <f>IFERROR(__xludf.DUMMYFUNCTION("""COMPUTED_VALUE"""),"Bo5")</f>
        <v>Bo5</v>
      </c>
      <c r="H106" s="153">
        <f>IFERROR(__xludf.DUMMYFUNCTION("""COMPUTED_VALUE"""),0.6458333333333334)</f>
        <v>0.6458333333</v>
      </c>
      <c r="I106" s="154"/>
      <c r="J106" s="154"/>
      <c r="K106" s="154"/>
      <c r="L106" s="154"/>
      <c r="M106" s="154"/>
      <c r="N106" s="61" t="str">
        <f>IFERROR(__xludf.DUMMYFUNCTION("""COMPUTED_VALUE"""),"")</f>
        <v/>
      </c>
      <c r="O106" s="176" t="str">
        <f>IFERROR(__xludf.DUMMYFUNCTION("""COMPUTED_VALUE"""),"")</f>
        <v/>
      </c>
      <c r="P106" s="54" t="str">
        <f>IFERROR(__xludf.DUMMYFUNCTION("""COMPUTED_VALUE"""),"")</f>
        <v/>
      </c>
    </row>
    <row r="107">
      <c r="A107" s="144"/>
      <c r="C107" s="177">
        <f>IFERROR(__xludf.DUMMYFUNCTION("""COMPUTED_VALUE"""),46222.0)</f>
        <v>46222</v>
      </c>
      <c r="E107" s="160"/>
      <c r="F107" s="151"/>
      <c r="G107" s="151"/>
      <c r="H107" s="150">
        <f>IFERROR(__xludf.DUMMYFUNCTION("""COMPUTED_VALUE"""),0.8333333333333334)</f>
        <v>0.8333333333</v>
      </c>
      <c r="I107" s="151"/>
      <c r="J107" s="151"/>
      <c r="K107" s="151"/>
      <c r="L107" s="151"/>
      <c r="M107" s="151"/>
      <c r="N107" s="148" t="str">
        <f>IFERROR(__xludf.DUMMYFUNCTION("""COMPUTED_VALUE"""),"")</f>
        <v/>
      </c>
      <c r="O107" s="148" t="str">
        <f>IFERROR(__xludf.DUMMYFUNCTION("""COMPUTED_VALUE"""),"")</f>
        <v/>
      </c>
      <c r="P107" s="54" t="str">
        <f>IFERROR(__xludf.DUMMYFUNCTION("""COMPUTED_VALUE"""),"")</f>
        <v/>
      </c>
    </row>
    <row r="108" hidden="1">
      <c r="A108" s="12"/>
      <c r="B108" s="178"/>
      <c r="C108" s="179" t="str">
        <f>IFERROR(__xludf.DUMMYFUNCTION("""COMPUTED_VALUE"""),".")</f>
        <v>.</v>
      </c>
      <c r="D108" s="1" t="str">
        <f>IFERROR(__xludf.DUMMYFUNCTION("""COMPUTED_VALUE"""),".")</f>
        <v>.</v>
      </c>
      <c r="E108" s="12"/>
      <c r="F108" s="180"/>
      <c r="G108" s="181"/>
      <c r="H108" s="180"/>
      <c r="I108" s="181"/>
      <c r="J108" s="181"/>
      <c r="K108" s="181"/>
      <c r="L108" s="181"/>
      <c r="M108" s="181"/>
      <c r="N108" s="12" t="str">
        <f>IFERROR(__xludf.DUMMYFUNCTION("""COMPUTED_VALUE"""),"")</f>
        <v/>
      </c>
      <c r="O108" s="12" t="str">
        <f>IFERROR(__xludf.DUMMYFUNCTION("""COMPUTED_VALUE"""),"")</f>
        <v/>
      </c>
      <c r="P108" s="12" t="str">
        <f>IFERROR(__xludf.DUMMYFUNCTION("""COMPUTED_VALUE"""),"")</f>
        <v/>
      </c>
    </row>
  </sheetData>
  <mergeCells count="36">
    <mergeCell ref="H4:M4"/>
    <mergeCell ref="N4:N6"/>
    <mergeCell ref="O4:O6"/>
    <mergeCell ref="P4:P6"/>
    <mergeCell ref="H5:H6"/>
    <mergeCell ref="F1:H1"/>
    <mergeCell ref="F2:H3"/>
    <mergeCell ref="B4:B6"/>
    <mergeCell ref="E4:E6"/>
    <mergeCell ref="F4:F6"/>
    <mergeCell ref="G4:G6"/>
    <mergeCell ref="B7:B19"/>
    <mergeCell ref="D59:D71"/>
    <mergeCell ref="D72:D84"/>
    <mergeCell ref="D85:D89"/>
    <mergeCell ref="D90:D95"/>
    <mergeCell ref="D96:D98"/>
    <mergeCell ref="D99:D101"/>
    <mergeCell ref="D102:D104"/>
    <mergeCell ref="D105:D107"/>
    <mergeCell ref="D4:D6"/>
    <mergeCell ref="D7:D19"/>
    <mergeCell ref="B20:B32"/>
    <mergeCell ref="D20:D32"/>
    <mergeCell ref="B33:B45"/>
    <mergeCell ref="D33:D45"/>
    <mergeCell ref="D46:D58"/>
    <mergeCell ref="B102:B104"/>
    <mergeCell ref="B105:B107"/>
    <mergeCell ref="B46:B58"/>
    <mergeCell ref="B59:B71"/>
    <mergeCell ref="B72:B84"/>
    <mergeCell ref="B85:B89"/>
    <mergeCell ref="B90:B95"/>
    <mergeCell ref="B96:B98"/>
    <mergeCell ref="B99:B101"/>
  </mergeCells>
  <conditionalFormatting sqref="F7:O108">
    <cfRule type="expression" dxfId="3" priority="1">
      <formula>$F7="Stream B"</formula>
    </cfRule>
  </conditionalFormatting>
  <conditionalFormatting sqref="F7:O108">
    <cfRule type="expression" dxfId="4" priority="2">
      <formula>$F7="Stream C"</formula>
    </cfRule>
  </conditionalFormatting>
  <conditionalFormatting sqref="F7:O108">
    <cfRule type="expression" dxfId="5" priority="3">
      <formula>$F7="Stream A"</formula>
    </cfRule>
  </conditionalFormatting>
  <conditionalFormatting sqref="P7:P108">
    <cfRule type="notContainsBlanks" dxfId="6" priority="4">
      <formula>LEN(TRIM(P7))&gt;0</formula>
    </cfRule>
  </conditionalFormatting>
  <dataValidations>
    <dataValidation type="list" allowBlank="1" showErrorMessage="1" sqref="F7:F107">
      <formula1>"Stream A,Stream B,Stream C"</formula1>
    </dataValidation>
    <dataValidation type="list" allowBlank="1" showErrorMessage="1" sqref="G7:G107">
      <formula1>"Bo1,Bo3,Bo5,Bo7,Bo9,Bo2,Bo1/Bo3"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0.13"/>
    <col customWidth="1" hidden="1" min="3" max="3" width="6.5"/>
    <col customWidth="1" min="4" max="4" width="18.88"/>
    <col customWidth="1" hidden="1" min="5" max="5" width="6.5"/>
    <col customWidth="1" min="6" max="6" width="10.13"/>
    <col customWidth="1" min="7" max="7" width="7.63"/>
    <col customWidth="1" min="8" max="8" width="10.13"/>
    <col customWidth="1" hidden="1" min="9" max="13" width="8.88"/>
    <col customWidth="1" min="14" max="16" width="28.63"/>
  </cols>
  <sheetData>
    <row r="1">
      <c r="A1" s="1"/>
      <c r="B1" s="1"/>
      <c r="C1" s="1"/>
      <c r="D1" s="1"/>
      <c r="E1" s="1"/>
      <c r="F1" s="1"/>
      <c r="I1" s="1"/>
      <c r="J1" s="1"/>
      <c r="K1" s="1"/>
      <c r="L1" s="1"/>
      <c r="M1" s="1"/>
      <c r="N1" s="2" t="s">
        <v>0</v>
      </c>
      <c r="O1" s="3" t="s">
        <v>1</v>
      </c>
      <c r="P1" s="4" t="s">
        <v>2</v>
      </c>
    </row>
    <row r="2" ht="42.75" customHeight="1">
      <c r="A2" s="1"/>
      <c r="B2" s="1"/>
      <c r="C2" s="1"/>
      <c r="D2" s="1"/>
      <c r="E2" s="1"/>
      <c r="F2" s="1"/>
      <c r="I2" s="1"/>
      <c r="J2" s="1"/>
      <c r="K2" s="1"/>
      <c r="L2" s="1"/>
      <c r="M2" s="1"/>
      <c r="N2" s="6"/>
      <c r="O2" s="7"/>
      <c r="P2" s="8"/>
    </row>
    <row r="3">
      <c r="A3" s="1"/>
      <c r="B3" s="1"/>
      <c r="C3" s="1"/>
      <c r="D3" s="1"/>
      <c r="E3" s="1"/>
      <c r="I3" s="1"/>
      <c r="J3" s="1"/>
      <c r="K3" s="1"/>
      <c r="L3" s="1"/>
      <c r="M3" s="1"/>
      <c r="N3" s="1"/>
      <c r="O3" s="1"/>
      <c r="P3" s="1"/>
    </row>
    <row r="4">
      <c r="A4" s="12"/>
      <c r="B4" s="13" t="s">
        <v>3</v>
      </c>
      <c r="C4" s="14"/>
      <c r="D4" s="16" t="s">
        <v>4</v>
      </c>
      <c r="E4" s="13" t="s">
        <v>5</v>
      </c>
      <c r="F4" s="16" t="s">
        <v>6</v>
      </c>
      <c r="G4" s="16" t="s">
        <v>7</v>
      </c>
      <c r="H4" s="20" t="s">
        <v>8</v>
      </c>
      <c r="I4" s="21"/>
      <c r="J4" s="21"/>
      <c r="K4" s="21"/>
      <c r="L4" s="21"/>
      <c r="M4" s="22"/>
      <c r="N4" s="16" t="s">
        <v>9</v>
      </c>
      <c r="O4" s="16" t="s">
        <v>10</v>
      </c>
      <c r="P4" s="16" t="s">
        <v>11</v>
      </c>
    </row>
    <row r="5">
      <c r="A5" s="12"/>
      <c r="B5" s="24"/>
      <c r="C5" s="14"/>
      <c r="D5" s="24"/>
      <c r="E5" s="24"/>
      <c r="F5" s="24"/>
      <c r="G5" s="24"/>
      <c r="H5" s="27" t="s">
        <v>12</v>
      </c>
      <c r="I5" s="28" t="s">
        <v>13</v>
      </c>
      <c r="J5" s="28" t="s">
        <v>14</v>
      </c>
      <c r="K5" s="28" t="s">
        <v>15</v>
      </c>
      <c r="L5" s="28" t="s">
        <v>16</v>
      </c>
      <c r="M5" s="28" t="s">
        <v>17</v>
      </c>
      <c r="N5" s="24"/>
      <c r="O5" s="24"/>
      <c r="P5" s="24"/>
    </row>
    <row r="6">
      <c r="A6" s="12"/>
      <c r="B6" s="32"/>
      <c r="C6" s="34"/>
      <c r="D6" s="32"/>
      <c r="E6" s="32"/>
      <c r="F6" s="32"/>
      <c r="G6" s="32"/>
      <c r="H6" s="32"/>
      <c r="I6" s="36">
        <v>-1.0</v>
      </c>
      <c r="J6" s="36">
        <v>-7.0</v>
      </c>
      <c r="K6" s="37" t="s">
        <v>18</v>
      </c>
      <c r="L6" s="37" t="s">
        <v>19</v>
      </c>
      <c r="M6" s="37" t="s">
        <v>20</v>
      </c>
      <c r="N6" s="32"/>
      <c r="O6" s="32"/>
      <c r="P6" s="32"/>
    </row>
    <row r="7">
      <c r="A7" s="12"/>
      <c r="B7" s="40">
        <v>1.0</v>
      </c>
      <c r="C7" s="48" t="str">
        <f t="array" ref="C7">iferror( 
      vlookup(
        row(D7:D110), 
        if( len(D7:D110), { row(D7:D110), D7:D110 } ), 
        2, 
        true 
      ) 
    ,"")</f>
        <v>#REF!</v>
      </c>
      <c r="D7" s="48"/>
      <c r="E7" s="51" t="str">
        <f t="array" ref="E7">IF(
  F7="End",
  "",
  IFERROR(
    INDEX(stage!$C$2:$D$100, MATCH(C7, stage!$B$2:$B$100, 0), 
      IF(OR(F7="Stream A", F7="A End"), 1, 2)
    ),
    ""
  )
)</f>
        <v/>
      </c>
      <c r="F7" s="54" t="s">
        <v>21</v>
      </c>
      <c r="G7" s="54" t="s">
        <v>22</v>
      </c>
      <c r="H7" s="56">
        <v>0.5</v>
      </c>
      <c r="I7" s="57"/>
      <c r="J7" s="57"/>
      <c r="K7" s="57"/>
      <c r="L7" s="57"/>
      <c r="M7" s="57"/>
      <c r="N7" s="72" t="s">
        <v>23</v>
      </c>
      <c r="O7" s="57"/>
      <c r="P7" s="54"/>
    </row>
    <row r="8">
      <c r="A8" s="12"/>
      <c r="C8" s="48"/>
      <c r="D8" s="48"/>
      <c r="E8" s="51" t="str">
        <f t="array" ref="E8">IF(
  F8="End",
  "",
  IFERROR(
    INDEX(stage!$C$2:$D$100, MATCH(C8, stage!$B$2:$B$100, 0), 
      IF(OR(F8="Stream A", F8="A End"), 1, 2)
    ),
    ""
  )
)</f>
        <v/>
      </c>
      <c r="F8" s="54" t="s">
        <v>25</v>
      </c>
      <c r="G8" s="54" t="s">
        <v>22</v>
      </c>
      <c r="H8" s="56">
        <f>H7</f>
        <v>0.5</v>
      </c>
      <c r="I8" s="57"/>
      <c r="J8" s="57"/>
      <c r="K8" s="57"/>
      <c r="L8" s="57"/>
      <c r="M8" s="57"/>
      <c r="N8" s="72" t="s">
        <v>26</v>
      </c>
      <c r="O8" s="57"/>
      <c r="P8" s="54"/>
    </row>
    <row r="9">
      <c r="A9" s="12"/>
      <c r="C9" s="48"/>
      <c r="D9" s="48"/>
      <c r="E9" s="51" t="str">
        <f t="array" ref="E9">IF(
  F9="End",
  "",
  IFERROR(
    INDEX(stage!$C$2:$D$100, MATCH(C9, stage!$B$2:$B$100, 0), 
      IF(OR(F9="Stream A", F9="A End"), 1, 2)
    ),
    ""
  )
)</f>
        <v/>
      </c>
      <c r="F9" s="54" t="s">
        <v>27</v>
      </c>
      <c r="G9" s="54" t="s">
        <v>22</v>
      </c>
      <c r="H9" s="56">
        <f>H7</f>
        <v>0.5</v>
      </c>
      <c r="I9" s="57"/>
      <c r="J9" s="57"/>
      <c r="K9" s="57"/>
      <c r="L9" s="57"/>
      <c r="M9" s="57"/>
      <c r="N9" s="72" t="s">
        <v>28</v>
      </c>
      <c r="O9" s="57"/>
      <c r="P9" s="54"/>
    </row>
    <row r="10">
      <c r="A10" s="12"/>
      <c r="C10" s="48"/>
      <c r="D10" s="48"/>
      <c r="E10" s="51" t="str">
        <f t="array" ref="E10">IF(
  F10="End",
  "",
  IFERROR(
    INDEX(stage!$C$2:$D$100, MATCH(C10, stage!$B$2:$B$100, 0), 
      IF(OR(F10="Stream A", F10="A End"), 1, 2)
    ),
    ""
  )
)</f>
        <v/>
      </c>
      <c r="F10" s="54" t="s">
        <v>21</v>
      </c>
      <c r="G10" s="54" t="s">
        <v>22</v>
      </c>
      <c r="H10" s="56">
        <f>H7+"02:30:00"</f>
        <v>0.6041666667</v>
      </c>
      <c r="I10" s="57"/>
      <c r="J10" s="57"/>
      <c r="K10" s="57"/>
      <c r="L10" s="57"/>
      <c r="M10" s="57"/>
      <c r="N10" s="72" t="s">
        <v>29</v>
      </c>
      <c r="O10" s="57"/>
      <c r="P10" s="54"/>
    </row>
    <row r="11">
      <c r="A11" s="12"/>
      <c r="C11" s="48"/>
      <c r="D11" s="48"/>
      <c r="E11" s="51" t="str">
        <f t="array" ref="E11">IF(
  F11="End",
  "",
  IFERROR(
    INDEX(stage!$C$2:$D$100, MATCH(C11, stage!$B$2:$B$100, 0), 
      IF(OR(F11="Stream A", F11="A End"), 1, 2)
    ),
    ""
  )
)</f>
        <v/>
      </c>
      <c r="F11" s="54" t="s">
        <v>25</v>
      </c>
      <c r="G11" s="54" t="s">
        <v>22</v>
      </c>
      <c r="H11" s="56">
        <f t="shared" ref="H11:H12" si="1">H10</f>
        <v>0.6041666667</v>
      </c>
      <c r="I11" s="57"/>
      <c r="J11" s="57"/>
      <c r="K11" s="57"/>
      <c r="L11" s="57"/>
      <c r="M11" s="57"/>
      <c r="N11" s="72" t="s">
        <v>30</v>
      </c>
      <c r="O11" s="57"/>
      <c r="P11" s="54"/>
    </row>
    <row r="12">
      <c r="A12" s="12"/>
      <c r="C12" s="48"/>
      <c r="D12" s="48"/>
      <c r="E12" s="51" t="str">
        <f t="array" ref="E12">IF(
  F12="End",
  "",
  IFERROR(
    INDEX(stage!$C$2:$D$100, MATCH(C12, stage!$B$2:$B$100, 0), 
      IF(OR(F12="Stream A", F12="A End"), 1, 2)
    ),
    ""
  )
)</f>
        <v/>
      </c>
      <c r="F12" s="54" t="s">
        <v>27</v>
      </c>
      <c r="G12" s="54" t="s">
        <v>22</v>
      </c>
      <c r="H12" s="56">
        <f t="shared" si="1"/>
        <v>0.6041666667</v>
      </c>
      <c r="I12" s="57"/>
      <c r="J12" s="57"/>
      <c r="K12" s="57"/>
      <c r="L12" s="57"/>
      <c r="M12" s="57"/>
      <c r="N12" s="72" t="s">
        <v>31</v>
      </c>
      <c r="O12" s="57"/>
      <c r="P12" s="54"/>
    </row>
    <row r="13">
      <c r="A13" s="12"/>
      <c r="C13" s="48"/>
      <c r="D13" s="48"/>
      <c r="E13" s="51" t="str">
        <f t="array" ref="E13">IF(
  F13="End",
  "",
  IFERROR(
    INDEX(stage!$C$2:$D$100, MATCH(C13, stage!$B$2:$B$100, 0), 
      IF(OR(F13="Stream A", F13="A End"), 1, 2)
    ),
    ""
  )
)</f>
        <v/>
      </c>
      <c r="F13" s="54" t="s">
        <v>21</v>
      </c>
      <c r="G13" s="54" t="s">
        <v>22</v>
      </c>
      <c r="H13" s="56">
        <f>H10+"02:30:00"</f>
        <v>0.7083333333</v>
      </c>
      <c r="I13" s="57"/>
      <c r="J13" s="57"/>
      <c r="K13" s="57"/>
      <c r="L13" s="57"/>
      <c r="M13" s="57"/>
      <c r="N13" s="72" t="s">
        <v>32</v>
      </c>
      <c r="O13" s="57"/>
      <c r="P13" s="54"/>
    </row>
    <row r="14">
      <c r="A14" s="12"/>
      <c r="C14" s="48"/>
      <c r="D14" s="48"/>
      <c r="E14" s="51" t="str">
        <f t="array" ref="E14">IF(
  F14="End",
  "",
  IFERROR(
    INDEX(stage!$C$2:$D$100, MATCH(C14, stage!$B$2:$B$100, 0), 
      IF(OR(F14="Stream A", F14="A End"), 1, 2)
    ),
    ""
  )
)</f>
        <v/>
      </c>
      <c r="F14" s="54" t="s">
        <v>25</v>
      </c>
      <c r="G14" s="54" t="s">
        <v>22</v>
      </c>
      <c r="H14" s="56">
        <f t="shared" ref="H14:H15" si="2">H13</f>
        <v>0.7083333333</v>
      </c>
      <c r="I14" s="57"/>
      <c r="J14" s="57"/>
      <c r="K14" s="57"/>
      <c r="L14" s="57"/>
      <c r="M14" s="57"/>
      <c r="N14" s="72" t="s">
        <v>33</v>
      </c>
      <c r="O14" s="57"/>
      <c r="P14" s="54"/>
    </row>
    <row r="15">
      <c r="A15" s="12"/>
      <c r="C15" s="48"/>
      <c r="D15" s="48"/>
      <c r="E15" s="51" t="str">
        <f t="array" ref="E15">IF(
  F15="End",
  "",
  IFERROR(
    INDEX(stage!$C$2:$D$100, MATCH(C15, stage!$B$2:$B$100, 0), 
      IF(OR(F15="Stream A", F15="A End"), 1, 2)
    ),
    ""
  )
)</f>
        <v/>
      </c>
      <c r="F15" s="54" t="s">
        <v>27</v>
      </c>
      <c r="G15" s="54" t="s">
        <v>22</v>
      </c>
      <c r="H15" s="56">
        <f t="shared" si="2"/>
        <v>0.7083333333</v>
      </c>
      <c r="I15" s="57"/>
      <c r="J15" s="57"/>
      <c r="K15" s="57"/>
      <c r="L15" s="57"/>
      <c r="M15" s="57"/>
      <c r="N15" s="72" t="s">
        <v>34</v>
      </c>
      <c r="O15" s="57"/>
      <c r="P15" s="54"/>
    </row>
    <row r="16">
      <c r="A16" s="12"/>
      <c r="C16" s="48"/>
      <c r="D16" s="48"/>
      <c r="E16" s="51" t="str">
        <f t="array" ref="E16">IF(
  F16="End",
  "",
  IFERROR(
    INDEX(stage!$C$2:$D$100, MATCH(C16, stage!$B$2:$B$100, 0), 
      IF(OR(F16="Stream A", F16="A End"), 1, 2)
    ),
    ""
  )
)</f>
        <v/>
      </c>
      <c r="F16" s="54" t="s">
        <v>21</v>
      </c>
      <c r="G16" s="54" t="s">
        <v>22</v>
      </c>
      <c r="H16" s="56">
        <f>H13+"02:30:00"</f>
        <v>0.8125</v>
      </c>
      <c r="I16" s="57"/>
      <c r="J16" s="57"/>
      <c r="K16" s="57"/>
      <c r="L16" s="57"/>
      <c r="M16" s="57"/>
      <c r="N16" s="72" t="s">
        <v>35</v>
      </c>
      <c r="O16" s="57"/>
      <c r="P16" s="54"/>
    </row>
    <row r="17">
      <c r="A17" s="12"/>
      <c r="C17" s="48"/>
      <c r="D17" s="48"/>
      <c r="E17" s="51" t="str">
        <f t="array" ref="E17">IF(
  F17="End",
  "",
  IFERROR(
    INDEX(stage!$C$2:$D$100, MATCH(C17, stage!$B$2:$B$100, 0), 
      IF(OR(F17="Stream A", F17="A End"), 1, 2)
    ),
    ""
  )
)</f>
        <v/>
      </c>
      <c r="F17" s="54" t="s">
        <v>25</v>
      </c>
      <c r="G17" s="54" t="s">
        <v>22</v>
      </c>
      <c r="H17" s="56">
        <f t="shared" ref="H17:H18" si="3">H16</f>
        <v>0.8125</v>
      </c>
      <c r="I17" s="57"/>
      <c r="J17" s="57"/>
      <c r="K17" s="57"/>
      <c r="L17" s="57"/>
      <c r="M17" s="57"/>
      <c r="N17" s="72" t="s">
        <v>36</v>
      </c>
      <c r="O17" s="57"/>
      <c r="P17" s="54"/>
    </row>
    <row r="18">
      <c r="A18" s="12"/>
      <c r="C18" s="83"/>
      <c r="D18" s="48"/>
      <c r="E18" s="51" t="str">
        <f t="array" ref="E18">IF(
  F18="End",
  "",
  IFERROR(
    INDEX(stage!$C$2:$D$100, MATCH(C18, stage!$B$2:$B$100, 0), 
      IF(OR(F18="Stream A", F18="A End"), 1, 2)
    ),
    ""
  )
)</f>
        <v/>
      </c>
      <c r="F18" s="54" t="s">
        <v>27</v>
      </c>
      <c r="G18" s="54" t="s">
        <v>22</v>
      </c>
      <c r="H18" s="56">
        <f t="shared" si="3"/>
        <v>0.8125</v>
      </c>
      <c r="I18" s="85"/>
      <c r="J18" s="85"/>
      <c r="K18" s="85"/>
      <c r="L18" s="85"/>
      <c r="M18" s="85"/>
      <c r="N18" s="72" t="s">
        <v>37</v>
      </c>
      <c r="O18" s="54"/>
      <c r="P18" s="54"/>
    </row>
    <row r="19">
      <c r="A19" s="12"/>
      <c r="C19" s="48"/>
      <c r="D19" s="48"/>
      <c r="E19" s="51" t="str">
        <f t="array" ref="E19">IF(
  F19="End",
  "",
  IFERROR(
    INDEX(stage!$C$2:$D$100, MATCH(C19, stage!$B$2:$B$100, 0), 
      IF(OR(F19="Stream A", F19="A End"), 1, 2)
    ),
    ""
  )
)</f>
        <v/>
      </c>
      <c r="F19" s="54"/>
      <c r="G19" s="54"/>
      <c r="H19" s="56">
        <f>H16+"02:00:00"</f>
        <v>0.8958333333</v>
      </c>
      <c r="I19" s="85"/>
      <c r="J19" s="85"/>
      <c r="K19" s="85"/>
      <c r="L19" s="85"/>
      <c r="M19" s="85"/>
      <c r="N19" s="86"/>
      <c r="O19" s="54"/>
      <c r="P19" s="54"/>
    </row>
    <row r="20">
      <c r="A20" s="89"/>
      <c r="B20" s="90">
        <v>2.0</v>
      </c>
      <c r="C20" s="83"/>
      <c r="D20" s="83"/>
      <c r="E20" s="119" t="str">
        <f t="array" ref="E20">IF(
  F20="End",
  "",
  IFERROR(
    INDEX(stage!$C$2:$D$100, MATCH(C20, stage!$B$2:$B$100, 0), 
      IF(OR(F20="Stream A", F20="A End"), 1, 2)
    ),
    ""
  )
)</f>
        <v/>
      </c>
      <c r="F20" s="92" t="s">
        <v>21</v>
      </c>
      <c r="G20" s="92" t="s">
        <v>22</v>
      </c>
      <c r="H20" s="93">
        <v>0.5</v>
      </c>
      <c r="I20" s="94"/>
      <c r="J20" s="94"/>
      <c r="K20" s="94"/>
      <c r="L20" s="94"/>
      <c r="M20" s="94"/>
      <c r="N20" s="72" t="s">
        <v>38</v>
      </c>
      <c r="O20" s="94"/>
      <c r="P20" s="92"/>
    </row>
    <row r="21">
      <c r="A21" s="12"/>
      <c r="C21" s="48"/>
      <c r="D21" s="48"/>
      <c r="E21" s="51" t="str">
        <f t="array" ref="E21">IF(
  F21="End",
  "",
  IFERROR(
    INDEX(stage!$C$2:$D$100, MATCH(C21, stage!$B$2:$B$100, 0), 
      IF(OR(F21="Stream A", F21="A End"), 1, 2)
    ),
    ""
  )
)</f>
        <v/>
      </c>
      <c r="F21" s="54" t="s">
        <v>25</v>
      </c>
      <c r="G21" s="54" t="s">
        <v>22</v>
      </c>
      <c r="H21" s="56">
        <f>H20</f>
        <v>0.5</v>
      </c>
      <c r="I21" s="57"/>
      <c r="J21" s="57"/>
      <c r="K21" s="57"/>
      <c r="L21" s="57"/>
      <c r="M21" s="57"/>
      <c r="N21" s="72" t="s">
        <v>39</v>
      </c>
      <c r="O21" s="57"/>
      <c r="P21" s="54"/>
    </row>
    <row r="22">
      <c r="A22" s="12"/>
      <c r="C22" s="48"/>
      <c r="D22" s="48"/>
      <c r="E22" s="51" t="str">
        <f t="array" ref="E22">IF(
  F22="End",
  "",
  IFERROR(
    INDEX(stage!$C$2:$D$100, MATCH(C22, stage!$B$2:$B$100, 0), 
      IF(OR(F22="Stream A", F22="A End"), 1, 2)
    ),
    ""
  )
)</f>
        <v/>
      </c>
      <c r="F22" s="54" t="s">
        <v>27</v>
      </c>
      <c r="G22" s="54" t="s">
        <v>22</v>
      </c>
      <c r="H22" s="56">
        <f>H20</f>
        <v>0.5</v>
      </c>
      <c r="I22" s="57"/>
      <c r="J22" s="57"/>
      <c r="K22" s="57"/>
      <c r="L22" s="57"/>
      <c r="M22" s="57"/>
      <c r="N22" s="72" t="s">
        <v>40</v>
      </c>
      <c r="O22" s="57"/>
      <c r="P22" s="54"/>
    </row>
    <row r="23">
      <c r="A23" s="12"/>
      <c r="C23" s="48"/>
      <c r="D23" s="48"/>
      <c r="E23" s="51" t="str">
        <f t="array" ref="E23">IF(
  F23="End",
  "",
  IFERROR(
    INDEX(stage!$C$2:$D$100, MATCH(C23, stage!$B$2:$B$100, 0), 
      IF(OR(F23="Stream A", F23="A End"), 1, 2)
    ),
    ""
  )
)</f>
        <v/>
      </c>
      <c r="F23" s="54" t="s">
        <v>21</v>
      </c>
      <c r="G23" s="54" t="s">
        <v>22</v>
      </c>
      <c r="H23" s="56">
        <f>H20+"02:30:00"</f>
        <v>0.6041666667</v>
      </c>
      <c r="I23" s="57"/>
      <c r="J23" s="57"/>
      <c r="K23" s="57"/>
      <c r="L23" s="57"/>
      <c r="M23" s="57"/>
      <c r="N23" s="72" t="s">
        <v>41</v>
      </c>
      <c r="O23" s="57"/>
      <c r="P23" s="54"/>
    </row>
    <row r="24">
      <c r="A24" s="12"/>
      <c r="C24" s="48"/>
      <c r="D24" s="48"/>
      <c r="E24" s="51" t="str">
        <f t="array" ref="E24">IF(
  F24="End",
  "",
  IFERROR(
    INDEX(stage!$C$2:$D$100, MATCH(C24, stage!$B$2:$B$100, 0), 
      IF(OR(F24="Stream A", F24="A End"), 1, 2)
    ),
    ""
  )
)</f>
        <v/>
      </c>
      <c r="F24" s="54" t="s">
        <v>25</v>
      </c>
      <c r="G24" s="54" t="s">
        <v>22</v>
      </c>
      <c r="H24" s="56">
        <f t="shared" ref="H24:H25" si="4">H23</f>
        <v>0.6041666667</v>
      </c>
      <c r="I24" s="57"/>
      <c r="J24" s="57"/>
      <c r="K24" s="57"/>
      <c r="L24" s="57"/>
      <c r="M24" s="57"/>
      <c r="N24" s="72" t="s">
        <v>42</v>
      </c>
      <c r="O24" s="57"/>
      <c r="P24" s="54"/>
    </row>
    <row r="25">
      <c r="A25" s="12"/>
      <c r="C25" s="48"/>
      <c r="D25" s="48"/>
      <c r="E25" s="51" t="str">
        <f t="array" ref="E25">IF(
  F25="End",
  "",
  IFERROR(
    INDEX(stage!$C$2:$D$100, MATCH(C25, stage!$B$2:$B$100, 0), 
      IF(OR(F25="Stream A", F25="A End"), 1, 2)
    ),
    ""
  )
)</f>
        <v/>
      </c>
      <c r="F25" s="54" t="s">
        <v>27</v>
      </c>
      <c r="G25" s="54" t="s">
        <v>22</v>
      </c>
      <c r="H25" s="56">
        <f t="shared" si="4"/>
        <v>0.6041666667</v>
      </c>
      <c r="I25" s="57"/>
      <c r="J25" s="57"/>
      <c r="K25" s="57"/>
      <c r="L25" s="57"/>
      <c r="M25" s="57"/>
      <c r="N25" s="72" t="s">
        <v>43</v>
      </c>
      <c r="O25" s="57"/>
      <c r="P25" s="54"/>
    </row>
    <row r="26">
      <c r="A26" s="12"/>
      <c r="C26" s="48"/>
      <c r="D26" s="48"/>
      <c r="E26" s="51" t="str">
        <f t="array" ref="E26">IF(
  F26="End",
  "",
  IFERROR(
    INDEX(stage!$C$2:$D$100, MATCH(C26, stage!$B$2:$B$100, 0), 
      IF(OR(F26="Stream A", F26="A End"), 1, 2)
    ),
    ""
  )
)</f>
        <v/>
      </c>
      <c r="F26" s="54" t="s">
        <v>21</v>
      </c>
      <c r="G26" s="54" t="s">
        <v>22</v>
      </c>
      <c r="H26" s="56">
        <f>H23+"02:30:00"</f>
        <v>0.7083333333</v>
      </c>
      <c r="I26" s="57"/>
      <c r="J26" s="57"/>
      <c r="K26" s="57"/>
      <c r="L26" s="57"/>
      <c r="M26" s="57"/>
      <c r="N26" s="72" t="s">
        <v>44</v>
      </c>
      <c r="O26" s="57"/>
      <c r="P26" s="54"/>
    </row>
    <row r="27">
      <c r="A27" s="12"/>
      <c r="C27" s="48"/>
      <c r="D27" s="48"/>
      <c r="E27" s="51" t="str">
        <f t="array" ref="E27">IF(
  F27="End",
  "",
  IFERROR(
    INDEX(stage!$C$2:$D$100, MATCH(C27, stage!$B$2:$B$100, 0), 
      IF(OR(F27="Stream A", F27="A End"), 1, 2)
    ),
    ""
  )
)</f>
        <v/>
      </c>
      <c r="F27" s="54" t="s">
        <v>25</v>
      </c>
      <c r="G27" s="54" t="s">
        <v>22</v>
      </c>
      <c r="H27" s="56">
        <f t="shared" ref="H27:H28" si="5">H26</f>
        <v>0.7083333333</v>
      </c>
      <c r="I27" s="57"/>
      <c r="J27" s="57"/>
      <c r="K27" s="57"/>
      <c r="L27" s="57"/>
      <c r="M27" s="57"/>
      <c r="N27" s="72" t="s">
        <v>45</v>
      </c>
      <c r="O27" s="57"/>
      <c r="P27" s="54"/>
    </row>
    <row r="28">
      <c r="A28" s="12"/>
      <c r="C28" s="117"/>
      <c r="D28" s="48"/>
      <c r="E28" s="51" t="str">
        <f t="array" ref="E28">IF(
  F28="End",
  "",
  IFERROR(
    INDEX(stage!$C$2:$D$100, MATCH(C28, stage!$B$2:$B$100, 0), 
      IF(OR(F28="Stream A", F28="A End"), 1, 2)
    ),
    ""
  )
)</f>
        <v/>
      </c>
      <c r="F28" s="54" t="s">
        <v>27</v>
      </c>
      <c r="G28" s="54" t="s">
        <v>22</v>
      </c>
      <c r="H28" s="56">
        <f t="shared" si="5"/>
        <v>0.7083333333</v>
      </c>
      <c r="I28" s="57"/>
      <c r="J28" s="57"/>
      <c r="K28" s="57"/>
      <c r="L28" s="57"/>
      <c r="M28" s="57"/>
      <c r="N28" s="72" t="s">
        <v>46</v>
      </c>
      <c r="O28" s="57"/>
      <c r="P28" s="54"/>
    </row>
    <row r="29">
      <c r="A29" s="12"/>
      <c r="C29" s="48"/>
      <c r="D29" s="48"/>
      <c r="E29" s="51" t="str">
        <f t="array" ref="E29">IF(
  F29="End",
  "",
  IFERROR(
    INDEX(stage!$C$2:$D$100, MATCH(C29, stage!$B$2:$B$100, 0), 
      IF(OR(F29="Stream A", F29="A End"), 1, 2)
    ),
    ""
  )
)</f>
        <v/>
      </c>
      <c r="F29" s="54" t="s">
        <v>21</v>
      </c>
      <c r="G29" s="54" t="s">
        <v>22</v>
      </c>
      <c r="H29" s="56">
        <f>H26+"02:30:00"</f>
        <v>0.8125</v>
      </c>
      <c r="I29" s="57"/>
      <c r="J29" s="57"/>
      <c r="K29" s="57"/>
      <c r="L29" s="57"/>
      <c r="M29" s="57"/>
      <c r="N29" s="72" t="s">
        <v>48</v>
      </c>
      <c r="O29" s="57"/>
      <c r="P29" s="54"/>
    </row>
    <row r="30">
      <c r="A30" s="12"/>
      <c r="C30" s="48"/>
      <c r="D30" s="48"/>
      <c r="E30" s="51" t="str">
        <f t="array" ref="E30">IF(
  F30="End",
  "",
  IFERROR(
    INDEX(stage!$C$2:$D$100, MATCH(C30, stage!$B$2:$B$100, 0), 
      IF(OR(F30="Stream A", F30="A End"), 1, 2)
    ),
    ""
  )
)</f>
        <v/>
      </c>
      <c r="F30" s="54" t="s">
        <v>25</v>
      </c>
      <c r="G30" s="54" t="s">
        <v>22</v>
      </c>
      <c r="H30" s="56">
        <f t="shared" ref="H30:H31" si="6">H29</f>
        <v>0.8125</v>
      </c>
      <c r="I30" s="57"/>
      <c r="J30" s="57"/>
      <c r="K30" s="57"/>
      <c r="L30" s="57"/>
      <c r="M30" s="57"/>
      <c r="N30" s="72" t="s">
        <v>49</v>
      </c>
      <c r="O30" s="57"/>
      <c r="P30" s="54"/>
    </row>
    <row r="31">
      <c r="A31" s="12"/>
      <c r="C31" s="48"/>
      <c r="D31" s="48"/>
      <c r="E31" s="51" t="str">
        <f t="array" ref="E31">IF(
  F31="End",
  "",
  IFERROR(
    INDEX(stage!$C$2:$D$100, MATCH(C31, stage!$B$2:$B$100, 0), 
      IF(OR(F31="Stream A", F31="A End"), 1, 2)
    ),
    ""
  )
)</f>
        <v/>
      </c>
      <c r="F31" s="54" t="s">
        <v>27</v>
      </c>
      <c r="G31" s="54" t="s">
        <v>22</v>
      </c>
      <c r="H31" s="56">
        <f t="shared" si="6"/>
        <v>0.8125</v>
      </c>
      <c r="I31" s="85"/>
      <c r="J31" s="85"/>
      <c r="K31" s="85"/>
      <c r="L31" s="85"/>
      <c r="M31" s="85"/>
      <c r="N31" s="72" t="s">
        <v>50</v>
      </c>
      <c r="O31" s="54"/>
      <c r="P31" s="54"/>
    </row>
    <row r="32">
      <c r="A32" s="124"/>
      <c r="B32" s="125"/>
      <c r="C32" s="117"/>
      <c r="D32" s="117"/>
      <c r="E32" s="137" t="str">
        <f t="array" ref="E32">IF(
  F32="End",
  "",
  IFERROR(
    INDEX(stage!$C$2:$D$100, MATCH(C32, stage!$B$2:$B$100, 0), 
      IF(OR(F32="Stream A", F32="A End"), 1, 2)
    ),
    ""
  )
)</f>
        <v/>
      </c>
      <c r="F32" s="86"/>
      <c r="G32" s="86"/>
      <c r="H32" s="126">
        <f>H29+"02:00:00"</f>
        <v>0.8958333333</v>
      </c>
      <c r="I32" s="127"/>
      <c r="J32" s="127"/>
      <c r="K32" s="127"/>
      <c r="L32" s="127"/>
      <c r="M32" s="127"/>
      <c r="N32" s="86"/>
      <c r="O32" s="86"/>
      <c r="P32" s="86"/>
    </row>
    <row r="33">
      <c r="A33" s="12"/>
      <c r="B33" s="40">
        <v>3.0</v>
      </c>
      <c r="C33" s="48"/>
      <c r="D33" s="48"/>
      <c r="E33" s="51" t="str">
        <f t="array" ref="E33">IF(
  F33="End",
  "",
  IFERROR(
    INDEX(stage!$C$2:$D$100, MATCH(C33, stage!$B$2:$B$100, 0), 
      IF(OR(F33="Stream A", F33="A End"), 1, 2)
    ),
    ""
  )
)</f>
        <v/>
      </c>
      <c r="F33" s="54" t="s">
        <v>21</v>
      </c>
      <c r="G33" s="54" t="s">
        <v>22</v>
      </c>
      <c r="H33" s="56">
        <v>0.5</v>
      </c>
      <c r="I33" s="57"/>
      <c r="J33" s="57"/>
      <c r="K33" s="57"/>
      <c r="L33" s="57"/>
      <c r="M33" s="57"/>
      <c r="N33" s="72" t="s">
        <v>51</v>
      </c>
      <c r="O33" s="57"/>
      <c r="P33" s="54"/>
    </row>
    <row r="34">
      <c r="A34" s="12"/>
      <c r="C34" s="48"/>
      <c r="D34" s="48"/>
      <c r="E34" s="51" t="str">
        <f t="array" ref="E34">IF(
  F34="End",
  "",
  IFERROR(
    INDEX(stage!$C$2:$D$100, MATCH(C34, stage!$B$2:$B$100, 0), 
      IF(OR(F34="Stream A", F34="A End"), 1, 2)
    ),
    ""
  )
)</f>
        <v/>
      </c>
      <c r="F34" s="54" t="s">
        <v>25</v>
      </c>
      <c r="G34" s="54" t="s">
        <v>22</v>
      </c>
      <c r="H34" s="56">
        <f>H33</f>
        <v>0.5</v>
      </c>
      <c r="I34" s="57"/>
      <c r="J34" s="57"/>
      <c r="K34" s="57"/>
      <c r="L34" s="57"/>
      <c r="M34" s="57"/>
      <c r="N34" s="72" t="s">
        <v>52</v>
      </c>
      <c r="O34" s="57"/>
      <c r="P34" s="54"/>
    </row>
    <row r="35">
      <c r="A35" s="12"/>
      <c r="C35" s="48"/>
      <c r="D35" s="48"/>
      <c r="E35" s="51" t="str">
        <f t="array" ref="E35">IF(
  F35="End",
  "",
  IFERROR(
    INDEX(stage!$C$2:$D$100, MATCH(C35, stage!$B$2:$B$100, 0), 
      IF(OR(F35="Stream A", F35="A End"), 1, 2)
    ),
    ""
  )
)</f>
        <v/>
      </c>
      <c r="F35" s="54" t="s">
        <v>27</v>
      </c>
      <c r="G35" s="54" t="s">
        <v>22</v>
      </c>
      <c r="H35" s="56">
        <f>H33</f>
        <v>0.5</v>
      </c>
      <c r="I35" s="57"/>
      <c r="J35" s="57"/>
      <c r="K35" s="57"/>
      <c r="L35" s="57"/>
      <c r="M35" s="57"/>
      <c r="N35" s="72" t="s">
        <v>53</v>
      </c>
      <c r="O35" s="57"/>
      <c r="P35" s="54"/>
    </row>
    <row r="36">
      <c r="A36" s="12"/>
      <c r="C36" s="48"/>
      <c r="D36" s="48"/>
      <c r="E36" s="51" t="str">
        <f t="array" ref="E36">IF(
  F36="End",
  "",
  IFERROR(
    INDEX(stage!$C$2:$D$100, MATCH(C36, stage!$B$2:$B$100, 0), 
      IF(OR(F36="Stream A", F36="A End"), 1, 2)
    ),
    ""
  )
)</f>
        <v/>
      </c>
      <c r="F36" s="54" t="s">
        <v>21</v>
      </c>
      <c r="G36" s="54" t="s">
        <v>22</v>
      </c>
      <c r="H36" s="56">
        <f>H33+"02:30:00"</f>
        <v>0.6041666667</v>
      </c>
      <c r="I36" s="57"/>
      <c r="J36" s="57"/>
      <c r="K36" s="57"/>
      <c r="L36" s="57"/>
      <c r="M36" s="57"/>
      <c r="N36" s="72" t="s">
        <v>54</v>
      </c>
      <c r="O36" s="57"/>
      <c r="P36" s="54"/>
    </row>
    <row r="37">
      <c r="A37" s="12"/>
      <c r="C37" s="48"/>
      <c r="D37" s="48"/>
      <c r="E37" s="51" t="str">
        <f t="array" ref="E37">IF(
  F37="End",
  "",
  IFERROR(
    INDEX(stage!$C$2:$D$100, MATCH(C37, stage!$B$2:$B$100, 0), 
      IF(OR(F37="Stream A", F37="A End"), 1, 2)
    ),
    ""
  )
)</f>
        <v/>
      </c>
      <c r="F37" s="54" t="s">
        <v>25</v>
      </c>
      <c r="G37" s="54" t="s">
        <v>22</v>
      </c>
      <c r="H37" s="56">
        <f t="shared" ref="H37:H38" si="7">H36</f>
        <v>0.6041666667</v>
      </c>
      <c r="I37" s="57"/>
      <c r="J37" s="57"/>
      <c r="K37" s="57"/>
      <c r="L37" s="57"/>
      <c r="M37" s="57"/>
      <c r="N37" s="72" t="s">
        <v>55</v>
      </c>
      <c r="O37" s="57"/>
      <c r="P37" s="54"/>
    </row>
    <row r="38">
      <c r="A38" s="12"/>
      <c r="C38" s="48"/>
      <c r="D38" s="48"/>
      <c r="E38" s="51" t="str">
        <f t="array" ref="E38">IF(
  F38="End",
  "",
  IFERROR(
    INDEX(stage!$C$2:$D$100, MATCH(C38, stage!$B$2:$B$100, 0), 
      IF(OR(F38="Stream A", F38="A End"), 1, 2)
    ),
    ""
  )
)</f>
        <v/>
      </c>
      <c r="F38" s="54" t="s">
        <v>27</v>
      </c>
      <c r="G38" s="54" t="s">
        <v>22</v>
      </c>
      <c r="H38" s="56">
        <f t="shared" si="7"/>
        <v>0.6041666667</v>
      </c>
      <c r="I38" s="57"/>
      <c r="J38" s="57"/>
      <c r="K38" s="57"/>
      <c r="L38" s="57"/>
      <c r="M38" s="57"/>
      <c r="N38" s="72" t="s">
        <v>56</v>
      </c>
      <c r="O38" s="57"/>
      <c r="P38" s="54"/>
    </row>
    <row r="39">
      <c r="A39" s="12"/>
      <c r="C39" s="48"/>
      <c r="D39" s="48"/>
      <c r="E39" s="51" t="str">
        <f t="array" ref="E39">IF(
  F39="End",
  "",
  IFERROR(
    INDEX(stage!$C$2:$D$100, MATCH(C39, stage!$B$2:$B$100, 0), 
      IF(OR(F39="Stream A", F39="A End"), 1, 2)
    ),
    ""
  )
)</f>
        <v/>
      </c>
      <c r="F39" s="54" t="s">
        <v>21</v>
      </c>
      <c r="G39" s="54" t="s">
        <v>22</v>
      </c>
      <c r="H39" s="56">
        <f>H36+"02:30:00"</f>
        <v>0.7083333333</v>
      </c>
      <c r="I39" s="57"/>
      <c r="J39" s="57"/>
      <c r="K39" s="57"/>
      <c r="L39" s="57"/>
      <c r="M39" s="57"/>
      <c r="N39" s="72" t="s">
        <v>57</v>
      </c>
      <c r="O39" s="57"/>
      <c r="P39" s="54"/>
    </row>
    <row r="40">
      <c r="A40" s="12"/>
      <c r="C40" s="83"/>
      <c r="D40" s="48"/>
      <c r="E40" s="51" t="str">
        <f t="array" ref="E40">IF(
  F40="End",
  "",
  IFERROR(
    INDEX(stage!$C$2:$D$100, MATCH(C40, stage!$B$2:$B$100, 0), 
      IF(OR(F40="Stream A", F40="A End"), 1, 2)
    ),
    ""
  )
)</f>
        <v/>
      </c>
      <c r="F40" s="54" t="s">
        <v>25</v>
      </c>
      <c r="G40" s="54" t="s">
        <v>22</v>
      </c>
      <c r="H40" s="56">
        <f t="shared" ref="H40:H41" si="8">H39</f>
        <v>0.7083333333</v>
      </c>
      <c r="I40" s="57"/>
      <c r="J40" s="57"/>
      <c r="K40" s="57"/>
      <c r="L40" s="57"/>
      <c r="M40" s="57"/>
      <c r="N40" s="72" t="s">
        <v>58</v>
      </c>
      <c r="O40" s="57"/>
      <c r="P40" s="54"/>
    </row>
    <row r="41">
      <c r="A41" s="12"/>
      <c r="C41" s="48"/>
      <c r="D41" s="48"/>
      <c r="E41" s="51" t="str">
        <f t="array" ref="E41">IF(
  F41="End",
  "",
  IFERROR(
    INDEX(stage!$C$2:$D$100, MATCH(C41, stage!$B$2:$B$100, 0), 
      IF(OR(F41="Stream A", F41="A End"), 1, 2)
    ),
    ""
  )
)</f>
        <v/>
      </c>
      <c r="F41" s="54" t="s">
        <v>27</v>
      </c>
      <c r="G41" s="54" t="s">
        <v>22</v>
      </c>
      <c r="H41" s="56">
        <f t="shared" si="8"/>
        <v>0.7083333333</v>
      </c>
      <c r="I41" s="57"/>
      <c r="J41" s="57"/>
      <c r="K41" s="57"/>
      <c r="L41" s="57"/>
      <c r="M41" s="57"/>
      <c r="N41" s="72" t="s">
        <v>59</v>
      </c>
      <c r="O41" s="57"/>
      <c r="P41" s="54"/>
    </row>
    <row r="42">
      <c r="A42" s="12"/>
      <c r="C42" s="48"/>
      <c r="D42" s="48"/>
      <c r="E42" s="51" t="str">
        <f t="array" ref="E42">IF(
  F42="End",
  "",
  IFERROR(
    INDEX(stage!$C$2:$D$100, MATCH(C42, stage!$B$2:$B$100, 0), 
      IF(OR(F42="Stream A", F42="A End"), 1, 2)
    ),
    ""
  )
)</f>
        <v/>
      </c>
      <c r="F42" s="54" t="s">
        <v>21</v>
      </c>
      <c r="G42" s="54" t="s">
        <v>22</v>
      </c>
      <c r="H42" s="56">
        <f>H39+"02:30:00"</f>
        <v>0.8125</v>
      </c>
      <c r="I42" s="57"/>
      <c r="J42" s="57"/>
      <c r="K42" s="57"/>
      <c r="L42" s="57"/>
      <c r="M42" s="57"/>
      <c r="N42" s="72" t="s">
        <v>61</v>
      </c>
      <c r="O42" s="57"/>
      <c r="P42" s="54"/>
    </row>
    <row r="43">
      <c r="A43" s="12"/>
      <c r="C43" s="48"/>
      <c r="D43" s="48"/>
      <c r="E43" s="51" t="str">
        <f t="array" ref="E43">IF(
  F43="End",
  "",
  IFERROR(
    INDEX(stage!$C$2:$D$100, MATCH(C43, stage!$B$2:$B$100, 0), 
      IF(OR(F43="Stream A", F43="A End"), 1, 2)
    ),
    ""
  )
)</f>
        <v/>
      </c>
      <c r="F43" s="54" t="s">
        <v>25</v>
      </c>
      <c r="G43" s="54" t="s">
        <v>22</v>
      </c>
      <c r="H43" s="56">
        <f t="shared" ref="H43:H44" si="9">H42</f>
        <v>0.8125</v>
      </c>
      <c r="I43" s="57"/>
      <c r="J43" s="57"/>
      <c r="K43" s="57"/>
      <c r="L43" s="57"/>
      <c r="M43" s="57"/>
      <c r="N43" s="72" t="s">
        <v>62</v>
      </c>
      <c r="O43" s="57"/>
      <c r="P43" s="54"/>
    </row>
    <row r="44">
      <c r="A44" s="12"/>
      <c r="C44" s="117"/>
      <c r="D44" s="48"/>
      <c r="E44" s="51" t="str">
        <f t="array" ref="E44">IF(
  F44="End",
  "",
  IFERROR(
    INDEX(stage!$C$2:$D$100, MATCH(C44, stage!$B$2:$B$100, 0), 
      IF(OR(F44="Stream A", F44="A End"), 1, 2)
    ),
    ""
  )
)</f>
        <v/>
      </c>
      <c r="F44" s="54" t="s">
        <v>27</v>
      </c>
      <c r="G44" s="54" t="s">
        <v>22</v>
      </c>
      <c r="H44" s="56">
        <f t="shared" si="9"/>
        <v>0.8125</v>
      </c>
      <c r="I44" s="85"/>
      <c r="J44" s="85"/>
      <c r="K44" s="85"/>
      <c r="L44" s="85"/>
      <c r="M44" s="85"/>
      <c r="N44" s="72" t="s">
        <v>63</v>
      </c>
      <c r="O44" s="54"/>
      <c r="P44" s="54"/>
    </row>
    <row r="45">
      <c r="A45" s="12"/>
      <c r="C45" s="48"/>
      <c r="D45" s="48"/>
      <c r="E45" s="51" t="str">
        <f t="array" ref="E45">IF(
  F45="End",
  "",
  IFERROR(
    INDEX(stage!$C$2:$D$100, MATCH(C45, stage!$B$2:$B$100, 0), 
      IF(OR(F45="Stream A", F45="A End"), 1, 2)
    ),
    ""
  )
)</f>
        <v/>
      </c>
      <c r="F45" s="54"/>
      <c r="G45" s="54"/>
      <c r="H45" s="56">
        <f>H42+"02:00:00"</f>
        <v>0.8958333333</v>
      </c>
      <c r="I45" s="85"/>
      <c r="J45" s="85"/>
      <c r="K45" s="85"/>
      <c r="L45" s="85"/>
      <c r="M45" s="85"/>
      <c r="N45" s="86"/>
      <c r="O45" s="54"/>
      <c r="P45" s="54"/>
    </row>
    <row r="46">
      <c r="A46" s="89"/>
      <c r="B46" s="90">
        <v>4.0</v>
      </c>
      <c r="C46" s="83"/>
      <c r="D46" s="83"/>
      <c r="E46" s="119"/>
      <c r="F46" s="92" t="s">
        <v>21</v>
      </c>
      <c r="G46" s="92" t="s">
        <v>22</v>
      </c>
      <c r="H46" s="93">
        <v>0.5</v>
      </c>
      <c r="I46" s="94"/>
      <c r="J46" s="94"/>
      <c r="K46" s="94"/>
      <c r="L46" s="94"/>
      <c r="M46" s="94"/>
      <c r="N46" s="72" t="s">
        <v>65</v>
      </c>
      <c r="O46" s="94"/>
      <c r="P46" s="92"/>
    </row>
    <row r="47">
      <c r="A47" s="12"/>
      <c r="C47" s="48"/>
      <c r="D47" s="48"/>
      <c r="E47" s="51"/>
      <c r="F47" s="54" t="s">
        <v>25</v>
      </c>
      <c r="G47" s="54" t="s">
        <v>22</v>
      </c>
      <c r="H47" s="56">
        <f>H46</f>
        <v>0.5</v>
      </c>
      <c r="I47" s="57"/>
      <c r="J47" s="57"/>
      <c r="K47" s="57"/>
      <c r="L47" s="57"/>
      <c r="M47" s="57"/>
      <c r="N47" s="72" t="s">
        <v>66</v>
      </c>
      <c r="O47" s="57"/>
      <c r="P47" s="54"/>
    </row>
    <row r="48">
      <c r="A48" s="12"/>
      <c r="C48" s="48"/>
      <c r="D48" s="48"/>
      <c r="E48" s="51"/>
      <c r="F48" s="54" t="s">
        <v>27</v>
      </c>
      <c r="G48" s="54" t="s">
        <v>22</v>
      </c>
      <c r="H48" s="56">
        <f>H46</f>
        <v>0.5</v>
      </c>
      <c r="I48" s="57"/>
      <c r="J48" s="57"/>
      <c r="K48" s="57"/>
      <c r="L48" s="57"/>
      <c r="M48" s="57"/>
      <c r="N48" s="72" t="s">
        <v>69</v>
      </c>
      <c r="O48" s="57"/>
      <c r="P48" s="54"/>
    </row>
    <row r="49">
      <c r="A49" s="12"/>
      <c r="C49" s="48"/>
      <c r="D49" s="48"/>
      <c r="E49" s="51"/>
      <c r="F49" s="54" t="s">
        <v>21</v>
      </c>
      <c r="G49" s="54" t="s">
        <v>22</v>
      </c>
      <c r="H49" s="56">
        <f>H46+"02:30:00"</f>
        <v>0.6041666667</v>
      </c>
      <c r="I49" s="57"/>
      <c r="J49" s="57"/>
      <c r="K49" s="57"/>
      <c r="L49" s="57"/>
      <c r="M49" s="57"/>
      <c r="N49" s="72" t="s">
        <v>71</v>
      </c>
      <c r="O49" s="57"/>
      <c r="P49" s="54"/>
    </row>
    <row r="50">
      <c r="A50" s="12"/>
      <c r="C50" s="48"/>
      <c r="D50" s="48"/>
      <c r="E50" s="51"/>
      <c r="F50" s="54" t="s">
        <v>25</v>
      </c>
      <c r="G50" s="54" t="s">
        <v>22</v>
      </c>
      <c r="H50" s="56">
        <f t="shared" ref="H50:H51" si="10">H49</f>
        <v>0.6041666667</v>
      </c>
      <c r="I50" s="57"/>
      <c r="J50" s="57"/>
      <c r="K50" s="57"/>
      <c r="L50" s="57"/>
      <c r="M50" s="57"/>
      <c r="N50" s="72" t="s">
        <v>73</v>
      </c>
      <c r="O50" s="57"/>
      <c r="P50" s="54"/>
    </row>
    <row r="51">
      <c r="A51" s="12"/>
      <c r="C51" s="48"/>
      <c r="D51" s="48"/>
      <c r="E51" s="51"/>
      <c r="F51" s="54" t="s">
        <v>27</v>
      </c>
      <c r="G51" s="54" t="s">
        <v>22</v>
      </c>
      <c r="H51" s="56">
        <f t="shared" si="10"/>
        <v>0.6041666667</v>
      </c>
      <c r="I51" s="57"/>
      <c r="J51" s="57"/>
      <c r="K51" s="57"/>
      <c r="L51" s="57"/>
      <c r="M51" s="57"/>
      <c r="N51" s="72" t="s">
        <v>74</v>
      </c>
      <c r="O51" s="57"/>
      <c r="P51" s="54"/>
    </row>
    <row r="52">
      <c r="A52" s="12"/>
      <c r="C52" s="48"/>
      <c r="D52" s="48"/>
      <c r="E52" s="51"/>
      <c r="F52" s="54" t="s">
        <v>21</v>
      </c>
      <c r="G52" s="54" t="s">
        <v>22</v>
      </c>
      <c r="H52" s="56">
        <f>H49+"02:30:00"</f>
        <v>0.7083333333</v>
      </c>
      <c r="I52" s="57"/>
      <c r="J52" s="57"/>
      <c r="K52" s="57"/>
      <c r="L52" s="57"/>
      <c r="M52" s="57"/>
      <c r="N52" s="72" t="s">
        <v>75</v>
      </c>
      <c r="O52" s="57"/>
      <c r="P52" s="54"/>
    </row>
    <row r="53">
      <c r="A53" s="12"/>
      <c r="C53" s="48"/>
      <c r="D53" s="48"/>
      <c r="E53" s="51"/>
      <c r="F53" s="54" t="s">
        <v>25</v>
      </c>
      <c r="G53" s="54" t="s">
        <v>22</v>
      </c>
      <c r="H53" s="56">
        <f t="shared" ref="H53:H54" si="11">H52</f>
        <v>0.7083333333</v>
      </c>
      <c r="I53" s="57"/>
      <c r="J53" s="57"/>
      <c r="K53" s="57"/>
      <c r="L53" s="57"/>
      <c r="M53" s="57"/>
      <c r="N53" s="72" t="s">
        <v>77</v>
      </c>
      <c r="O53" s="57"/>
      <c r="P53" s="54"/>
    </row>
    <row r="54">
      <c r="A54" s="12"/>
      <c r="C54" s="48"/>
      <c r="D54" s="48"/>
      <c r="E54" s="51"/>
      <c r="F54" s="54" t="s">
        <v>27</v>
      </c>
      <c r="G54" s="54" t="s">
        <v>22</v>
      </c>
      <c r="H54" s="56">
        <f t="shared" si="11"/>
        <v>0.7083333333</v>
      </c>
      <c r="I54" s="57"/>
      <c r="J54" s="57"/>
      <c r="K54" s="57"/>
      <c r="L54" s="57"/>
      <c r="M54" s="57"/>
      <c r="N54" s="72" t="s">
        <v>78</v>
      </c>
      <c r="O54" s="57"/>
      <c r="P54" s="54"/>
    </row>
    <row r="55">
      <c r="A55" s="12"/>
      <c r="C55" s="48"/>
      <c r="D55" s="48"/>
      <c r="E55" s="51"/>
      <c r="F55" s="54" t="s">
        <v>21</v>
      </c>
      <c r="G55" s="54" t="s">
        <v>22</v>
      </c>
      <c r="H55" s="56">
        <f>H52+"02:30:00"</f>
        <v>0.8125</v>
      </c>
      <c r="I55" s="57"/>
      <c r="J55" s="57"/>
      <c r="K55" s="57"/>
      <c r="L55" s="57"/>
      <c r="M55" s="57"/>
      <c r="N55" s="72" t="s">
        <v>79</v>
      </c>
      <c r="O55" s="57"/>
      <c r="P55" s="54"/>
    </row>
    <row r="56">
      <c r="A56" s="12"/>
      <c r="C56" s="48"/>
      <c r="D56" s="48"/>
      <c r="E56" s="51"/>
      <c r="F56" s="54" t="s">
        <v>25</v>
      </c>
      <c r="G56" s="54" t="s">
        <v>22</v>
      </c>
      <c r="H56" s="56">
        <f t="shared" ref="H56:H57" si="12">H55</f>
        <v>0.8125</v>
      </c>
      <c r="I56" s="57"/>
      <c r="J56" s="57"/>
      <c r="K56" s="57"/>
      <c r="L56" s="57"/>
      <c r="M56" s="57"/>
      <c r="N56" s="72" t="s">
        <v>80</v>
      </c>
      <c r="O56" s="57"/>
      <c r="P56" s="54"/>
    </row>
    <row r="57">
      <c r="A57" s="12"/>
      <c r="C57" s="48"/>
      <c r="D57" s="48"/>
      <c r="E57" s="51"/>
      <c r="F57" s="54" t="s">
        <v>27</v>
      </c>
      <c r="G57" s="54" t="s">
        <v>22</v>
      </c>
      <c r="H57" s="56">
        <f t="shared" si="12"/>
        <v>0.8125</v>
      </c>
      <c r="I57" s="85"/>
      <c r="J57" s="85"/>
      <c r="K57" s="85"/>
      <c r="L57" s="85"/>
      <c r="M57" s="85"/>
      <c r="N57" s="72" t="s">
        <v>81</v>
      </c>
      <c r="O57" s="54"/>
      <c r="P57" s="54"/>
    </row>
    <row r="58">
      <c r="A58" s="124"/>
      <c r="B58" s="125"/>
      <c r="C58" s="117"/>
      <c r="D58" s="117"/>
      <c r="E58" s="137"/>
      <c r="F58" s="86"/>
      <c r="G58" s="86"/>
      <c r="H58" s="126">
        <f>H55+"02:00:00"</f>
        <v>0.8958333333</v>
      </c>
      <c r="I58" s="127"/>
      <c r="J58" s="127"/>
      <c r="K58" s="127"/>
      <c r="L58" s="127"/>
      <c r="M58" s="127"/>
      <c r="N58" s="86"/>
      <c r="O58" s="86"/>
      <c r="P58" s="86"/>
    </row>
    <row r="59">
      <c r="A59" s="12"/>
      <c r="B59" s="40">
        <v>5.0</v>
      </c>
      <c r="C59" s="48"/>
      <c r="D59" s="48"/>
      <c r="E59" s="51"/>
      <c r="F59" s="54" t="s">
        <v>21</v>
      </c>
      <c r="G59" s="54" t="s">
        <v>22</v>
      </c>
      <c r="H59" s="56">
        <v>0.5</v>
      </c>
      <c r="I59" s="57"/>
      <c r="J59" s="57"/>
      <c r="K59" s="57"/>
      <c r="L59" s="57"/>
      <c r="M59" s="57"/>
      <c r="N59" s="72" t="s">
        <v>82</v>
      </c>
      <c r="O59" s="57"/>
      <c r="P59" s="54"/>
    </row>
    <row r="60">
      <c r="A60" s="12"/>
      <c r="C60" s="48"/>
      <c r="D60" s="48"/>
      <c r="E60" s="51"/>
      <c r="F60" s="54" t="s">
        <v>25</v>
      </c>
      <c r="G60" s="54" t="s">
        <v>22</v>
      </c>
      <c r="H60" s="56">
        <f>H59</f>
        <v>0.5</v>
      </c>
      <c r="I60" s="57"/>
      <c r="J60" s="57"/>
      <c r="K60" s="57"/>
      <c r="L60" s="57"/>
      <c r="M60" s="57"/>
      <c r="N60" s="72" t="s">
        <v>83</v>
      </c>
      <c r="O60" s="57"/>
      <c r="P60" s="54"/>
    </row>
    <row r="61">
      <c r="A61" s="12"/>
      <c r="C61" s="48"/>
      <c r="D61" s="48"/>
      <c r="E61" s="51"/>
      <c r="F61" s="54" t="s">
        <v>27</v>
      </c>
      <c r="G61" s="54" t="s">
        <v>22</v>
      </c>
      <c r="H61" s="56">
        <f>H59</f>
        <v>0.5</v>
      </c>
      <c r="I61" s="57"/>
      <c r="J61" s="57"/>
      <c r="K61" s="57"/>
      <c r="L61" s="57"/>
      <c r="M61" s="57"/>
      <c r="N61" s="72" t="s">
        <v>84</v>
      </c>
      <c r="O61" s="57"/>
      <c r="P61" s="54"/>
    </row>
    <row r="62">
      <c r="A62" s="12"/>
      <c r="C62" s="48"/>
      <c r="D62" s="48"/>
      <c r="E62" s="51"/>
      <c r="F62" s="54" t="s">
        <v>21</v>
      </c>
      <c r="G62" s="54" t="s">
        <v>22</v>
      </c>
      <c r="H62" s="56">
        <f>H59+"02:30:00"</f>
        <v>0.6041666667</v>
      </c>
      <c r="I62" s="57"/>
      <c r="J62" s="57"/>
      <c r="K62" s="57"/>
      <c r="L62" s="57"/>
      <c r="M62" s="57"/>
      <c r="N62" s="72" t="s">
        <v>85</v>
      </c>
      <c r="O62" s="57"/>
      <c r="P62" s="54"/>
    </row>
    <row r="63">
      <c r="A63" s="12"/>
      <c r="C63" s="48"/>
      <c r="D63" s="48"/>
      <c r="E63" s="51"/>
      <c r="F63" s="54" t="s">
        <v>25</v>
      </c>
      <c r="G63" s="54" t="s">
        <v>22</v>
      </c>
      <c r="H63" s="56">
        <f t="shared" ref="H63:H64" si="13">H62</f>
        <v>0.6041666667</v>
      </c>
      <c r="I63" s="57"/>
      <c r="J63" s="57"/>
      <c r="K63" s="57"/>
      <c r="L63" s="57"/>
      <c r="M63" s="57"/>
      <c r="N63" s="72" t="s">
        <v>86</v>
      </c>
      <c r="O63" s="57"/>
      <c r="P63" s="54"/>
    </row>
    <row r="64">
      <c r="A64" s="12"/>
      <c r="C64" s="48"/>
      <c r="D64" s="48"/>
      <c r="E64" s="51"/>
      <c r="F64" s="54" t="s">
        <v>27</v>
      </c>
      <c r="G64" s="54" t="s">
        <v>22</v>
      </c>
      <c r="H64" s="56">
        <f t="shared" si="13"/>
        <v>0.6041666667</v>
      </c>
      <c r="I64" s="57"/>
      <c r="J64" s="57"/>
      <c r="K64" s="57"/>
      <c r="L64" s="57"/>
      <c r="M64" s="57"/>
      <c r="N64" s="72" t="s">
        <v>87</v>
      </c>
      <c r="O64" s="57"/>
      <c r="P64" s="54"/>
    </row>
    <row r="65">
      <c r="A65" s="12"/>
      <c r="C65" s="48"/>
      <c r="D65" s="48"/>
      <c r="E65" s="51"/>
      <c r="F65" s="54" t="s">
        <v>21</v>
      </c>
      <c r="G65" s="140" t="s">
        <v>88</v>
      </c>
      <c r="H65" s="56">
        <f>H62+"02:30:00"</f>
        <v>0.7083333333</v>
      </c>
      <c r="I65" s="57"/>
      <c r="J65" s="57"/>
      <c r="K65" s="57"/>
      <c r="L65" s="57"/>
      <c r="M65" s="57"/>
      <c r="N65" s="72" t="s">
        <v>89</v>
      </c>
      <c r="O65" s="57"/>
      <c r="P65" s="54"/>
    </row>
    <row r="66">
      <c r="A66" s="12"/>
      <c r="C66" s="48"/>
      <c r="D66" s="48"/>
      <c r="E66" s="51"/>
      <c r="F66" s="54" t="s">
        <v>25</v>
      </c>
      <c r="G66" s="140" t="s">
        <v>88</v>
      </c>
      <c r="H66" s="56">
        <f t="shared" ref="H66:H67" si="14">H65</f>
        <v>0.7083333333</v>
      </c>
      <c r="I66" s="57"/>
      <c r="J66" s="57"/>
      <c r="K66" s="57"/>
      <c r="L66" s="57"/>
      <c r="M66" s="57"/>
      <c r="N66" s="72" t="s">
        <v>89</v>
      </c>
      <c r="O66" s="57"/>
      <c r="P66" s="54"/>
    </row>
    <row r="67">
      <c r="A67" s="12"/>
      <c r="C67" s="48"/>
      <c r="D67" s="48"/>
      <c r="E67" s="51"/>
      <c r="F67" s="54" t="s">
        <v>27</v>
      </c>
      <c r="G67" s="140" t="s">
        <v>88</v>
      </c>
      <c r="H67" s="56">
        <f t="shared" si="14"/>
        <v>0.7083333333</v>
      </c>
      <c r="I67" s="57"/>
      <c r="J67" s="57"/>
      <c r="K67" s="57"/>
      <c r="L67" s="57"/>
      <c r="M67" s="57"/>
      <c r="N67" s="72" t="s">
        <v>89</v>
      </c>
      <c r="O67" s="57"/>
      <c r="P67" s="54"/>
    </row>
    <row r="68">
      <c r="A68" s="12"/>
      <c r="C68" s="48"/>
      <c r="D68" s="48"/>
      <c r="E68" s="51"/>
      <c r="F68" s="54" t="s">
        <v>21</v>
      </c>
      <c r="G68" s="140" t="s">
        <v>88</v>
      </c>
      <c r="H68" s="56">
        <f>H65+"03:00:00"</f>
        <v>0.8333333333</v>
      </c>
      <c r="I68" s="57"/>
      <c r="J68" s="57"/>
      <c r="K68" s="57"/>
      <c r="L68" s="57"/>
      <c r="M68" s="57"/>
      <c r="N68" s="72" t="s">
        <v>89</v>
      </c>
      <c r="O68" s="57"/>
      <c r="P68" s="54"/>
    </row>
    <row r="69">
      <c r="A69" s="12"/>
      <c r="C69" s="48"/>
      <c r="D69" s="48"/>
      <c r="E69" s="51"/>
      <c r="F69" s="54" t="s">
        <v>25</v>
      </c>
      <c r="G69" s="140" t="s">
        <v>88</v>
      </c>
      <c r="H69" s="56">
        <f t="shared" ref="H69:H70" si="15">H68</f>
        <v>0.8333333333</v>
      </c>
      <c r="I69" s="57"/>
      <c r="J69" s="57"/>
      <c r="K69" s="57"/>
      <c r="L69" s="57"/>
      <c r="M69" s="57"/>
      <c r="N69" s="72" t="s">
        <v>89</v>
      </c>
      <c r="O69" s="57"/>
      <c r="P69" s="54"/>
    </row>
    <row r="70">
      <c r="A70" s="12"/>
      <c r="C70" s="48"/>
      <c r="D70" s="48"/>
      <c r="E70" s="51"/>
      <c r="F70" s="54" t="s">
        <v>27</v>
      </c>
      <c r="G70" s="140" t="s">
        <v>88</v>
      </c>
      <c r="H70" s="56">
        <f t="shared" si="15"/>
        <v>0.8333333333</v>
      </c>
      <c r="I70" s="141"/>
      <c r="J70" s="141"/>
      <c r="K70" s="141"/>
      <c r="L70" s="141"/>
      <c r="M70" s="141"/>
      <c r="N70" s="72" t="s">
        <v>89</v>
      </c>
      <c r="O70" s="54"/>
      <c r="P70" s="54"/>
    </row>
    <row r="71">
      <c r="A71" s="12"/>
      <c r="C71" s="48"/>
      <c r="D71" s="48"/>
      <c r="E71" s="51"/>
      <c r="F71" s="54"/>
      <c r="G71" s="54"/>
      <c r="H71" s="56">
        <f>H68+"03:00:00"</f>
        <v>0.9583333333</v>
      </c>
      <c r="I71" s="85"/>
      <c r="J71" s="85"/>
      <c r="K71" s="85"/>
      <c r="L71" s="85"/>
      <c r="M71" s="85"/>
      <c r="N71" s="54"/>
      <c r="O71" s="54"/>
      <c r="P71" s="54"/>
    </row>
    <row r="72">
      <c r="A72" s="89"/>
      <c r="B72" s="90">
        <v>6.0</v>
      </c>
      <c r="C72" s="83"/>
      <c r="D72" s="83"/>
      <c r="E72" s="119"/>
      <c r="F72" s="92" t="s">
        <v>21</v>
      </c>
      <c r="G72" s="92" t="s">
        <v>22</v>
      </c>
      <c r="H72" s="93">
        <v>0.5</v>
      </c>
      <c r="I72" s="94"/>
      <c r="J72" s="94"/>
      <c r="K72" s="94"/>
      <c r="L72" s="94"/>
      <c r="M72" s="94"/>
      <c r="N72" s="159" t="s">
        <v>90</v>
      </c>
      <c r="O72" s="94"/>
      <c r="P72" s="92"/>
    </row>
    <row r="73">
      <c r="A73" s="12"/>
      <c r="C73" s="48"/>
      <c r="D73" s="48"/>
      <c r="E73" s="51"/>
      <c r="F73" s="54" t="s">
        <v>25</v>
      </c>
      <c r="G73" s="54" t="s">
        <v>22</v>
      </c>
      <c r="H73" s="56">
        <f t="shared" ref="H73:H74" si="16">H72</f>
        <v>0.5</v>
      </c>
      <c r="I73" s="57"/>
      <c r="J73" s="57"/>
      <c r="K73" s="57"/>
      <c r="L73" s="57"/>
      <c r="M73" s="57"/>
      <c r="N73" s="72" t="s">
        <v>91</v>
      </c>
      <c r="O73" s="57"/>
      <c r="P73" s="54"/>
    </row>
    <row r="74">
      <c r="A74" s="12"/>
      <c r="C74" s="48"/>
      <c r="D74" s="48"/>
      <c r="E74" s="51"/>
      <c r="F74" s="54" t="s">
        <v>27</v>
      </c>
      <c r="G74" s="54" t="s">
        <v>22</v>
      </c>
      <c r="H74" s="56">
        <f t="shared" si="16"/>
        <v>0.5</v>
      </c>
      <c r="I74" s="57"/>
      <c r="J74" s="57"/>
      <c r="K74" s="57"/>
      <c r="L74" s="57"/>
      <c r="M74" s="57"/>
      <c r="N74" s="72" t="s">
        <v>93</v>
      </c>
      <c r="O74" s="57"/>
      <c r="P74" s="54"/>
    </row>
    <row r="75">
      <c r="A75" s="12"/>
      <c r="C75" s="48"/>
      <c r="D75" s="48"/>
      <c r="E75" s="51"/>
      <c r="F75" s="54" t="s">
        <v>21</v>
      </c>
      <c r="G75" s="54" t="s">
        <v>22</v>
      </c>
      <c r="H75" s="56">
        <f>H72+"02:30:00"</f>
        <v>0.6041666667</v>
      </c>
      <c r="I75" s="57"/>
      <c r="J75" s="57"/>
      <c r="K75" s="57"/>
      <c r="L75" s="57"/>
      <c r="M75" s="57"/>
      <c r="N75" s="72" t="s">
        <v>94</v>
      </c>
      <c r="O75" s="57"/>
      <c r="P75" s="54"/>
    </row>
    <row r="76">
      <c r="A76" s="12"/>
      <c r="C76" s="48"/>
      <c r="D76" s="48"/>
      <c r="E76" s="51"/>
      <c r="F76" s="54" t="s">
        <v>25</v>
      </c>
      <c r="G76" s="54" t="s">
        <v>22</v>
      </c>
      <c r="H76" s="56">
        <f t="shared" ref="H76:H77" si="17">H75</f>
        <v>0.6041666667</v>
      </c>
      <c r="I76" s="57"/>
      <c r="J76" s="57"/>
      <c r="K76" s="57"/>
      <c r="L76" s="57"/>
      <c r="M76" s="57"/>
      <c r="N76" s="72" t="s">
        <v>95</v>
      </c>
      <c r="O76" s="57"/>
      <c r="P76" s="54"/>
    </row>
    <row r="77">
      <c r="A77" s="12"/>
      <c r="C77" s="48"/>
      <c r="D77" s="48"/>
      <c r="E77" s="51"/>
      <c r="F77" s="54" t="s">
        <v>27</v>
      </c>
      <c r="G77" s="54" t="s">
        <v>22</v>
      </c>
      <c r="H77" s="56">
        <f t="shared" si="17"/>
        <v>0.6041666667</v>
      </c>
      <c r="I77" s="85"/>
      <c r="J77" s="85"/>
      <c r="K77" s="85"/>
      <c r="L77" s="85"/>
      <c r="M77" s="85"/>
      <c r="N77" s="72" t="s">
        <v>96</v>
      </c>
      <c r="O77" s="54"/>
      <c r="P77" s="54"/>
    </row>
    <row r="78">
      <c r="A78" s="12"/>
      <c r="C78" s="48"/>
      <c r="D78" s="48"/>
      <c r="E78" s="51"/>
      <c r="F78" s="54" t="s">
        <v>21</v>
      </c>
      <c r="G78" s="140" t="s">
        <v>88</v>
      </c>
      <c r="H78" s="56">
        <f>H75+"02:30:00"</f>
        <v>0.7083333333</v>
      </c>
      <c r="I78" s="57"/>
      <c r="J78" s="57"/>
      <c r="K78" s="57"/>
      <c r="L78" s="57"/>
      <c r="M78" s="57"/>
      <c r="N78" s="72" t="s">
        <v>89</v>
      </c>
      <c r="O78" s="54"/>
      <c r="P78" s="54"/>
    </row>
    <row r="79">
      <c r="A79" s="12"/>
      <c r="C79" s="48"/>
      <c r="D79" s="48"/>
      <c r="E79" s="51"/>
      <c r="F79" s="54" t="s">
        <v>25</v>
      </c>
      <c r="G79" s="140" t="s">
        <v>88</v>
      </c>
      <c r="H79" s="56">
        <f t="shared" ref="H79:H80" si="18">H78</f>
        <v>0.7083333333</v>
      </c>
      <c r="I79" s="57"/>
      <c r="J79" s="57"/>
      <c r="K79" s="57"/>
      <c r="L79" s="57"/>
      <c r="M79" s="57"/>
      <c r="N79" s="72" t="s">
        <v>89</v>
      </c>
      <c r="O79" s="54"/>
      <c r="P79" s="54"/>
    </row>
    <row r="80">
      <c r="A80" s="12"/>
      <c r="C80" s="48"/>
      <c r="D80" s="48"/>
      <c r="E80" s="51"/>
      <c r="F80" s="54" t="s">
        <v>27</v>
      </c>
      <c r="G80" s="140" t="s">
        <v>88</v>
      </c>
      <c r="H80" s="56">
        <f t="shared" si="18"/>
        <v>0.7083333333</v>
      </c>
      <c r="I80" s="57"/>
      <c r="J80" s="57"/>
      <c r="K80" s="57"/>
      <c r="L80" s="57"/>
      <c r="M80" s="57"/>
      <c r="N80" s="72" t="s">
        <v>89</v>
      </c>
      <c r="O80" s="54"/>
      <c r="P80" s="54"/>
    </row>
    <row r="81">
      <c r="A81" s="12"/>
      <c r="C81" s="48"/>
      <c r="D81" s="48"/>
      <c r="E81" s="51"/>
      <c r="F81" s="54" t="s">
        <v>21</v>
      </c>
      <c r="G81" s="140" t="s">
        <v>88</v>
      </c>
      <c r="H81" s="56">
        <f>H78+"03:00:00"</f>
        <v>0.8333333333</v>
      </c>
      <c r="I81" s="57"/>
      <c r="J81" s="57"/>
      <c r="K81" s="57"/>
      <c r="L81" s="57"/>
      <c r="M81" s="57"/>
      <c r="N81" s="72" t="s">
        <v>89</v>
      </c>
      <c r="O81" s="54"/>
      <c r="P81" s="54"/>
    </row>
    <row r="82">
      <c r="A82" s="12"/>
      <c r="C82" s="48"/>
      <c r="D82" s="48"/>
      <c r="E82" s="51"/>
      <c r="F82" s="54" t="s">
        <v>25</v>
      </c>
      <c r="G82" s="140" t="s">
        <v>88</v>
      </c>
      <c r="H82" s="56">
        <f t="shared" ref="H82:H83" si="19">H81</f>
        <v>0.8333333333</v>
      </c>
      <c r="I82" s="57"/>
      <c r="J82" s="57"/>
      <c r="K82" s="57"/>
      <c r="L82" s="57"/>
      <c r="M82" s="57"/>
      <c r="N82" s="72" t="s">
        <v>89</v>
      </c>
      <c r="O82" s="54"/>
      <c r="P82" s="54"/>
    </row>
    <row r="83">
      <c r="A83" s="12"/>
      <c r="C83" s="48"/>
      <c r="D83" s="48"/>
      <c r="E83" s="51"/>
      <c r="F83" s="54" t="s">
        <v>27</v>
      </c>
      <c r="G83" s="140" t="s">
        <v>88</v>
      </c>
      <c r="H83" s="56">
        <f t="shared" si="19"/>
        <v>0.8333333333</v>
      </c>
      <c r="I83" s="141"/>
      <c r="J83" s="141"/>
      <c r="K83" s="141"/>
      <c r="L83" s="141"/>
      <c r="M83" s="141"/>
      <c r="N83" s="72" t="s">
        <v>89</v>
      </c>
      <c r="O83" s="54"/>
      <c r="P83" s="54"/>
    </row>
    <row r="84">
      <c r="A84" s="12"/>
      <c r="C84" s="48"/>
      <c r="D84" s="48"/>
      <c r="E84" s="51"/>
      <c r="F84" s="54"/>
      <c r="G84" s="54"/>
      <c r="H84" s="56">
        <f>H81+"03:00:00"</f>
        <v>0.9583333333</v>
      </c>
      <c r="I84" s="85"/>
      <c r="J84" s="85"/>
      <c r="K84" s="85"/>
      <c r="L84" s="85"/>
      <c r="M84" s="85"/>
      <c r="N84" s="54"/>
      <c r="O84" s="54"/>
      <c r="P84" s="54"/>
    </row>
    <row r="85">
      <c r="A85" s="89"/>
      <c r="B85" s="90">
        <v>7.0</v>
      </c>
      <c r="C85" s="83"/>
      <c r="D85" s="83"/>
      <c r="E85" s="119"/>
      <c r="F85" s="92" t="s">
        <v>21</v>
      </c>
      <c r="G85" s="92" t="s">
        <v>67</v>
      </c>
      <c r="H85" s="93">
        <v>0.5833333333333334</v>
      </c>
      <c r="I85" s="143"/>
      <c r="J85" s="143"/>
      <c r="K85" s="143"/>
      <c r="L85" s="143"/>
      <c r="M85" s="143"/>
      <c r="N85" s="175" t="s">
        <v>97</v>
      </c>
      <c r="O85" s="92"/>
      <c r="P85" s="92"/>
    </row>
    <row r="86">
      <c r="A86" s="12"/>
      <c r="C86" s="48"/>
      <c r="D86" s="48"/>
      <c r="E86" s="51"/>
      <c r="F86" s="54" t="s">
        <v>25</v>
      </c>
      <c r="G86" s="54" t="s">
        <v>67</v>
      </c>
      <c r="H86" s="56">
        <f>H85</f>
        <v>0.5833333333</v>
      </c>
      <c r="I86" s="85"/>
      <c r="J86" s="85"/>
      <c r="K86" s="85"/>
      <c r="L86" s="85"/>
      <c r="M86" s="85"/>
      <c r="N86" s="156" t="s">
        <v>98</v>
      </c>
      <c r="O86" s="54"/>
      <c r="P86" s="54"/>
    </row>
    <row r="87">
      <c r="A87" s="12"/>
      <c r="C87" s="48"/>
      <c r="D87" s="48"/>
      <c r="E87" s="51"/>
      <c r="F87" s="54" t="s">
        <v>21</v>
      </c>
      <c r="G87" s="54" t="s">
        <v>67</v>
      </c>
      <c r="H87" s="56">
        <f>H85+"03:30:00"</f>
        <v>0.7291666667</v>
      </c>
      <c r="I87" s="85"/>
      <c r="J87" s="85"/>
      <c r="K87" s="85"/>
      <c r="L87" s="85"/>
      <c r="M87" s="85"/>
      <c r="N87" s="156" t="s">
        <v>99</v>
      </c>
      <c r="O87" s="54"/>
      <c r="P87" s="54"/>
    </row>
    <row r="88">
      <c r="A88" s="12"/>
      <c r="C88" s="48"/>
      <c r="D88" s="48"/>
      <c r="E88" s="51"/>
      <c r="F88" s="54" t="s">
        <v>25</v>
      </c>
      <c r="G88" s="54" t="s">
        <v>67</v>
      </c>
      <c r="H88" s="56">
        <f>H87</f>
        <v>0.7291666667</v>
      </c>
      <c r="I88" s="85"/>
      <c r="J88" s="85"/>
      <c r="K88" s="85"/>
      <c r="L88" s="85"/>
      <c r="M88" s="85"/>
      <c r="N88" s="156" t="s">
        <v>100</v>
      </c>
      <c r="O88" s="54"/>
      <c r="P88" s="54"/>
    </row>
    <row r="89">
      <c r="A89" s="124"/>
      <c r="B89" s="125"/>
      <c r="C89" s="117"/>
      <c r="D89" s="117"/>
      <c r="E89" s="137"/>
      <c r="F89" s="86"/>
      <c r="G89" s="86"/>
      <c r="H89" s="126">
        <f>H87+"03:00:00"</f>
        <v>0.8541666667</v>
      </c>
      <c r="I89" s="127"/>
      <c r="J89" s="127"/>
      <c r="K89" s="127"/>
      <c r="L89" s="127"/>
      <c r="M89" s="127"/>
      <c r="N89" s="86"/>
      <c r="O89" s="86"/>
      <c r="P89" s="86"/>
    </row>
    <row r="90">
      <c r="A90" s="12"/>
      <c r="B90" s="40">
        <v>8.0</v>
      </c>
      <c r="C90" s="48"/>
      <c r="D90" s="48"/>
      <c r="E90" s="51"/>
      <c r="F90" s="54" t="s">
        <v>21</v>
      </c>
      <c r="G90" s="54" t="s">
        <v>67</v>
      </c>
      <c r="H90" s="56">
        <v>0.5833333333333334</v>
      </c>
      <c r="I90" s="85"/>
      <c r="J90" s="85"/>
      <c r="K90" s="85"/>
      <c r="L90" s="85"/>
      <c r="M90" s="85"/>
      <c r="N90" s="54" t="s">
        <v>101</v>
      </c>
      <c r="O90" s="54"/>
      <c r="P90" s="54"/>
    </row>
    <row r="91">
      <c r="A91" s="12"/>
      <c r="C91" s="48"/>
      <c r="D91" s="48"/>
      <c r="E91" s="51"/>
      <c r="F91" s="54" t="s">
        <v>25</v>
      </c>
      <c r="G91" s="54" t="s">
        <v>67</v>
      </c>
      <c r="H91" s="56">
        <f>H90</f>
        <v>0.5833333333</v>
      </c>
      <c r="I91" s="85"/>
      <c r="J91" s="85"/>
      <c r="K91" s="85"/>
      <c r="L91" s="85"/>
      <c r="M91" s="85"/>
      <c r="N91" s="54" t="s">
        <v>102</v>
      </c>
      <c r="O91" s="54"/>
      <c r="P91" s="54"/>
    </row>
    <row r="92">
      <c r="A92" s="12"/>
      <c r="C92" s="48"/>
      <c r="D92" s="48"/>
      <c r="E92" s="51"/>
      <c r="F92" s="54" t="s">
        <v>21</v>
      </c>
      <c r="G92" s="54" t="s">
        <v>67</v>
      </c>
      <c r="H92" s="56">
        <f>H90+"03:30:00"</f>
        <v>0.7291666667</v>
      </c>
      <c r="I92" s="85"/>
      <c r="J92" s="85"/>
      <c r="K92" s="85"/>
      <c r="L92" s="85"/>
      <c r="M92" s="85"/>
      <c r="N92" s="54" t="s">
        <v>103</v>
      </c>
      <c r="O92" s="54"/>
      <c r="P92" s="54"/>
    </row>
    <row r="93">
      <c r="A93" s="12"/>
      <c r="C93" s="48"/>
      <c r="D93" s="48"/>
      <c r="E93" s="51"/>
      <c r="F93" s="54" t="s">
        <v>25</v>
      </c>
      <c r="G93" s="54" t="s">
        <v>67</v>
      </c>
      <c r="H93" s="56">
        <f>H92</f>
        <v>0.7291666667</v>
      </c>
      <c r="I93" s="85"/>
      <c r="J93" s="85"/>
      <c r="K93" s="85"/>
      <c r="L93" s="85"/>
      <c r="M93" s="85"/>
      <c r="N93" s="54" t="s">
        <v>104</v>
      </c>
      <c r="O93" s="54"/>
      <c r="P93" s="54"/>
    </row>
    <row r="94">
      <c r="A94" s="12"/>
      <c r="C94" s="48"/>
      <c r="D94" s="48"/>
      <c r="E94" s="51"/>
      <c r="F94" s="54"/>
      <c r="G94" s="54"/>
      <c r="H94" s="56">
        <f>H92+"03:00:00"</f>
        <v>0.8541666667</v>
      </c>
      <c r="I94" s="85"/>
      <c r="J94" s="85"/>
      <c r="K94" s="85"/>
      <c r="L94" s="85"/>
      <c r="M94" s="85"/>
      <c r="N94" s="54"/>
      <c r="O94" s="54"/>
      <c r="P94" s="54"/>
    </row>
    <row r="95">
      <c r="A95" s="89"/>
      <c r="B95" s="90">
        <v>9.0</v>
      </c>
      <c r="C95" s="83"/>
      <c r="D95" s="83"/>
      <c r="E95" s="119"/>
      <c r="F95" s="92" t="s">
        <v>21</v>
      </c>
      <c r="G95" s="92" t="s">
        <v>67</v>
      </c>
      <c r="H95" s="93">
        <v>0.5833333333333334</v>
      </c>
      <c r="I95" s="143"/>
      <c r="J95" s="143"/>
      <c r="K95" s="143"/>
      <c r="L95" s="143"/>
      <c r="M95" s="143"/>
      <c r="N95" s="92" t="s">
        <v>105</v>
      </c>
      <c r="O95" s="92"/>
      <c r="P95" s="92"/>
    </row>
    <row r="96">
      <c r="A96" s="12"/>
      <c r="C96" s="48"/>
      <c r="D96" s="48"/>
      <c r="E96" s="51"/>
      <c r="F96" s="54" t="s">
        <v>21</v>
      </c>
      <c r="G96" s="54" t="s">
        <v>67</v>
      </c>
      <c r="H96" s="56">
        <f>H95+"03:30:00"</f>
        <v>0.7291666667</v>
      </c>
      <c r="I96" s="85"/>
      <c r="J96" s="85"/>
      <c r="K96" s="85"/>
      <c r="L96" s="85"/>
      <c r="M96" s="85"/>
      <c r="N96" s="54" t="s">
        <v>106</v>
      </c>
      <c r="O96" s="54"/>
      <c r="P96" s="54"/>
    </row>
    <row r="97">
      <c r="A97" s="124"/>
      <c r="B97" s="125"/>
      <c r="C97" s="117"/>
      <c r="D97" s="117"/>
      <c r="E97" s="137"/>
      <c r="F97" s="86"/>
      <c r="G97" s="86"/>
      <c r="H97" s="126">
        <f>H96+"03:00:00"</f>
        <v>0.8541666667</v>
      </c>
      <c r="I97" s="127"/>
      <c r="J97" s="127"/>
      <c r="K97" s="127"/>
      <c r="L97" s="127"/>
      <c r="M97" s="127"/>
      <c r="N97" s="86"/>
      <c r="O97" s="86"/>
      <c r="P97" s="86"/>
    </row>
    <row r="98">
      <c r="A98" s="12"/>
      <c r="B98" s="40">
        <v>10.0</v>
      </c>
      <c r="C98" s="48"/>
      <c r="D98" s="48"/>
      <c r="E98" s="51"/>
      <c r="F98" s="92" t="s">
        <v>21</v>
      </c>
      <c r="G98" s="92" t="s">
        <v>67</v>
      </c>
      <c r="H98" s="56">
        <v>0.5833333333333334</v>
      </c>
      <c r="I98" s="85"/>
      <c r="J98" s="85"/>
      <c r="K98" s="85"/>
      <c r="L98" s="85"/>
      <c r="M98" s="85"/>
      <c r="N98" s="54" t="s">
        <v>108</v>
      </c>
      <c r="O98" s="54"/>
      <c r="P98" s="54"/>
    </row>
    <row r="99">
      <c r="A99" s="12"/>
      <c r="C99" s="48"/>
      <c r="D99" s="48"/>
      <c r="E99" s="51"/>
      <c r="F99" s="54" t="s">
        <v>21</v>
      </c>
      <c r="G99" s="54" t="s">
        <v>67</v>
      </c>
      <c r="H99" s="56">
        <f>H98+"03:30:00"</f>
        <v>0.7291666667</v>
      </c>
      <c r="I99" s="85"/>
      <c r="J99" s="85"/>
      <c r="K99" s="85"/>
      <c r="L99" s="85"/>
      <c r="M99" s="85"/>
      <c r="N99" s="54" t="s">
        <v>109</v>
      </c>
      <c r="O99" s="54"/>
      <c r="P99" s="54"/>
    </row>
    <row r="100">
      <c r="A100" s="12"/>
      <c r="C100" s="48"/>
      <c r="D100" s="48"/>
      <c r="E100" s="51"/>
      <c r="F100" s="86"/>
      <c r="G100" s="86"/>
      <c r="H100" s="56">
        <f>H99+"03:00:00"</f>
        <v>0.8541666667</v>
      </c>
      <c r="I100" s="85"/>
      <c r="J100" s="85"/>
      <c r="K100" s="85"/>
      <c r="L100" s="85"/>
      <c r="M100" s="85"/>
      <c r="N100" s="54"/>
      <c r="O100" s="54"/>
      <c r="P100" s="54"/>
    </row>
    <row r="101">
      <c r="A101" s="184"/>
      <c r="B101" s="90">
        <v>11.0</v>
      </c>
      <c r="C101" s="185">
        <v>4.0</v>
      </c>
      <c r="D101" s="185"/>
      <c r="E101" s="190" t="str">
        <f t="array" ref="E101">IF(
  F101="End",
  "",
  IFERROR(
    INDEX(stage!$C$2:$D$100, MATCH(C101, stage!$B$2:$B$100, 0), 
      IF(OR(F101="Stream A", F101="A End"), 1, 2)
    ),
    ""
  )
)</f>
        <v/>
      </c>
      <c r="F101" s="165" t="s">
        <v>21</v>
      </c>
      <c r="G101" s="165" t="s">
        <v>67</v>
      </c>
      <c r="H101" s="192">
        <v>0.4583333333333333</v>
      </c>
      <c r="I101" s="194">
        <f t="shared" ref="I101:I105" si="20">H101-"1:00:00"</f>
        <v>0.4166666667</v>
      </c>
      <c r="J101" s="194">
        <f t="shared" ref="J101:J105" si="21">H101-"7:00:00"</f>
        <v>0.1666666667</v>
      </c>
      <c r="K101" s="194">
        <f t="shared" ref="K101:K105" si="22">H101-"6:00:00"</f>
        <v>0.2083333333</v>
      </c>
      <c r="L101" s="194">
        <f t="shared" ref="L101:L105" si="23">H101+"5:00:00"</f>
        <v>0.6666666667</v>
      </c>
      <c r="M101" s="194">
        <f t="shared" ref="M101:M105" si="24">H101+"7:00:00"</f>
        <v>0.75</v>
      </c>
      <c r="N101" s="165" t="s">
        <v>111</v>
      </c>
      <c r="O101" s="202"/>
      <c r="P101" s="204"/>
    </row>
    <row r="102">
      <c r="A102" s="205"/>
      <c r="C102" s="206">
        <v>4.0</v>
      </c>
      <c r="E102" s="160" t="str">
        <f t="array" ref="E102">IF(
  F102="End",
  "",
  IFERROR(
    INDEX(stage!$C$2:$D$100, MATCH(C102, stage!$B$2:$B$100, 0), 
      IF(OR(F102="Stream A", F102="A End"), 1, 2)
    ),
    ""
  )
)</f>
        <v/>
      </c>
      <c r="F102" s="155" t="s">
        <v>25</v>
      </c>
      <c r="G102" s="155" t="s">
        <v>67</v>
      </c>
      <c r="H102" s="157">
        <f>H101</f>
        <v>0.4583333333</v>
      </c>
      <c r="I102" s="213">
        <f t="shared" si="20"/>
        <v>0.4166666667</v>
      </c>
      <c r="J102" s="213">
        <f t="shared" si="21"/>
        <v>0.1666666667</v>
      </c>
      <c r="K102" s="213">
        <f t="shared" si="22"/>
        <v>0.2083333333</v>
      </c>
      <c r="L102" s="213">
        <f t="shared" si="23"/>
        <v>0.6666666667</v>
      </c>
      <c r="M102" s="213">
        <f t="shared" si="24"/>
        <v>0.75</v>
      </c>
      <c r="N102" s="155" t="s">
        <v>112</v>
      </c>
      <c r="O102" s="215"/>
      <c r="P102" s="148"/>
    </row>
    <row r="103">
      <c r="A103" s="205"/>
      <c r="C103" s="206">
        <v>4.0</v>
      </c>
      <c r="E103" s="160"/>
      <c r="F103" s="61" t="s">
        <v>21</v>
      </c>
      <c r="G103" s="61" t="s">
        <v>67</v>
      </c>
      <c r="H103" s="56">
        <f t="shared" ref="H103:H104" si="25">H102+"03:30:00"</f>
        <v>0.6041666667</v>
      </c>
      <c r="I103" s="217">
        <f t="shared" si="20"/>
        <v>0.5625</v>
      </c>
      <c r="J103" s="217">
        <f t="shared" si="21"/>
        <v>0.3125</v>
      </c>
      <c r="K103" s="217">
        <f t="shared" si="22"/>
        <v>0.3541666667</v>
      </c>
      <c r="L103" s="217">
        <f t="shared" si="23"/>
        <v>0.8125</v>
      </c>
      <c r="M103" s="217">
        <f t="shared" si="24"/>
        <v>0.8958333333</v>
      </c>
      <c r="N103" s="61" t="s">
        <v>113</v>
      </c>
      <c r="O103" s="176"/>
      <c r="P103" s="148"/>
    </row>
    <row r="104">
      <c r="A104" s="205"/>
      <c r="C104" s="206">
        <v>4.0</v>
      </c>
      <c r="E104" s="160"/>
      <c r="F104" s="61" t="s">
        <v>21</v>
      </c>
      <c r="G104" s="61" t="s">
        <v>67</v>
      </c>
      <c r="H104" s="56">
        <f t="shared" si="25"/>
        <v>0.75</v>
      </c>
      <c r="I104" s="217">
        <f t="shared" si="20"/>
        <v>0.7083333333</v>
      </c>
      <c r="J104" s="217">
        <f t="shared" si="21"/>
        <v>0.4583333333</v>
      </c>
      <c r="K104" s="217">
        <f t="shared" si="22"/>
        <v>0.5</v>
      </c>
      <c r="L104" s="217">
        <f t="shared" si="23"/>
        <v>0.9583333333</v>
      </c>
      <c r="M104" s="217">
        <f t="shared" si="24"/>
        <v>1.041666667</v>
      </c>
      <c r="N104" s="61" t="s">
        <v>114</v>
      </c>
      <c r="O104" s="176"/>
      <c r="P104" s="148"/>
    </row>
    <row r="105">
      <c r="A105" s="220"/>
      <c r="B105" s="125"/>
      <c r="C105" s="221">
        <v>4.0</v>
      </c>
      <c r="D105" s="125"/>
      <c r="E105" s="170" t="str">
        <f t="array" ref="E105">IF(
  F105="End",
  "",
  IFERROR(
    INDEX(stage!$C$2:$D$100, MATCH(C105, stage!$B$2:$B$100, 0), 
      IF(OR(F105="Stream A", F105="A End"), 1, 2)
    ),
    ""
  )
)</f>
        <v/>
      </c>
      <c r="F105" s="171"/>
      <c r="G105" s="171"/>
      <c r="H105" s="56">
        <f>H104+"03:00:00"</f>
        <v>0.875</v>
      </c>
      <c r="I105" s="223">
        <f t="shared" si="20"/>
        <v>0.8333333333</v>
      </c>
      <c r="J105" s="223">
        <f t="shared" si="21"/>
        <v>0.5833333333</v>
      </c>
      <c r="K105" s="223">
        <f t="shared" si="22"/>
        <v>0.625</v>
      </c>
      <c r="L105" s="223">
        <f t="shared" si="23"/>
        <v>1.083333333</v>
      </c>
      <c r="M105" s="223">
        <f t="shared" si="24"/>
        <v>1.166666667</v>
      </c>
      <c r="N105" s="171"/>
      <c r="O105" s="171"/>
      <c r="P105" s="171"/>
    </row>
    <row r="106">
      <c r="A106" s="205"/>
      <c r="B106" s="40">
        <v>12.0</v>
      </c>
      <c r="C106" s="206">
        <v>4.0</v>
      </c>
      <c r="D106" s="226"/>
      <c r="E106" s="160"/>
      <c r="F106" s="165" t="s">
        <v>21</v>
      </c>
      <c r="G106" s="165" t="s">
        <v>67</v>
      </c>
      <c r="H106" s="192">
        <v>0.4583333333333333</v>
      </c>
      <c r="I106" s="227"/>
      <c r="J106" s="227"/>
      <c r="K106" s="227"/>
      <c r="L106" s="227"/>
      <c r="M106" s="227"/>
      <c r="N106" s="61" t="s">
        <v>115</v>
      </c>
      <c r="O106" s="228"/>
      <c r="P106" s="148"/>
    </row>
    <row r="107">
      <c r="A107" s="205"/>
      <c r="C107" s="206">
        <v>4.0</v>
      </c>
      <c r="D107" s="226"/>
      <c r="E107" s="160"/>
      <c r="F107" s="155" t="s">
        <v>25</v>
      </c>
      <c r="G107" s="155" t="s">
        <v>67</v>
      </c>
      <c r="H107" s="157">
        <f>H106</f>
        <v>0.4583333333</v>
      </c>
      <c r="I107" s="231"/>
      <c r="J107" s="231"/>
      <c r="K107" s="231"/>
      <c r="L107" s="231"/>
      <c r="M107" s="231"/>
      <c r="N107" s="155" t="s">
        <v>117</v>
      </c>
      <c r="O107" s="232"/>
      <c r="P107" s="148"/>
    </row>
    <row r="108">
      <c r="A108" s="205"/>
      <c r="C108" s="206">
        <v>5.0</v>
      </c>
      <c r="D108" s="206"/>
      <c r="E108" s="160" t="str">
        <f t="array" ref="E108">IF(
  F108="End",
  "",
  IFERROR(
    INDEX(stage!$C$2:$D$100, MATCH(C108, stage!$B$2:$B$100, 0), 
      IF(OR(F108="Stream A", F108="A End"), 1, 2)
    ),
    ""
  )
)</f>
        <v/>
      </c>
      <c r="F108" s="61" t="s">
        <v>21</v>
      </c>
      <c r="G108" s="61" t="s">
        <v>67</v>
      </c>
      <c r="H108" s="56">
        <f t="shared" ref="H108:H109" si="26">H107+"03:30:00"</f>
        <v>0.6041666667</v>
      </c>
      <c r="I108" s="217">
        <f t="shared" ref="I108:I110" si="27">H108-"1:00:00"</f>
        <v>0.5625</v>
      </c>
      <c r="J108" s="217">
        <f t="shared" ref="J108:J110" si="28">H108-"7:00:00"</f>
        <v>0.3125</v>
      </c>
      <c r="K108" s="217">
        <f t="shared" ref="K108:K110" si="29">H108-"6:00:00"</f>
        <v>0.3541666667</v>
      </c>
      <c r="L108" s="217">
        <f t="shared" ref="L108:L110" si="30">H108+"5:00:00"</f>
        <v>0.8125</v>
      </c>
      <c r="M108" s="217">
        <f t="shared" ref="M108:M110" si="31">H108+"7:00:00"</f>
        <v>0.8958333333</v>
      </c>
      <c r="N108" s="61" t="s">
        <v>70</v>
      </c>
      <c r="O108" s="228"/>
      <c r="P108" s="148"/>
    </row>
    <row r="109">
      <c r="A109" s="205"/>
      <c r="C109" s="235">
        <v>5.0</v>
      </c>
      <c r="E109" s="160" t="str">
        <f t="array" ref="E109">IF(
  F109="End",
  "",
  IFERROR(
    INDEX(stage!$C$2:$D$100, MATCH(C109, stage!$B$2:$B$100, 0), 
      IF(OR(F109="Stream A", F109="A End"), 1, 2)
    ),
    ""
  )
)</f>
        <v/>
      </c>
      <c r="F109" s="61" t="s">
        <v>21</v>
      </c>
      <c r="G109" s="239" t="s">
        <v>118</v>
      </c>
      <c r="H109" s="56">
        <f t="shared" si="26"/>
        <v>0.75</v>
      </c>
      <c r="I109" s="217">
        <f t="shared" si="27"/>
        <v>0.7083333333</v>
      </c>
      <c r="J109" s="217">
        <f t="shared" si="28"/>
        <v>0.4583333333</v>
      </c>
      <c r="K109" s="217">
        <f t="shared" si="29"/>
        <v>0.5</v>
      </c>
      <c r="L109" s="217">
        <f t="shared" si="30"/>
        <v>0.9583333333</v>
      </c>
      <c r="M109" s="217">
        <f t="shared" si="31"/>
        <v>1.041666667</v>
      </c>
      <c r="N109" s="61" t="s">
        <v>119</v>
      </c>
      <c r="O109" s="228"/>
      <c r="P109" s="148"/>
    </row>
    <row r="110">
      <c r="A110" s="220"/>
      <c r="B110" s="125"/>
      <c r="C110" s="241">
        <v>5.0</v>
      </c>
      <c r="D110" s="125"/>
      <c r="E110" s="160" t="str">
        <f t="array" ref="E110">IF(
  F110="End",
  "",
  IFERROR(
    INDEX(stage!$C$2:$D$100, MATCH(C110, stage!$B$2:$B$100, 0), 
      IF(OR(F110="Stream A", F110="A End"), 1, 2)
    ),
    ""
  )
)</f>
        <v/>
      </c>
      <c r="F110" s="171"/>
      <c r="G110" s="171"/>
      <c r="H110" s="126">
        <f>H109+"04:30:00"</f>
        <v>0.9375</v>
      </c>
      <c r="I110" s="223">
        <f t="shared" si="27"/>
        <v>0.8958333333</v>
      </c>
      <c r="J110" s="223">
        <f t="shared" si="28"/>
        <v>0.6458333333</v>
      </c>
      <c r="K110" s="223">
        <f t="shared" si="29"/>
        <v>0.6875</v>
      </c>
      <c r="L110" s="223">
        <f t="shared" si="30"/>
        <v>1.145833333</v>
      </c>
      <c r="M110" s="223">
        <f t="shared" si="31"/>
        <v>1.229166667</v>
      </c>
      <c r="N110" s="171"/>
      <c r="O110" s="171"/>
      <c r="P110" s="171"/>
    </row>
  </sheetData>
  <mergeCells count="26">
    <mergeCell ref="H4:M4"/>
    <mergeCell ref="N4:N6"/>
    <mergeCell ref="O4:O6"/>
    <mergeCell ref="P4:P6"/>
    <mergeCell ref="H5:H6"/>
    <mergeCell ref="F1:H1"/>
    <mergeCell ref="F2:H3"/>
    <mergeCell ref="B4:B6"/>
    <mergeCell ref="D4:D6"/>
    <mergeCell ref="E4:E6"/>
    <mergeCell ref="F4:F6"/>
    <mergeCell ref="G4:G6"/>
    <mergeCell ref="B90:B94"/>
    <mergeCell ref="B95:B97"/>
    <mergeCell ref="B98:B100"/>
    <mergeCell ref="B101:B105"/>
    <mergeCell ref="D101:D105"/>
    <mergeCell ref="B106:B110"/>
    <mergeCell ref="D108:D110"/>
    <mergeCell ref="B7:B19"/>
    <mergeCell ref="B20:B32"/>
    <mergeCell ref="B33:B45"/>
    <mergeCell ref="B46:B58"/>
    <mergeCell ref="B59:B71"/>
    <mergeCell ref="B72:B84"/>
    <mergeCell ref="B85:B89"/>
  </mergeCells>
  <conditionalFormatting sqref="F7:O110">
    <cfRule type="expression" dxfId="3" priority="1">
      <formula>$F7="Stream B"</formula>
    </cfRule>
  </conditionalFormatting>
  <conditionalFormatting sqref="F7:O110">
    <cfRule type="expression" dxfId="4" priority="2">
      <formula>$F7="Stream C"</formula>
    </cfRule>
  </conditionalFormatting>
  <conditionalFormatting sqref="F7:O110">
    <cfRule type="expression" dxfId="5" priority="3">
      <formula>$F7="Stream A"</formula>
    </cfRule>
  </conditionalFormatting>
  <conditionalFormatting sqref="P7:P110">
    <cfRule type="notContainsBlanks" dxfId="6" priority="4">
      <formula>LEN(TRIM(P7))&gt;0</formula>
    </cfRule>
  </conditionalFormatting>
  <dataValidations>
    <dataValidation type="list" allowBlank="1" showErrorMessage="1" sqref="F7:F110">
      <formula1>"Stream A,Stream B,Stream C"</formula1>
    </dataValidation>
    <dataValidation type="list" allowBlank="1" showErrorMessage="1" sqref="G101:G110">
      <formula1>"Bo1,Bo3,Bo5,Bo7,Bo9"</formula1>
    </dataValidation>
    <dataValidation type="list" allowBlank="1" showErrorMessage="1" sqref="G7:G100">
      <formula1>"Bo1,Bo3,Bo5,Bo7,Bo9,Bo2,Bo1/Bo3"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0.13"/>
    <col customWidth="1" hidden="1" min="3" max="3" width="6.5"/>
    <col customWidth="1" min="4" max="4" width="18.88"/>
    <col customWidth="1" hidden="1" min="5" max="5" width="6.5"/>
    <col customWidth="1" min="6" max="6" width="10.13"/>
    <col customWidth="1" min="7" max="7" width="7.63"/>
    <col customWidth="1" min="8" max="8" width="10.13"/>
    <col customWidth="1" hidden="1" min="9" max="13" width="8.88"/>
    <col customWidth="1" min="14" max="16" width="28.63"/>
  </cols>
  <sheetData>
    <row r="1">
      <c r="A1" s="1"/>
      <c r="B1" s="1"/>
      <c r="C1" s="1"/>
      <c r="D1" s="1"/>
      <c r="E1" s="1"/>
      <c r="F1" s="1"/>
      <c r="I1" s="1"/>
      <c r="J1" s="1"/>
      <c r="K1" s="1"/>
      <c r="L1" s="1"/>
      <c r="M1" s="1"/>
      <c r="N1" s="2" t="s">
        <v>0</v>
      </c>
      <c r="O1" s="3" t="s">
        <v>1</v>
      </c>
      <c r="P1" s="4" t="s">
        <v>2</v>
      </c>
    </row>
    <row r="2" ht="42.75" customHeight="1">
      <c r="A2" s="1"/>
      <c r="B2" s="1"/>
      <c r="C2" s="1"/>
      <c r="D2" s="1"/>
      <c r="E2" s="1"/>
      <c r="F2" s="1"/>
      <c r="I2" s="1"/>
      <c r="J2" s="1"/>
      <c r="K2" s="1"/>
      <c r="L2" s="1"/>
      <c r="M2" s="1"/>
      <c r="N2" s="6"/>
      <c r="O2" s="7"/>
      <c r="P2" s="8"/>
    </row>
    <row r="3">
      <c r="A3" s="1"/>
      <c r="B3" s="1"/>
      <c r="C3" s="1"/>
      <c r="D3" s="1"/>
      <c r="E3" s="1"/>
      <c r="I3" s="1"/>
      <c r="J3" s="1"/>
      <c r="K3" s="1"/>
      <c r="L3" s="1"/>
      <c r="M3" s="1"/>
      <c r="N3" s="1"/>
      <c r="O3" s="1"/>
      <c r="P3" s="1"/>
    </row>
    <row r="4">
      <c r="A4" s="12"/>
      <c r="B4" s="13" t="s">
        <v>3</v>
      </c>
      <c r="C4" s="14"/>
      <c r="D4" s="16" t="s">
        <v>4</v>
      </c>
      <c r="E4" s="13" t="s">
        <v>5</v>
      </c>
      <c r="F4" s="16" t="s">
        <v>6</v>
      </c>
      <c r="G4" s="16" t="s">
        <v>7</v>
      </c>
      <c r="H4" s="20" t="s">
        <v>8</v>
      </c>
      <c r="I4" s="21"/>
      <c r="J4" s="21"/>
      <c r="K4" s="21"/>
      <c r="L4" s="21"/>
      <c r="M4" s="22"/>
      <c r="N4" s="16" t="s">
        <v>9</v>
      </c>
      <c r="O4" s="16" t="s">
        <v>10</v>
      </c>
      <c r="P4" s="16" t="s">
        <v>11</v>
      </c>
    </row>
    <row r="5">
      <c r="A5" s="12"/>
      <c r="B5" s="24"/>
      <c r="C5" s="14"/>
      <c r="D5" s="24"/>
      <c r="E5" s="24"/>
      <c r="F5" s="24"/>
      <c r="G5" s="24"/>
      <c r="H5" s="27" t="s">
        <v>12</v>
      </c>
      <c r="I5" s="28" t="s">
        <v>13</v>
      </c>
      <c r="J5" s="28" t="s">
        <v>14</v>
      </c>
      <c r="K5" s="28" t="s">
        <v>15</v>
      </c>
      <c r="L5" s="28" t="s">
        <v>16</v>
      </c>
      <c r="M5" s="28" t="s">
        <v>17</v>
      </c>
      <c r="N5" s="24"/>
      <c r="O5" s="24"/>
      <c r="P5" s="24"/>
    </row>
    <row r="6">
      <c r="A6" s="12"/>
      <c r="B6" s="32"/>
      <c r="C6" s="34"/>
      <c r="D6" s="32"/>
      <c r="E6" s="32"/>
      <c r="F6" s="32"/>
      <c r="G6" s="32"/>
      <c r="H6" s="32"/>
      <c r="I6" s="36">
        <v>-1.0</v>
      </c>
      <c r="J6" s="36">
        <v>-7.0</v>
      </c>
      <c r="K6" s="37" t="s">
        <v>18</v>
      </c>
      <c r="L6" s="37" t="s">
        <v>19</v>
      </c>
      <c r="M6" s="37" t="s">
        <v>20</v>
      </c>
      <c r="N6" s="32"/>
      <c r="O6" s="32"/>
      <c r="P6" s="32"/>
    </row>
    <row r="7">
      <c r="A7" s="12"/>
      <c r="B7" s="40">
        <v>1.0</v>
      </c>
      <c r="C7" s="48" t="str">
        <f t="array" ref="C7:C126">iferror( 
      vlookup(
        row(D7:D126), 
        if( len(D7:D126), { row(D7:D126), D7:D126 } ), 
        2, 
        true 
      ) 
    ,"")</f>
        <v/>
      </c>
      <c r="D7" s="48"/>
      <c r="E7" s="51" t="str">
        <f t="array" ref="E7">IF(
  F7="End",
  "",
  IFERROR(
    INDEX(stage!$C$2:$D$100, MATCH(C7, stage!$B$2:$B$100, 0), 
      IF(OR(F7="Stream A", F7="A End"), 1, 2)
    ),
    ""
  )
)</f>
        <v/>
      </c>
      <c r="F7" s="54" t="s">
        <v>21</v>
      </c>
      <c r="G7" s="54"/>
      <c r="H7" s="56">
        <v>0.0</v>
      </c>
      <c r="I7" s="57"/>
      <c r="J7" s="57"/>
      <c r="K7" s="57"/>
      <c r="L7" s="57"/>
      <c r="M7" s="57"/>
      <c r="N7" s="72" t="s">
        <v>24</v>
      </c>
      <c r="O7" s="57"/>
      <c r="P7" s="54"/>
    </row>
    <row r="8">
      <c r="A8" s="12"/>
      <c r="C8" s="48"/>
      <c r="D8" s="48"/>
      <c r="E8" s="51" t="str">
        <f t="array" ref="E8">IF(
  F8="End",
  "",
  IFERROR(
    INDEX(stage!$C$2:$D$100, MATCH(C8, stage!$B$2:$B$100, 0), 
      IF(OR(F8="Stream A", F8="A End"), 1, 2)
    ),
    ""
  )
)</f>
        <v/>
      </c>
      <c r="F8" s="54" t="s">
        <v>25</v>
      </c>
      <c r="G8" s="54"/>
      <c r="H8" s="56">
        <f>H7</f>
        <v>0</v>
      </c>
      <c r="I8" s="57"/>
      <c r="J8" s="57"/>
      <c r="K8" s="57"/>
      <c r="L8" s="57"/>
      <c r="M8" s="57"/>
      <c r="N8" s="72" t="s">
        <v>24</v>
      </c>
      <c r="O8" s="57"/>
      <c r="P8" s="54"/>
    </row>
    <row r="9">
      <c r="A9" s="12"/>
      <c r="C9" s="48"/>
      <c r="D9" s="48"/>
      <c r="E9" s="51" t="str">
        <f t="array" ref="E9">IF(
  F9="End",
  "",
  IFERROR(
    INDEX(stage!$C$2:$D$100, MATCH(C9, stage!$B$2:$B$100, 0), 
      IF(OR(F9="Stream A", F9="A End"), 1, 2)
    ),
    ""
  )
)</f>
        <v/>
      </c>
      <c r="F9" s="54" t="s">
        <v>21</v>
      </c>
      <c r="G9" s="54"/>
      <c r="H9" s="56">
        <f>H7+"03:30:00"</f>
        <v>0.1458333333</v>
      </c>
      <c r="I9" s="57"/>
      <c r="J9" s="57"/>
      <c r="K9" s="57"/>
      <c r="L9" s="57"/>
      <c r="M9" s="57"/>
      <c r="N9" s="72" t="s">
        <v>24</v>
      </c>
      <c r="O9" s="57"/>
      <c r="P9" s="54"/>
    </row>
    <row r="10">
      <c r="A10" s="12"/>
      <c r="C10" s="48"/>
      <c r="D10" s="48"/>
      <c r="E10" s="51" t="str">
        <f t="array" ref="E10">IF(
  F10="End",
  "",
  IFERROR(
    INDEX(stage!$C$2:$D$100, MATCH(C10, stage!$B$2:$B$100, 0), 
      IF(OR(F10="Stream A", F10="A End"), 1, 2)
    ),
    ""
  )
)</f>
        <v/>
      </c>
      <c r="F10" s="54" t="s">
        <v>25</v>
      </c>
      <c r="G10" s="54"/>
      <c r="H10" s="56">
        <f>H9</f>
        <v>0.1458333333</v>
      </c>
      <c r="I10" s="57"/>
      <c r="J10" s="57"/>
      <c r="K10" s="57"/>
      <c r="L10" s="57"/>
      <c r="M10" s="57"/>
      <c r="N10" s="72" t="s">
        <v>24</v>
      </c>
      <c r="O10" s="57"/>
      <c r="P10" s="54"/>
    </row>
    <row r="11">
      <c r="A11" s="12"/>
      <c r="C11" s="48"/>
      <c r="D11" s="48"/>
      <c r="E11" s="51" t="str">
        <f t="array" ref="E11">IF(
  F11="End",
  "",
  IFERROR(
    INDEX(stage!$C$2:$D$100, MATCH(C11, stage!$B$2:$B$100, 0), 
      IF(OR(F11="Stream A", F11="A End"), 1, 2)
    ),
    ""
  )
)</f>
        <v/>
      </c>
      <c r="F11" s="54"/>
      <c r="G11" s="54"/>
      <c r="H11" s="56">
        <f>H9+"03:00:00"</f>
        <v>0.2708333333</v>
      </c>
      <c r="N11" s="72"/>
      <c r="P11" s="54"/>
    </row>
    <row r="12">
      <c r="A12" s="12"/>
      <c r="B12" s="40">
        <v>2.0</v>
      </c>
      <c r="C12" s="48"/>
      <c r="D12" s="48"/>
      <c r="E12" s="51" t="str">
        <f t="array" ref="E12">IF(
  F12="End",
  "",
  IFERROR(
    INDEX(stage!$C$2:$D$100, MATCH(C12, stage!$B$2:$B$100, 0), 
      IF(OR(F12="Stream A", F12="A End"), 1, 2)
    ),
    ""
  )
)</f>
        <v/>
      </c>
      <c r="F12" s="54" t="s">
        <v>21</v>
      </c>
      <c r="G12" s="54"/>
      <c r="H12" s="56">
        <v>0.0</v>
      </c>
      <c r="I12" s="57"/>
      <c r="J12" s="57"/>
      <c r="K12" s="57"/>
      <c r="L12" s="57"/>
      <c r="M12" s="57"/>
      <c r="N12" s="72" t="s">
        <v>24</v>
      </c>
      <c r="O12" s="57"/>
      <c r="P12" s="54"/>
    </row>
    <row r="13">
      <c r="A13" s="12"/>
      <c r="C13" s="48"/>
      <c r="D13" s="48"/>
      <c r="E13" s="51" t="str">
        <f t="array" ref="E13">IF(
  F13="End",
  "",
  IFERROR(
    INDEX(stage!$C$2:$D$100, MATCH(C13, stage!$B$2:$B$100, 0), 
      IF(OR(F13="Stream A", F13="A End"), 1, 2)
    ),
    ""
  )
)</f>
        <v/>
      </c>
      <c r="F13" s="54" t="s">
        <v>25</v>
      </c>
      <c r="G13" s="54"/>
      <c r="H13" s="56">
        <f>H12</f>
        <v>0</v>
      </c>
      <c r="I13" s="57"/>
      <c r="J13" s="57"/>
      <c r="K13" s="57"/>
      <c r="L13" s="57"/>
      <c r="M13" s="57"/>
      <c r="N13" s="72" t="s">
        <v>24</v>
      </c>
      <c r="O13" s="57"/>
      <c r="P13" s="54"/>
    </row>
    <row r="14">
      <c r="A14" s="12"/>
      <c r="C14" s="48"/>
      <c r="D14" s="48"/>
      <c r="E14" s="51" t="str">
        <f t="array" ref="E14">IF(
  F14="End",
  "",
  IFERROR(
    INDEX(stage!$C$2:$D$100, MATCH(C14, stage!$B$2:$B$100, 0), 
      IF(OR(F14="Stream A", F14="A End"), 1, 2)
    ),
    ""
  )
)</f>
        <v/>
      </c>
      <c r="F14" s="54" t="s">
        <v>21</v>
      </c>
      <c r="G14" s="54"/>
      <c r="H14" s="56">
        <f>H12+"03:30:00"</f>
        <v>0.1458333333</v>
      </c>
      <c r="I14" s="57"/>
      <c r="J14" s="57"/>
      <c r="K14" s="57"/>
      <c r="L14" s="57"/>
      <c r="M14" s="57"/>
      <c r="N14" s="72" t="s">
        <v>24</v>
      </c>
      <c r="O14" s="57"/>
      <c r="P14" s="54"/>
    </row>
    <row r="15">
      <c r="A15" s="12"/>
      <c r="C15" s="48"/>
      <c r="D15" s="48"/>
      <c r="E15" s="51" t="str">
        <f t="array" ref="E15">IF(
  F15="End",
  "",
  IFERROR(
    INDEX(stage!$C$2:$D$100, MATCH(C15, stage!$B$2:$B$100, 0), 
      IF(OR(F15="Stream A", F15="A End"), 1, 2)
    ),
    ""
  )
)</f>
        <v/>
      </c>
      <c r="F15" s="54" t="s">
        <v>25</v>
      </c>
      <c r="G15" s="54"/>
      <c r="H15" s="56">
        <f>H14</f>
        <v>0.1458333333</v>
      </c>
      <c r="I15" s="57"/>
      <c r="J15" s="57"/>
      <c r="K15" s="57"/>
      <c r="L15" s="57"/>
      <c r="M15" s="57"/>
      <c r="N15" s="72" t="s">
        <v>24</v>
      </c>
      <c r="O15" s="57"/>
      <c r="P15" s="54"/>
    </row>
    <row r="16">
      <c r="A16" s="12"/>
      <c r="C16" s="48"/>
      <c r="D16" s="48"/>
      <c r="E16" s="51" t="str">
        <f t="array" ref="E16">IF(
  F16="End",
  "",
  IFERROR(
    INDEX(stage!$C$2:$D$100, MATCH(C16, stage!$B$2:$B$100, 0), 
      IF(OR(F16="Stream A", F16="A End"), 1, 2)
    ),
    ""
  )
)</f>
        <v/>
      </c>
      <c r="F16" s="54"/>
      <c r="G16" s="54"/>
      <c r="H16" s="56">
        <f>H14+"03:00:00"</f>
        <v>0.2708333333</v>
      </c>
      <c r="P16" s="54"/>
    </row>
    <row r="17">
      <c r="A17" s="12"/>
      <c r="B17" s="40">
        <v>3.0</v>
      </c>
      <c r="C17" s="48"/>
      <c r="D17" s="48"/>
      <c r="E17" s="51" t="str">
        <f t="array" ref="E17">IF(
  F17="End",
  "",
  IFERROR(
    INDEX(stage!$C$2:$D$100, MATCH(C17, stage!$B$2:$B$100, 0), 
      IF(OR(F17="Stream A", F17="A End"), 1, 2)
    ),
    ""
  )
)</f>
        <v/>
      </c>
      <c r="F17" s="54" t="s">
        <v>21</v>
      </c>
      <c r="G17" s="54"/>
      <c r="H17" s="56">
        <v>0.0</v>
      </c>
      <c r="I17" s="57"/>
      <c r="J17" s="57"/>
      <c r="K17" s="57"/>
      <c r="L17" s="57"/>
      <c r="M17" s="57"/>
      <c r="N17" s="72" t="s">
        <v>24</v>
      </c>
      <c r="O17" s="57"/>
      <c r="P17" s="54"/>
    </row>
    <row r="18">
      <c r="A18" s="12"/>
      <c r="C18" s="48"/>
      <c r="D18" s="48"/>
      <c r="E18" s="51" t="str">
        <f t="array" ref="E18">IF(
  F18="End",
  "",
  IFERROR(
    INDEX(stage!$C$2:$D$100, MATCH(C18, stage!$B$2:$B$100, 0), 
      IF(OR(F18="Stream A", F18="A End"), 1, 2)
    ),
    ""
  )
)</f>
        <v/>
      </c>
      <c r="F18" s="54" t="s">
        <v>25</v>
      </c>
      <c r="G18" s="54"/>
      <c r="H18" s="56">
        <f>H17</f>
        <v>0</v>
      </c>
      <c r="I18" s="85"/>
      <c r="J18" s="85"/>
      <c r="K18" s="85"/>
      <c r="L18" s="85"/>
      <c r="M18" s="85"/>
      <c r="N18" s="72" t="s">
        <v>24</v>
      </c>
      <c r="O18" s="54"/>
      <c r="P18" s="54"/>
    </row>
    <row r="19">
      <c r="A19" s="12"/>
      <c r="C19" s="48"/>
      <c r="D19" s="48"/>
      <c r="E19" s="51" t="str">
        <f t="array" ref="E19">IF(
  F19="End",
  "",
  IFERROR(
    INDEX(stage!$C$2:$D$100, MATCH(C19, stage!$B$2:$B$100, 0), 
      IF(OR(F19="Stream A", F19="A End"), 1, 2)
    ),
    ""
  )
)</f>
        <v/>
      </c>
      <c r="F19" s="54" t="s">
        <v>21</v>
      </c>
      <c r="G19" s="54"/>
      <c r="H19" s="56">
        <f>H17+"03:30:00"</f>
        <v>0.1458333333</v>
      </c>
      <c r="I19" s="85"/>
      <c r="J19" s="85"/>
      <c r="K19" s="85"/>
      <c r="L19" s="85"/>
      <c r="M19" s="85"/>
      <c r="N19" s="72" t="s">
        <v>24</v>
      </c>
      <c r="O19" s="54"/>
      <c r="P19" s="54"/>
    </row>
    <row r="20">
      <c r="A20" s="12"/>
      <c r="C20" s="48"/>
      <c r="D20" s="48"/>
      <c r="E20" s="51" t="str">
        <f t="array" ref="E20">IF(
  F20="End",
  "",
  IFERROR(
    INDEX(stage!$C$2:$D$100, MATCH(C20, stage!$B$2:$B$100, 0), 
      IF(OR(F20="Stream A", F20="A End"), 1, 2)
    ),
    ""
  )
)</f>
        <v/>
      </c>
      <c r="F20" s="54" t="s">
        <v>25</v>
      </c>
      <c r="G20" s="54"/>
      <c r="H20" s="56">
        <f>H19</f>
        <v>0.1458333333</v>
      </c>
      <c r="I20" s="57"/>
      <c r="J20" s="57"/>
      <c r="K20" s="57"/>
      <c r="L20" s="57"/>
      <c r="M20" s="57"/>
      <c r="N20" s="54" t="s">
        <v>24</v>
      </c>
      <c r="O20" s="57"/>
      <c r="P20" s="54"/>
    </row>
    <row r="21">
      <c r="A21" s="12"/>
      <c r="C21" s="48"/>
      <c r="D21" s="48"/>
      <c r="E21" s="51" t="str">
        <f t="array" ref="E21">IF(
  F21="End",
  "",
  IFERROR(
    INDEX(stage!$C$2:$D$100, MATCH(C21, stage!$B$2:$B$100, 0), 
      IF(OR(F21="Stream A", F21="A End"), 1, 2)
    ),
    ""
  )
)</f>
        <v/>
      </c>
      <c r="F21" s="54"/>
      <c r="G21" s="54"/>
      <c r="H21" s="56">
        <f>H19+"03:00:00"</f>
        <v>0.2708333333</v>
      </c>
      <c r="P21" s="54"/>
    </row>
    <row r="22">
      <c r="A22" s="12"/>
      <c r="B22" s="40">
        <v>4.0</v>
      </c>
      <c r="C22" s="48"/>
      <c r="D22" s="48"/>
      <c r="E22" s="51" t="str">
        <f t="array" ref="E22">IF(
  F22="End",
  "",
  IFERROR(
    INDEX(stage!$C$2:$D$100, MATCH(C22, stage!$B$2:$B$100, 0), 
      IF(OR(F22="Stream A", F22="A End"), 1, 2)
    ),
    ""
  )
)</f>
        <v/>
      </c>
      <c r="F22" s="54" t="s">
        <v>21</v>
      </c>
      <c r="G22" s="54"/>
      <c r="H22" s="56">
        <v>0.0</v>
      </c>
      <c r="I22" s="57"/>
      <c r="J22" s="57"/>
      <c r="K22" s="57"/>
      <c r="L22" s="57"/>
      <c r="M22" s="57"/>
      <c r="N22" s="72" t="s">
        <v>24</v>
      </c>
      <c r="O22" s="57"/>
      <c r="P22" s="54"/>
    </row>
    <row r="23">
      <c r="A23" s="12"/>
      <c r="C23" s="48"/>
      <c r="D23" s="48"/>
      <c r="E23" s="51" t="str">
        <f t="array" ref="E23">IF(
  F23="End",
  "",
  IFERROR(
    INDEX(stage!$C$2:$D$100, MATCH(C23, stage!$B$2:$B$100, 0), 
      IF(OR(F23="Stream A", F23="A End"), 1, 2)
    ),
    ""
  )
)</f>
        <v/>
      </c>
      <c r="F23" s="54" t="s">
        <v>25</v>
      </c>
      <c r="G23" s="54"/>
      <c r="H23" s="56">
        <f>H22</f>
        <v>0</v>
      </c>
      <c r="I23" s="57"/>
      <c r="J23" s="57"/>
      <c r="K23" s="57"/>
      <c r="L23" s="57"/>
      <c r="M23" s="57"/>
      <c r="N23" s="72" t="s">
        <v>24</v>
      </c>
      <c r="O23" s="57"/>
      <c r="P23" s="54"/>
    </row>
    <row r="24">
      <c r="A24" s="12"/>
      <c r="C24" s="48"/>
      <c r="D24" s="48"/>
      <c r="E24" s="51" t="str">
        <f t="array" ref="E24">IF(
  F24="End",
  "",
  IFERROR(
    INDEX(stage!$C$2:$D$100, MATCH(C24, stage!$B$2:$B$100, 0), 
      IF(OR(F24="Stream A", F24="A End"), 1, 2)
    ),
    ""
  )
)</f>
        <v/>
      </c>
      <c r="F24" s="54" t="s">
        <v>21</v>
      </c>
      <c r="G24" s="54"/>
      <c r="H24" s="56">
        <f>H22+"03:30:00"</f>
        <v>0.1458333333</v>
      </c>
      <c r="I24" s="57"/>
      <c r="J24" s="57"/>
      <c r="K24" s="57"/>
      <c r="L24" s="57"/>
      <c r="M24" s="57"/>
      <c r="N24" s="72" t="s">
        <v>24</v>
      </c>
      <c r="O24" s="57"/>
      <c r="P24" s="54"/>
    </row>
    <row r="25">
      <c r="A25" s="12"/>
      <c r="C25" s="48"/>
      <c r="D25" s="48"/>
      <c r="E25" s="51" t="str">
        <f t="array" ref="E25">IF(
  F25="End",
  "",
  IFERROR(
    INDEX(stage!$C$2:$D$100, MATCH(C25, stage!$B$2:$B$100, 0), 
      IF(OR(F25="Stream A", F25="A End"), 1, 2)
    ),
    ""
  )
)</f>
        <v/>
      </c>
      <c r="F25" s="54" t="s">
        <v>25</v>
      </c>
      <c r="G25" s="54"/>
      <c r="H25" s="56">
        <f>H24</f>
        <v>0.1458333333</v>
      </c>
      <c r="I25" s="57"/>
      <c r="J25" s="57"/>
      <c r="K25" s="57"/>
      <c r="L25" s="57"/>
      <c r="M25" s="57"/>
      <c r="N25" s="72" t="s">
        <v>24</v>
      </c>
      <c r="O25" s="57"/>
      <c r="P25" s="54"/>
    </row>
    <row r="26">
      <c r="A26" s="12"/>
      <c r="C26" s="48"/>
      <c r="D26" s="48"/>
      <c r="E26" s="51" t="str">
        <f t="array" ref="E26">IF(
  F26="End",
  "",
  IFERROR(
    INDEX(stage!$C$2:$D$100, MATCH(C26, stage!$B$2:$B$100, 0), 
      IF(OR(F26="Stream A", F26="A End"), 1, 2)
    ),
    ""
  )
)</f>
        <v/>
      </c>
      <c r="F26" s="54"/>
      <c r="G26" s="54"/>
      <c r="H26" s="56">
        <f>H24+"03:00:00"</f>
        <v>0.2708333333</v>
      </c>
      <c r="N26" s="72"/>
      <c r="P26" s="54"/>
    </row>
    <row r="27">
      <c r="A27" s="12"/>
      <c r="B27" s="40"/>
      <c r="C27" s="48"/>
      <c r="D27" s="48"/>
      <c r="E27" s="51" t="str">
        <f t="array" ref="E27">IF(
  F27="End",
  "",
  IFERROR(
    INDEX(stage!$C$2:$D$100, MATCH(C27, stage!$B$2:$B$100, 0), 
      IF(OR(F27="Stream A", F27="A End"), 1, 2)
    ),
    ""
  )
)</f>
        <v/>
      </c>
      <c r="F27" s="54" t="s">
        <v>21</v>
      </c>
      <c r="G27" s="54"/>
      <c r="H27" s="56">
        <v>0.0</v>
      </c>
      <c r="I27" s="57"/>
      <c r="J27" s="57"/>
      <c r="K27" s="57"/>
      <c r="L27" s="57"/>
      <c r="M27" s="57"/>
      <c r="N27" s="72" t="s">
        <v>47</v>
      </c>
      <c r="O27" s="57"/>
      <c r="P27" s="54"/>
    </row>
    <row r="28">
      <c r="A28" s="12"/>
      <c r="C28" s="48"/>
      <c r="D28" s="48"/>
      <c r="E28" s="51" t="str">
        <f t="array" ref="E28">IF(
  F28="End",
  "",
  IFERROR(
    INDEX(stage!$C$2:$D$100, MATCH(C28, stage!$B$2:$B$100, 0), 
      IF(OR(F28="Stream A", F28="A End"), 1, 2)
    ),
    ""
  )
)</f>
        <v/>
      </c>
      <c r="F28" s="54" t="s">
        <v>21</v>
      </c>
      <c r="G28" s="54"/>
      <c r="H28" s="56">
        <f>H27</f>
        <v>0</v>
      </c>
      <c r="I28" s="57"/>
      <c r="J28" s="57"/>
      <c r="K28" s="57"/>
      <c r="L28" s="57"/>
      <c r="M28" s="57"/>
      <c r="N28" s="72" t="s">
        <v>47</v>
      </c>
      <c r="O28" s="57"/>
      <c r="P28" s="136"/>
    </row>
    <row r="29">
      <c r="A29" s="12"/>
      <c r="C29" s="48"/>
      <c r="D29" s="48"/>
      <c r="E29" s="51" t="str">
        <f t="array" ref="E29">IF(
  F30="End",
  "",
  IFERROR(
    INDEX(stage!$C$2:$D$100, MATCH(C29, stage!$B$2:$B$100, 0), 
      IF(OR(F30="Stream A", F30="A End"), 1, 2)
    ),
    ""
  )
)</f>
        <v/>
      </c>
      <c r="P29" s="136"/>
    </row>
    <row r="30">
      <c r="A30" s="12"/>
      <c r="C30" s="48"/>
      <c r="D30" s="48"/>
      <c r="E30" s="51" t="str">
        <f t="array" ref="E30">IF(
  F31="End",
  "",
  IFERROR(
    INDEX(stage!$C$2:$D$100, MATCH(C30, stage!$B$2:$B$100, 0), 
      IF(OR(F31="Stream A", F31="A End"), 1, 2)
    ),
    ""
  )
)</f>
        <v/>
      </c>
      <c r="F30" s="54" t="s">
        <v>21</v>
      </c>
      <c r="G30" s="54"/>
      <c r="H30" s="56">
        <f>H27+"03:30:00"</f>
        <v>0.1458333333</v>
      </c>
      <c r="I30" s="57"/>
      <c r="J30" s="57"/>
      <c r="K30" s="57"/>
      <c r="L30" s="57"/>
      <c r="M30" s="57"/>
      <c r="N30" s="72" t="s">
        <v>47</v>
      </c>
      <c r="O30" s="57"/>
      <c r="P30" s="136"/>
    </row>
    <row r="31">
      <c r="A31" s="12"/>
      <c r="C31" s="48"/>
      <c r="D31" s="48"/>
      <c r="E31" s="51" t="str">
        <f t="array" ref="E31">IF(
  F32="End",
  "",
  IFERROR(
    INDEX(stage!$C$2:$D$100, MATCH(C31, stage!$B$2:$B$100, 0), 
      IF(OR(F32="Stream A", F32="A End"), 1, 2)
    ),
    ""
  )
)</f>
        <v/>
      </c>
      <c r="F31" s="54" t="s">
        <v>21</v>
      </c>
      <c r="G31" s="54"/>
      <c r="H31" s="56">
        <f>H30</f>
        <v>0.1458333333</v>
      </c>
      <c r="I31" s="57"/>
      <c r="J31" s="57"/>
      <c r="K31" s="57"/>
      <c r="L31" s="57"/>
      <c r="M31" s="57"/>
      <c r="N31" s="72" t="s">
        <v>47</v>
      </c>
      <c r="O31" s="57"/>
      <c r="P31" s="136"/>
    </row>
    <row r="32">
      <c r="A32" s="12"/>
      <c r="B32" s="40"/>
      <c r="C32" s="48"/>
      <c r="D32" s="48"/>
      <c r="E32" s="51" t="str">
        <f t="array" ref="E32">IF(
  F33="End",
  "",
  IFERROR(
    INDEX(stage!$C$2:$D$100, MATCH(C32, stage!$B$2:$B$100, 0), 
      IF(OR(F33="Stream A", F33="A End"), 1, 2)
    ),
    ""
  )
)</f>
        <v/>
      </c>
      <c r="F32" s="54"/>
      <c r="G32" s="54"/>
      <c r="H32" s="56">
        <f>H30+"03:00:00"</f>
        <v>0.2708333333</v>
      </c>
      <c r="I32" s="85"/>
      <c r="J32" s="85"/>
      <c r="K32" s="85"/>
      <c r="L32" s="85"/>
      <c r="M32" s="85"/>
      <c r="N32" s="72"/>
      <c r="O32" s="54"/>
      <c r="P32" s="136"/>
    </row>
    <row r="33">
      <c r="A33" s="12"/>
      <c r="C33" s="48"/>
      <c r="D33" s="48"/>
      <c r="E33" s="51" t="str">
        <f t="array" ref="E33">IF(
  F38="End",
  "",
  IFERROR(
    INDEX(stage!$C$2:$D$100, MATCH(C33, stage!$B$2:$B$100, 0), 
      IF(OR(F38="Stream A", F38="A End"), 1, 2)
    ),
    ""
  )
)</f>
        <v/>
      </c>
      <c r="F33" s="54" t="s">
        <v>21</v>
      </c>
      <c r="G33" s="54"/>
      <c r="H33" s="56">
        <v>0.0</v>
      </c>
      <c r="I33" s="85"/>
      <c r="J33" s="85"/>
      <c r="K33" s="85"/>
      <c r="L33" s="85"/>
      <c r="M33" s="85"/>
      <c r="N33" s="54" t="s">
        <v>47</v>
      </c>
      <c r="O33" s="54"/>
      <c r="P33" s="136"/>
    </row>
    <row r="34">
      <c r="A34" s="12"/>
      <c r="B34" s="40"/>
      <c r="C34" s="48"/>
      <c r="D34" s="48"/>
      <c r="E34" s="51" t="str">
        <f t="array" ref="E34">IF(
  F39="End",
  "",
  IFERROR(
    INDEX(stage!$C$2:$D$100, MATCH(C34, stage!$B$2:$B$100, 0), 
      IF(OR(F39="Stream A", F39="A End"), 1, 2)
    ),
    ""
  )
)</f>
        <v/>
      </c>
      <c r="F34" s="54" t="s">
        <v>21</v>
      </c>
      <c r="G34" s="54"/>
      <c r="H34" s="56">
        <f>H33</f>
        <v>0</v>
      </c>
      <c r="I34" s="57"/>
      <c r="J34" s="57"/>
      <c r="K34" s="57"/>
      <c r="L34" s="57"/>
      <c r="M34" s="57"/>
      <c r="N34" s="72" t="s">
        <v>47</v>
      </c>
      <c r="O34" s="57"/>
      <c r="P34" s="136"/>
    </row>
    <row r="35">
      <c r="A35" s="12"/>
      <c r="C35" s="48"/>
      <c r="D35" s="48"/>
      <c r="E35" s="51" t="str">
        <f t="array" ref="E35">IF(
  F40="End",
  "",
  IFERROR(
    INDEX(stage!$C$2:$D$100, MATCH(C35, stage!$B$2:$B$100, 0), 
      IF(OR(F40="Stream A", F40="A End"), 1, 2)
    ),
    ""
  )
)</f>
        <v/>
      </c>
      <c r="P35" s="136"/>
    </row>
    <row r="36">
      <c r="A36" s="12"/>
      <c r="C36" s="48"/>
      <c r="D36" s="48"/>
      <c r="E36" s="51" t="str">
        <f t="array" ref="E36">IF(
  F41="End",
  "",
  IFERROR(
    INDEX(stage!$C$2:$D$100, MATCH(C36, stage!$B$2:$B$100, 0), 
      IF(OR(F41="Stream A", F41="A End"), 1, 2)
    ),
    ""
  )
)</f>
        <v/>
      </c>
      <c r="F36" s="54" t="s">
        <v>21</v>
      </c>
      <c r="G36" s="54"/>
      <c r="H36" s="56">
        <f>H33+"03:30:00"</f>
        <v>0.1458333333</v>
      </c>
      <c r="I36" s="57"/>
      <c r="J36" s="57"/>
      <c r="K36" s="57"/>
      <c r="L36" s="57"/>
      <c r="M36" s="57"/>
      <c r="N36" s="72" t="s">
        <v>47</v>
      </c>
      <c r="O36" s="57"/>
      <c r="P36" s="136"/>
    </row>
    <row r="37">
      <c r="A37" s="12"/>
      <c r="B37" s="40"/>
      <c r="C37" s="48"/>
      <c r="D37" s="48"/>
      <c r="E37" s="51" t="str">
        <f t="array" ref="E37">IF(
  F42="End",
  "",
  IFERROR(
    INDEX(stage!$C$2:$D$100, MATCH(C37, stage!$B$2:$B$100, 0), 
      IF(OR(F42="Stream A", F42="A End"), 1, 2)
    ),
    ""
  )
)</f>
        <v/>
      </c>
      <c r="F37" s="54" t="s">
        <v>21</v>
      </c>
      <c r="G37" s="54"/>
      <c r="H37" s="56">
        <f>H36</f>
        <v>0.1458333333</v>
      </c>
      <c r="I37" s="57"/>
      <c r="J37" s="57"/>
      <c r="K37" s="57"/>
      <c r="L37" s="57"/>
      <c r="M37" s="57"/>
      <c r="N37" s="72" t="s">
        <v>47</v>
      </c>
      <c r="O37" s="57"/>
      <c r="P37" s="136"/>
    </row>
    <row r="38">
      <c r="A38" s="12"/>
      <c r="C38" s="48"/>
      <c r="D38" s="48"/>
      <c r="E38" s="51" t="str">
        <f t="array" ref="E38">IF(
  F43="End",
  "",
  IFERROR(
    INDEX(stage!$C$2:$D$100, MATCH(C38, stage!$B$2:$B$100, 0), 
      IF(OR(F43="Stream A", F43="A End"), 1, 2)
    ),
    ""
  )
)</f>
        <v/>
      </c>
      <c r="F38" s="54"/>
      <c r="G38" s="54"/>
      <c r="H38" s="56">
        <f>H36+"03:00:00"</f>
        <v>0.2708333333</v>
      </c>
      <c r="N38" s="72"/>
      <c r="P38" s="136"/>
    </row>
    <row r="39">
      <c r="A39" s="12"/>
      <c r="C39" s="48"/>
      <c r="D39" s="48"/>
      <c r="E39" s="51" t="str">
        <f t="array" ref="E39">IF(
  F44="End",
  "",
  IFERROR(
    INDEX(stage!$C$2:$D$100, MATCH(C39, stage!$B$2:$B$100, 0), 
      IF(OR(F44="Stream A", F44="A End"), 1, 2)
    ),
    ""
  )
)</f>
        <v/>
      </c>
      <c r="F39" s="54" t="s">
        <v>21</v>
      </c>
      <c r="G39" s="54"/>
      <c r="H39" s="56">
        <v>0.0</v>
      </c>
      <c r="I39" s="57"/>
      <c r="J39" s="57"/>
      <c r="K39" s="57"/>
      <c r="L39" s="57"/>
      <c r="M39" s="57"/>
      <c r="N39" s="72" t="s">
        <v>60</v>
      </c>
      <c r="O39" s="57"/>
      <c r="P39" s="136"/>
    </row>
    <row r="40">
      <c r="A40" s="12"/>
      <c r="B40" s="40">
        <v>9.0</v>
      </c>
      <c r="C40" s="48"/>
      <c r="D40" s="48"/>
      <c r="E40" s="51" t="str">
        <f t="array" ref="E40">IF(
  F45="End",
  "",
  IFERROR(
    INDEX(stage!$C$2:$D$100, MATCH(C40, stage!$B$2:$B$100, 0), 
      IF(OR(F45="Stream A", F45="A End"), 1, 2)
    ),
    ""
  )
)</f>
        <v/>
      </c>
      <c r="F40" s="54" t="s">
        <v>21</v>
      </c>
      <c r="G40" s="54"/>
      <c r="H40" s="56">
        <f>H39+"03:30:00"</f>
        <v>0.1458333333</v>
      </c>
      <c r="I40" s="57"/>
      <c r="J40" s="57"/>
      <c r="K40" s="57"/>
      <c r="L40" s="57"/>
      <c r="M40" s="57"/>
      <c r="N40" s="72" t="s">
        <v>60</v>
      </c>
      <c r="O40" s="57"/>
      <c r="P40" s="54"/>
    </row>
    <row r="41">
      <c r="A41" s="12"/>
      <c r="C41" s="48"/>
      <c r="D41" s="48"/>
      <c r="E41" s="51" t="str">
        <f t="array" ref="E41">IF(
  F46="End",
  "",
  IFERROR(
    INDEX(stage!$C$2:$D$100, MATCH(C41, stage!$B$2:$B$100, 0), 
      IF(OR(F46="Stream A", F46="A End"), 1, 2)
    ),
    ""
  )
)</f>
        <v/>
      </c>
      <c r="F41" s="54"/>
      <c r="G41" s="54"/>
      <c r="H41" s="56">
        <f>H40+"03:00:00"</f>
        <v>0.2708333333</v>
      </c>
      <c r="N41" s="72"/>
      <c r="P41" s="54"/>
    </row>
    <row r="42">
      <c r="A42" s="12"/>
      <c r="C42" s="48"/>
      <c r="D42" s="48"/>
      <c r="E42" s="51" t="str">
        <f t="array" ref="E42">IF(
  F47="End",
  "",
  IFERROR(
    INDEX(stage!$C$2:$D$100, MATCH(C42, stage!$B$2:$B$100, 0), 
      IF(OR(F47="Stream A", F47="A End"), 1, 2)
    ),
    ""
  )
)</f>
        <v/>
      </c>
      <c r="F42" s="54" t="s">
        <v>21</v>
      </c>
      <c r="G42" s="54"/>
      <c r="H42" s="56">
        <v>0.0</v>
      </c>
      <c r="I42" s="57"/>
      <c r="J42" s="57"/>
      <c r="K42" s="57"/>
      <c r="L42" s="57"/>
      <c r="M42" s="57"/>
      <c r="N42" s="72" t="s">
        <v>60</v>
      </c>
      <c r="O42" s="57"/>
      <c r="P42" s="54"/>
    </row>
    <row r="43">
      <c r="A43" s="12"/>
      <c r="B43" s="40">
        <v>10.0</v>
      </c>
      <c r="C43" s="48"/>
      <c r="D43" s="48"/>
      <c r="E43" s="51"/>
      <c r="F43" s="54" t="s">
        <v>21</v>
      </c>
      <c r="G43" s="54"/>
      <c r="H43" s="56">
        <f>H42+"03:30:00"</f>
        <v>0.1458333333</v>
      </c>
      <c r="I43" s="57"/>
      <c r="J43" s="57"/>
      <c r="K43" s="57"/>
      <c r="L43" s="57"/>
      <c r="M43" s="57"/>
      <c r="N43" s="72" t="s">
        <v>60</v>
      </c>
      <c r="O43" s="57"/>
      <c r="P43" s="54"/>
    </row>
    <row r="44">
      <c r="A44" s="12"/>
      <c r="C44" s="48"/>
      <c r="D44" s="48"/>
      <c r="E44" s="51"/>
      <c r="F44" s="54"/>
      <c r="G44" s="54"/>
      <c r="H44" s="56">
        <f>H43+"03:00:00"</f>
        <v>0.2708333333</v>
      </c>
      <c r="N44" s="72"/>
      <c r="P44" s="54"/>
    </row>
    <row r="45">
      <c r="A45" s="12"/>
      <c r="C45" s="48"/>
      <c r="D45" s="48"/>
      <c r="E45" s="51"/>
      <c r="F45" s="54" t="s">
        <v>21</v>
      </c>
      <c r="G45" s="54"/>
      <c r="H45" s="56">
        <v>0.0</v>
      </c>
      <c r="I45" s="57"/>
      <c r="J45" s="57"/>
      <c r="K45" s="57"/>
      <c r="L45" s="57"/>
      <c r="M45" s="57"/>
      <c r="N45" s="72" t="s">
        <v>64</v>
      </c>
      <c r="O45" s="57"/>
      <c r="P45" s="54"/>
    </row>
    <row r="46">
      <c r="A46" s="12"/>
      <c r="B46" s="40"/>
      <c r="C46" s="48"/>
      <c r="D46" s="48"/>
      <c r="E46" s="51"/>
      <c r="F46" s="54" t="s">
        <v>21</v>
      </c>
      <c r="G46" s="54"/>
      <c r="H46" s="56">
        <f>H45+"03:30:00"</f>
        <v>0.1458333333</v>
      </c>
      <c r="I46" s="85"/>
      <c r="J46" s="85"/>
      <c r="K46" s="85"/>
      <c r="L46" s="85"/>
      <c r="M46" s="85"/>
      <c r="N46" s="72" t="s">
        <v>64</v>
      </c>
      <c r="O46" s="54"/>
      <c r="P46" s="54"/>
    </row>
    <row r="47">
      <c r="A47" s="12"/>
      <c r="B47" s="40"/>
      <c r="C47" s="48"/>
      <c r="D47" s="48"/>
      <c r="E47" s="51"/>
      <c r="F47" s="54"/>
      <c r="G47" s="54"/>
      <c r="H47" s="56">
        <f>H46+"03:00:00"</f>
        <v>0.2708333333</v>
      </c>
      <c r="I47" s="85"/>
      <c r="J47" s="85"/>
      <c r="K47" s="85"/>
      <c r="L47" s="85"/>
      <c r="M47" s="85"/>
      <c r="N47" s="54"/>
      <c r="O47" s="54"/>
      <c r="P47" s="54"/>
    </row>
    <row r="48">
      <c r="A48" s="12"/>
      <c r="B48" s="40"/>
      <c r="C48" s="48"/>
      <c r="D48" s="48"/>
      <c r="E48" s="51"/>
      <c r="F48" s="54" t="s">
        <v>21</v>
      </c>
      <c r="G48" s="54"/>
      <c r="H48" s="56">
        <v>0.0</v>
      </c>
      <c r="I48" s="57"/>
      <c r="J48" s="57"/>
      <c r="K48" s="57"/>
      <c r="L48" s="57"/>
      <c r="M48" s="57"/>
      <c r="N48" s="72" t="s">
        <v>70</v>
      </c>
      <c r="O48" s="57"/>
      <c r="P48" s="54"/>
    </row>
    <row r="49">
      <c r="A49" s="12"/>
      <c r="B49" s="40"/>
      <c r="C49" s="48"/>
      <c r="D49" s="48"/>
      <c r="E49" s="51"/>
      <c r="F49" s="54" t="s">
        <v>21</v>
      </c>
      <c r="G49" s="54"/>
      <c r="H49" s="56">
        <f>H48+"03:30:00"</f>
        <v>0.1458333333</v>
      </c>
      <c r="I49" s="57"/>
      <c r="J49" s="57"/>
      <c r="K49" s="57"/>
      <c r="L49" s="57"/>
      <c r="M49" s="57"/>
      <c r="N49" s="72" t="s">
        <v>72</v>
      </c>
      <c r="O49" s="57"/>
      <c r="P49" s="54"/>
    </row>
    <row r="50">
      <c r="A50" s="12"/>
      <c r="B50" s="40"/>
      <c r="C50" s="48"/>
      <c r="D50" s="48"/>
      <c r="E50" s="51"/>
      <c r="F50" s="54"/>
      <c r="G50" s="54"/>
      <c r="H50" s="56">
        <f>H49+"03:00:00"</f>
        <v>0.2708333333</v>
      </c>
      <c r="N50" s="72"/>
      <c r="P50" s="54"/>
    </row>
    <row r="51">
      <c r="A51" s="12"/>
      <c r="B51" s="40"/>
      <c r="C51" s="48"/>
      <c r="D51" s="48"/>
      <c r="E51" s="51"/>
      <c r="F51" s="54"/>
      <c r="G51" s="54"/>
      <c r="H51" s="56"/>
      <c r="N51" s="72"/>
      <c r="P51" s="54"/>
    </row>
    <row r="52">
      <c r="A52" s="12"/>
      <c r="B52" s="40"/>
      <c r="C52" s="48"/>
      <c r="D52" s="48"/>
      <c r="E52" s="51"/>
      <c r="F52" s="54"/>
      <c r="G52" s="54"/>
      <c r="H52" s="56"/>
      <c r="N52" s="72"/>
      <c r="P52" s="54"/>
    </row>
    <row r="53">
      <c r="A53" s="12"/>
      <c r="B53" s="40"/>
      <c r="C53" s="48"/>
      <c r="D53" s="48"/>
      <c r="E53" s="51"/>
      <c r="F53" s="54"/>
      <c r="G53" s="54"/>
      <c r="H53" s="56"/>
      <c r="N53" s="72"/>
      <c r="P53" s="54"/>
    </row>
    <row r="54">
      <c r="A54" s="12"/>
      <c r="B54" s="40"/>
      <c r="C54" s="48"/>
      <c r="D54" s="48"/>
      <c r="E54" s="51"/>
      <c r="F54" s="54"/>
      <c r="G54" s="54"/>
      <c r="H54" s="56"/>
      <c r="I54" s="85"/>
      <c r="J54" s="85"/>
      <c r="K54" s="85"/>
      <c r="L54" s="85"/>
      <c r="M54" s="85"/>
      <c r="N54" s="72"/>
      <c r="O54" s="54"/>
      <c r="P54" s="54"/>
    </row>
    <row r="55">
      <c r="A55" s="12"/>
      <c r="B55" s="40"/>
      <c r="C55" s="48"/>
      <c r="D55" s="48"/>
      <c r="E55" s="51"/>
      <c r="F55" s="54"/>
      <c r="G55" s="54"/>
      <c r="H55" s="56"/>
      <c r="I55" s="85"/>
      <c r="J55" s="85"/>
      <c r="K55" s="85"/>
      <c r="L55" s="85"/>
      <c r="M55" s="85"/>
      <c r="N55" s="54"/>
      <c r="O55" s="54"/>
      <c r="P55" s="54"/>
    </row>
    <row r="56">
      <c r="A56" s="12"/>
      <c r="B56" s="40"/>
      <c r="C56" s="48"/>
      <c r="D56" s="48"/>
      <c r="E56" s="51"/>
      <c r="F56" s="54"/>
      <c r="G56" s="54"/>
      <c r="H56" s="56"/>
      <c r="N56" s="72"/>
      <c r="P56" s="54"/>
    </row>
    <row r="57">
      <c r="A57" s="12"/>
      <c r="B57" s="40"/>
      <c r="C57" s="48"/>
      <c r="D57" s="48"/>
      <c r="E57" s="51"/>
      <c r="F57" s="54"/>
      <c r="G57" s="54"/>
      <c r="H57" s="56"/>
      <c r="N57" s="72"/>
      <c r="P57" s="54"/>
    </row>
    <row r="58">
      <c r="A58" s="12"/>
      <c r="B58" s="40"/>
      <c r="C58" s="48"/>
      <c r="D58" s="48"/>
      <c r="E58" s="51"/>
      <c r="F58" s="54"/>
      <c r="G58" s="54"/>
      <c r="H58" s="56"/>
      <c r="N58" s="72"/>
      <c r="P58" s="54"/>
    </row>
    <row r="59">
      <c r="A59" s="12"/>
      <c r="B59" s="40"/>
      <c r="C59" s="48"/>
      <c r="D59" s="48"/>
      <c r="E59" s="51"/>
      <c r="F59" s="54"/>
      <c r="G59" s="54"/>
      <c r="H59" s="56"/>
      <c r="N59" s="72"/>
      <c r="P59" s="54"/>
    </row>
    <row r="60">
      <c r="A60" s="12"/>
      <c r="B60" s="40"/>
      <c r="C60" s="48"/>
      <c r="D60" s="48"/>
      <c r="E60" s="51"/>
      <c r="F60" s="54"/>
      <c r="G60" s="54"/>
      <c r="H60" s="56"/>
      <c r="N60" s="72"/>
      <c r="P60" s="54"/>
    </row>
    <row r="61">
      <c r="A61" s="12"/>
      <c r="B61" s="40"/>
      <c r="C61" s="48"/>
      <c r="D61" s="48"/>
      <c r="E61" s="51"/>
      <c r="F61" s="54"/>
      <c r="G61" s="54"/>
      <c r="H61" s="56"/>
      <c r="N61" s="72"/>
      <c r="P61" s="54"/>
    </row>
    <row r="62">
      <c r="A62" s="12"/>
      <c r="B62" s="40"/>
      <c r="C62" s="48"/>
      <c r="D62" s="48"/>
      <c r="E62" s="51"/>
      <c r="F62" s="54"/>
      <c r="G62" s="140"/>
      <c r="H62" s="56"/>
      <c r="N62" s="72"/>
      <c r="P62" s="54"/>
    </row>
    <row r="63">
      <c r="A63" s="12"/>
      <c r="B63" s="40"/>
      <c r="C63" s="48"/>
      <c r="D63" s="48"/>
      <c r="E63" s="51"/>
      <c r="F63" s="54"/>
      <c r="G63" s="140"/>
      <c r="H63" s="56"/>
      <c r="N63" s="72"/>
      <c r="P63" s="54"/>
    </row>
    <row r="64">
      <c r="A64" s="12"/>
      <c r="B64" s="40"/>
      <c r="C64" s="48"/>
      <c r="D64" s="48"/>
      <c r="E64" s="51"/>
      <c r="F64" s="54"/>
      <c r="G64" s="140"/>
      <c r="H64" s="56"/>
      <c r="N64" s="72"/>
      <c r="P64" s="54"/>
    </row>
    <row r="65">
      <c r="A65" s="12"/>
      <c r="B65" s="40"/>
      <c r="C65" s="48"/>
      <c r="D65" s="48"/>
      <c r="E65" s="51"/>
      <c r="F65" s="54"/>
      <c r="G65" s="140"/>
      <c r="H65" s="56"/>
      <c r="N65" s="72"/>
      <c r="P65" s="54"/>
    </row>
    <row r="66">
      <c r="A66" s="12"/>
      <c r="B66" s="40"/>
      <c r="C66" s="48"/>
      <c r="D66" s="48"/>
      <c r="E66" s="51"/>
      <c r="F66" s="54"/>
      <c r="G66" s="140"/>
      <c r="H66" s="56"/>
      <c r="N66" s="72"/>
      <c r="P66" s="54"/>
    </row>
    <row r="67">
      <c r="A67" s="12"/>
      <c r="B67" s="40"/>
      <c r="C67" s="48"/>
      <c r="D67" s="48"/>
      <c r="E67" s="51"/>
      <c r="F67" s="54"/>
      <c r="G67" s="140"/>
      <c r="H67" s="56"/>
      <c r="I67" s="141"/>
      <c r="J67" s="141"/>
      <c r="K67" s="141"/>
      <c r="L67" s="141"/>
      <c r="M67" s="141"/>
      <c r="N67" s="72"/>
      <c r="O67" s="54"/>
      <c r="P67" s="54"/>
    </row>
    <row r="68">
      <c r="A68" s="12"/>
      <c r="B68" s="40"/>
      <c r="C68" s="48"/>
      <c r="D68" s="48"/>
      <c r="E68" s="51"/>
      <c r="F68" s="54"/>
      <c r="G68" s="54"/>
      <c r="H68" s="56"/>
      <c r="I68" s="85"/>
      <c r="J68" s="85"/>
      <c r="K68" s="85"/>
      <c r="L68" s="85"/>
      <c r="M68" s="85"/>
      <c r="N68" s="54"/>
      <c r="O68" s="54"/>
      <c r="P68" s="54"/>
    </row>
    <row r="69">
      <c r="A69" s="12"/>
      <c r="B69" s="40"/>
      <c r="C69" s="48"/>
      <c r="D69" s="48"/>
      <c r="E69" s="51"/>
      <c r="F69" s="54"/>
      <c r="G69" s="54"/>
      <c r="H69" s="56"/>
      <c r="N69" s="72"/>
      <c r="P69" s="54"/>
    </row>
    <row r="70">
      <c r="A70" s="12"/>
      <c r="B70" s="40"/>
      <c r="C70" s="48"/>
      <c r="D70" s="48"/>
      <c r="E70" s="51"/>
      <c r="F70" s="54"/>
      <c r="G70" s="54"/>
      <c r="H70" s="56"/>
      <c r="N70" s="72"/>
      <c r="P70" s="54"/>
    </row>
    <row r="71">
      <c r="A71" s="12"/>
      <c r="B71" s="40"/>
      <c r="C71" s="48"/>
      <c r="D71" s="48"/>
      <c r="E71" s="51"/>
      <c r="F71" s="54"/>
      <c r="G71" s="54"/>
      <c r="H71" s="56"/>
      <c r="N71" s="72"/>
      <c r="P71" s="54"/>
    </row>
    <row r="72">
      <c r="A72" s="12"/>
      <c r="B72" s="40"/>
      <c r="C72" s="48"/>
      <c r="D72" s="48"/>
      <c r="E72" s="51"/>
      <c r="F72" s="54"/>
      <c r="G72" s="54"/>
      <c r="H72" s="56"/>
      <c r="N72" s="72"/>
      <c r="P72" s="54"/>
    </row>
    <row r="73">
      <c r="A73" s="12"/>
      <c r="B73" s="40"/>
      <c r="C73" s="48"/>
      <c r="D73" s="48"/>
      <c r="E73" s="51"/>
      <c r="F73" s="54"/>
      <c r="G73" s="54"/>
      <c r="H73" s="56"/>
      <c r="N73" s="72"/>
      <c r="P73" s="54"/>
    </row>
    <row r="74">
      <c r="A74" s="12"/>
      <c r="B74" s="40"/>
      <c r="C74" s="48"/>
      <c r="D74" s="48"/>
      <c r="E74" s="51"/>
      <c r="F74" s="54"/>
      <c r="G74" s="54"/>
      <c r="H74" s="56"/>
      <c r="I74" s="85"/>
      <c r="J74" s="85"/>
      <c r="K74" s="85"/>
      <c r="L74" s="85"/>
      <c r="M74" s="85"/>
      <c r="N74" s="72"/>
      <c r="O74" s="54"/>
      <c r="P74" s="54"/>
    </row>
    <row r="75">
      <c r="A75" s="12"/>
      <c r="B75" s="40"/>
      <c r="C75" s="48"/>
      <c r="D75" s="48"/>
      <c r="E75" s="51"/>
      <c r="F75" s="54"/>
      <c r="G75" s="140"/>
      <c r="H75" s="56"/>
      <c r="N75" s="72"/>
      <c r="O75" s="54"/>
      <c r="P75" s="54"/>
    </row>
    <row r="76">
      <c r="A76" s="12"/>
      <c r="B76" s="40"/>
      <c r="C76" s="48"/>
      <c r="D76" s="48"/>
      <c r="E76" s="51"/>
      <c r="F76" s="54"/>
      <c r="G76" s="140"/>
      <c r="H76" s="56"/>
      <c r="N76" s="72"/>
      <c r="O76" s="54"/>
      <c r="P76" s="54"/>
    </row>
    <row r="77">
      <c r="A77" s="12"/>
      <c r="B77" s="40"/>
      <c r="C77" s="48"/>
      <c r="D77" s="48"/>
      <c r="E77" s="51"/>
      <c r="F77" s="54"/>
      <c r="G77" s="140"/>
      <c r="H77" s="56"/>
      <c r="N77" s="72"/>
      <c r="O77" s="54"/>
      <c r="P77" s="54"/>
    </row>
    <row r="78">
      <c r="A78" s="12"/>
      <c r="B78" s="40"/>
      <c r="C78" s="48"/>
      <c r="D78" s="48"/>
      <c r="E78" s="51"/>
      <c r="F78" s="54"/>
      <c r="G78" s="140"/>
      <c r="H78" s="56"/>
      <c r="N78" s="72"/>
      <c r="O78" s="54"/>
      <c r="P78" s="54"/>
    </row>
    <row r="79">
      <c r="A79" s="12"/>
      <c r="B79" s="40"/>
      <c r="C79" s="48"/>
      <c r="D79" s="48"/>
      <c r="E79" s="51"/>
      <c r="F79" s="54"/>
      <c r="G79" s="140"/>
      <c r="H79" s="56"/>
      <c r="N79" s="72"/>
      <c r="O79" s="54"/>
      <c r="P79" s="54"/>
    </row>
    <row r="80">
      <c r="A80" s="12"/>
      <c r="B80" s="40"/>
      <c r="C80" s="48"/>
      <c r="D80" s="48"/>
      <c r="E80" s="51"/>
      <c r="F80" s="54"/>
      <c r="G80" s="140"/>
      <c r="H80" s="56"/>
      <c r="I80" s="141"/>
      <c r="J80" s="141"/>
      <c r="K80" s="141"/>
      <c r="L80" s="141"/>
      <c r="M80" s="141"/>
      <c r="N80" s="72"/>
      <c r="O80" s="54"/>
      <c r="P80" s="54"/>
    </row>
    <row r="81">
      <c r="A81" s="12"/>
      <c r="B81" s="40"/>
      <c r="C81" s="48"/>
      <c r="D81" s="48"/>
      <c r="E81" s="51"/>
      <c r="F81" s="54"/>
      <c r="G81" s="54"/>
      <c r="H81" s="56"/>
      <c r="I81" s="85"/>
      <c r="J81" s="85"/>
      <c r="K81" s="85"/>
      <c r="L81" s="85"/>
      <c r="M81" s="85"/>
      <c r="N81" s="54"/>
      <c r="O81" s="54"/>
      <c r="P81" s="54"/>
    </row>
    <row r="82">
      <c r="A82" s="12"/>
      <c r="B82" s="40"/>
      <c r="C82" s="48"/>
      <c r="D82" s="48"/>
      <c r="E82" s="51"/>
      <c r="F82" s="54"/>
      <c r="G82" s="54"/>
      <c r="H82" s="56"/>
      <c r="I82" s="85"/>
      <c r="J82" s="85"/>
      <c r="K82" s="85"/>
      <c r="L82" s="85"/>
      <c r="M82" s="85"/>
      <c r="N82" s="156"/>
      <c r="O82" s="54"/>
      <c r="P82" s="54"/>
    </row>
    <row r="83">
      <c r="A83" s="12"/>
      <c r="B83" s="40"/>
      <c r="C83" s="48"/>
      <c r="D83" s="48"/>
      <c r="E83" s="51"/>
      <c r="F83" s="54"/>
      <c r="G83" s="54"/>
      <c r="H83" s="56"/>
      <c r="I83" s="85"/>
      <c r="J83" s="85"/>
      <c r="K83" s="85"/>
      <c r="L83" s="85"/>
      <c r="M83" s="85"/>
      <c r="N83" s="156"/>
      <c r="O83" s="54"/>
      <c r="P83" s="54"/>
    </row>
    <row r="84">
      <c r="A84" s="12"/>
      <c r="B84" s="40"/>
      <c r="C84" s="48"/>
      <c r="D84" s="48"/>
      <c r="E84" s="51"/>
      <c r="F84" s="54"/>
      <c r="G84" s="54"/>
      <c r="H84" s="56"/>
      <c r="I84" s="85"/>
      <c r="J84" s="85"/>
      <c r="K84" s="85"/>
      <c r="L84" s="85"/>
      <c r="M84" s="85"/>
      <c r="N84" s="156"/>
      <c r="O84" s="54"/>
      <c r="P84" s="54"/>
    </row>
    <row r="85">
      <c r="A85" s="12"/>
      <c r="B85" s="40"/>
      <c r="C85" s="48"/>
      <c r="D85" s="48"/>
      <c r="E85" s="51"/>
      <c r="F85" s="54"/>
      <c r="G85" s="54"/>
      <c r="H85" s="56"/>
      <c r="I85" s="85"/>
      <c r="J85" s="85"/>
      <c r="K85" s="85"/>
      <c r="L85" s="85"/>
      <c r="M85" s="85"/>
      <c r="N85" s="156"/>
      <c r="O85" s="54"/>
      <c r="P85" s="54"/>
    </row>
    <row r="86">
      <c r="A86" s="12"/>
      <c r="B86" s="40"/>
      <c r="C86" s="48"/>
      <c r="D86" s="48"/>
      <c r="E86" s="51"/>
      <c r="F86" s="54"/>
      <c r="G86" s="54"/>
      <c r="H86" s="56"/>
      <c r="I86" s="85"/>
      <c r="J86" s="85"/>
      <c r="K86" s="85"/>
      <c r="L86" s="85"/>
      <c r="M86" s="85"/>
      <c r="N86" s="54"/>
      <c r="O86" s="54"/>
      <c r="P86" s="54"/>
    </row>
    <row r="87">
      <c r="A87" s="12"/>
      <c r="B87" s="40"/>
      <c r="C87" s="48"/>
      <c r="D87" s="48"/>
      <c r="E87" s="51"/>
      <c r="F87" s="54"/>
      <c r="G87" s="54"/>
      <c r="H87" s="56"/>
      <c r="I87" s="85"/>
      <c r="J87" s="85"/>
      <c r="K87" s="85"/>
      <c r="L87" s="85"/>
      <c r="M87" s="85"/>
      <c r="N87" s="54"/>
      <c r="O87" s="54"/>
      <c r="P87" s="54"/>
    </row>
    <row r="88">
      <c r="A88" s="12"/>
      <c r="B88" s="40"/>
      <c r="C88" s="48"/>
      <c r="D88" s="48"/>
      <c r="E88" s="51"/>
      <c r="F88" s="54"/>
      <c r="G88" s="54"/>
      <c r="H88" s="56"/>
      <c r="I88" s="85"/>
      <c r="J88" s="85"/>
      <c r="K88" s="85"/>
      <c r="L88" s="85"/>
      <c r="M88" s="85"/>
      <c r="N88" s="54"/>
      <c r="O88" s="54"/>
      <c r="P88" s="54"/>
    </row>
    <row r="89">
      <c r="A89" s="12"/>
      <c r="B89" s="40"/>
      <c r="C89" s="48"/>
      <c r="D89" s="48"/>
      <c r="E89" s="51"/>
      <c r="F89" s="54"/>
      <c r="G89" s="54"/>
      <c r="H89" s="56"/>
      <c r="I89" s="85"/>
      <c r="J89" s="85"/>
      <c r="K89" s="85"/>
      <c r="L89" s="85"/>
      <c r="M89" s="85"/>
      <c r="N89" s="54"/>
      <c r="O89" s="54"/>
      <c r="P89" s="54"/>
    </row>
    <row r="90">
      <c r="A90" s="12"/>
      <c r="B90" s="40"/>
      <c r="C90" s="48"/>
      <c r="D90" s="48"/>
      <c r="E90" s="51"/>
      <c r="F90" s="54"/>
      <c r="G90" s="54"/>
      <c r="H90" s="56"/>
      <c r="I90" s="85"/>
      <c r="J90" s="85"/>
      <c r="K90" s="85"/>
      <c r="L90" s="85"/>
      <c r="M90" s="85"/>
      <c r="N90" s="54"/>
      <c r="O90" s="54"/>
      <c r="P90" s="54"/>
    </row>
    <row r="91">
      <c r="A91" s="12"/>
      <c r="B91" s="40"/>
      <c r="C91" s="48"/>
      <c r="D91" s="48"/>
      <c r="E91" s="51"/>
      <c r="F91" s="54"/>
      <c r="G91" s="54"/>
      <c r="H91" s="56"/>
      <c r="I91" s="85"/>
      <c r="J91" s="85"/>
      <c r="K91" s="85"/>
      <c r="L91" s="85"/>
      <c r="M91" s="85"/>
      <c r="N91" s="54"/>
      <c r="O91" s="54"/>
      <c r="P91" s="54"/>
    </row>
    <row r="92">
      <c r="A92" s="12"/>
      <c r="B92" s="40"/>
      <c r="C92" s="48"/>
      <c r="D92" s="48"/>
      <c r="E92" s="51"/>
      <c r="F92" s="54"/>
      <c r="G92" s="54"/>
      <c r="H92" s="56"/>
      <c r="I92" s="85"/>
      <c r="J92" s="85"/>
      <c r="K92" s="85"/>
      <c r="L92" s="85"/>
      <c r="M92" s="85"/>
      <c r="N92" s="54"/>
      <c r="O92" s="54"/>
      <c r="P92" s="54"/>
    </row>
    <row r="93">
      <c r="A93" s="12"/>
      <c r="B93" s="40"/>
      <c r="C93" s="48"/>
      <c r="D93" s="48"/>
      <c r="E93" s="51"/>
      <c r="F93" s="54"/>
      <c r="G93" s="54"/>
      <c r="H93" s="56"/>
      <c r="I93" s="85"/>
      <c r="J93" s="85"/>
      <c r="K93" s="85"/>
      <c r="L93" s="85"/>
      <c r="M93" s="85"/>
      <c r="N93" s="54"/>
      <c r="O93" s="54"/>
      <c r="P93" s="54"/>
    </row>
    <row r="94">
      <c r="A94" s="12"/>
      <c r="B94" s="40"/>
      <c r="C94" s="48"/>
      <c r="D94" s="48"/>
      <c r="E94" s="51"/>
      <c r="F94" s="54"/>
      <c r="G94" s="54"/>
      <c r="H94" s="56"/>
      <c r="I94" s="85"/>
      <c r="J94" s="85"/>
      <c r="K94" s="85"/>
      <c r="L94" s="85"/>
      <c r="M94" s="85"/>
      <c r="N94" s="54"/>
      <c r="O94" s="54"/>
      <c r="P94" s="54"/>
    </row>
    <row r="95">
      <c r="A95" s="12"/>
      <c r="B95" s="40"/>
      <c r="C95" s="48"/>
      <c r="D95" s="48"/>
      <c r="E95" s="51"/>
      <c r="F95" s="54"/>
      <c r="G95" s="54"/>
      <c r="H95" s="56"/>
      <c r="I95" s="85"/>
      <c r="J95" s="85"/>
      <c r="K95" s="85"/>
      <c r="L95" s="85"/>
      <c r="M95" s="85"/>
      <c r="N95" s="54"/>
      <c r="O95" s="54"/>
      <c r="P95" s="54"/>
    </row>
    <row r="96">
      <c r="A96" s="12"/>
      <c r="B96" s="40"/>
      <c r="C96" s="48"/>
      <c r="D96" s="48"/>
      <c r="E96" s="51"/>
      <c r="F96" s="54"/>
      <c r="G96" s="54"/>
      <c r="H96" s="56"/>
      <c r="I96" s="85"/>
      <c r="J96" s="85"/>
      <c r="K96" s="85"/>
      <c r="L96" s="85"/>
      <c r="M96" s="85"/>
      <c r="N96" s="54"/>
      <c r="O96" s="54"/>
      <c r="P96" s="54"/>
    </row>
    <row r="97">
      <c r="A97" s="12"/>
      <c r="B97" s="40"/>
      <c r="C97" s="48"/>
      <c r="D97" s="48"/>
      <c r="E97" s="51"/>
      <c r="F97" s="54"/>
      <c r="G97" s="54"/>
      <c r="H97" s="56"/>
      <c r="I97" s="85"/>
      <c r="J97" s="85"/>
      <c r="K97" s="85"/>
      <c r="L97" s="85"/>
      <c r="M97" s="85"/>
      <c r="N97" s="54"/>
      <c r="O97" s="54"/>
      <c r="P97" s="54"/>
    </row>
    <row r="98">
      <c r="A98" s="12"/>
      <c r="B98" s="40"/>
      <c r="C98" s="48"/>
      <c r="D98" s="48"/>
      <c r="E98" s="51"/>
      <c r="F98" s="54"/>
      <c r="G98" s="54"/>
      <c r="H98" s="56"/>
      <c r="I98" s="85"/>
      <c r="J98" s="85"/>
      <c r="K98" s="85"/>
      <c r="L98" s="85"/>
      <c r="M98" s="85"/>
      <c r="N98" s="54"/>
      <c r="O98" s="54"/>
      <c r="P98" s="54"/>
    </row>
    <row r="99">
      <c r="A99" s="12"/>
      <c r="B99" s="40"/>
      <c r="C99" s="48"/>
      <c r="D99" s="48"/>
      <c r="E99" s="51"/>
      <c r="F99" s="54"/>
      <c r="G99" s="54"/>
      <c r="H99" s="56"/>
      <c r="I99" s="85"/>
      <c r="J99" s="85"/>
      <c r="K99" s="85"/>
      <c r="L99" s="85"/>
      <c r="M99" s="85"/>
      <c r="N99" s="54"/>
      <c r="O99" s="54"/>
      <c r="P99" s="54"/>
    </row>
    <row r="100">
      <c r="A100" s="12"/>
      <c r="B100" s="40"/>
      <c r="C100" s="48"/>
      <c r="D100" s="48"/>
      <c r="E100" s="51"/>
      <c r="F100" s="54"/>
      <c r="G100" s="54"/>
      <c r="H100" s="56"/>
      <c r="I100" s="85"/>
      <c r="J100" s="85"/>
      <c r="K100" s="85"/>
      <c r="L100" s="85"/>
      <c r="M100" s="85"/>
      <c r="N100" s="54"/>
      <c r="O100" s="54"/>
      <c r="P100" s="54"/>
    </row>
    <row r="101">
      <c r="A101" s="12"/>
      <c r="B101" s="40"/>
      <c r="C101" s="48"/>
      <c r="D101" s="48"/>
      <c r="E101" s="51"/>
      <c r="F101" s="54"/>
      <c r="G101" s="54"/>
      <c r="H101" s="56"/>
      <c r="I101" s="85"/>
      <c r="J101" s="85"/>
      <c r="K101" s="85"/>
      <c r="L101" s="85"/>
      <c r="M101" s="85"/>
      <c r="N101" s="54"/>
      <c r="O101" s="54"/>
      <c r="P101" s="54"/>
    </row>
    <row r="102">
      <c r="A102" s="12"/>
      <c r="B102" s="40"/>
      <c r="C102" s="48"/>
      <c r="D102" s="48"/>
      <c r="E102" s="51"/>
      <c r="F102" s="54"/>
      <c r="G102" s="54"/>
      <c r="H102" s="56"/>
      <c r="I102" s="85"/>
      <c r="J102" s="85"/>
      <c r="K102" s="85"/>
      <c r="L102" s="85"/>
      <c r="M102" s="85"/>
      <c r="N102" s="54"/>
      <c r="O102" s="54"/>
      <c r="P102" s="54"/>
    </row>
    <row r="103">
      <c r="A103" s="12"/>
      <c r="B103" s="40"/>
      <c r="C103" s="48"/>
      <c r="D103" s="48"/>
      <c r="E103" s="51"/>
      <c r="F103" s="54"/>
      <c r="G103" s="54"/>
      <c r="H103" s="56"/>
      <c r="I103" s="85"/>
      <c r="J103" s="85"/>
      <c r="K103" s="85"/>
      <c r="L103" s="85"/>
      <c r="M103" s="85"/>
      <c r="N103" s="54"/>
      <c r="O103" s="54"/>
      <c r="P103" s="54"/>
    </row>
    <row r="104">
      <c r="A104" s="12"/>
      <c r="B104" s="40"/>
      <c r="C104" s="48"/>
      <c r="D104" s="48"/>
      <c r="E104" s="51"/>
      <c r="F104" s="54"/>
      <c r="G104" s="54"/>
      <c r="H104" s="56"/>
      <c r="I104" s="85"/>
      <c r="J104" s="85"/>
      <c r="K104" s="85"/>
      <c r="L104" s="85"/>
      <c r="M104" s="85"/>
      <c r="N104" s="54"/>
      <c r="O104" s="54"/>
      <c r="P104" s="54"/>
    </row>
    <row r="105">
      <c r="A105" s="12"/>
      <c r="B105" s="40"/>
      <c r="C105" s="48"/>
      <c r="D105" s="48"/>
      <c r="E105" s="51"/>
      <c r="F105" s="54"/>
      <c r="G105" s="54"/>
      <c r="H105" s="56"/>
      <c r="I105" s="85"/>
      <c r="J105" s="85"/>
      <c r="K105" s="85"/>
      <c r="L105" s="85"/>
      <c r="M105" s="85"/>
      <c r="N105" s="54"/>
      <c r="O105" s="54"/>
      <c r="P105" s="54"/>
    </row>
    <row r="106">
      <c r="A106" s="12"/>
      <c r="B106" s="40"/>
      <c r="C106" s="48"/>
      <c r="D106" s="48"/>
      <c r="E106" s="51"/>
      <c r="F106" s="54"/>
      <c r="G106" s="54"/>
      <c r="H106" s="56"/>
      <c r="I106" s="85"/>
      <c r="J106" s="85"/>
      <c r="K106" s="85"/>
      <c r="L106" s="85"/>
      <c r="M106" s="85"/>
      <c r="N106" s="54"/>
      <c r="O106" s="54"/>
      <c r="P106" s="54"/>
    </row>
    <row r="107">
      <c r="A107" s="12"/>
      <c r="B107" s="40"/>
      <c r="C107" s="48"/>
      <c r="D107" s="48"/>
      <c r="E107" s="51"/>
      <c r="F107" s="54"/>
      <c r="G107" s="54"/>
      <c r="H107" s="56"/>
      <c r="I107" s="85"/>
      <c r="J107" s="85"/>
      <c r="K107" s="85"/>
      <c r="L107" s="85"/>
      <c r="M107" s="85"/>
      <c r="N107" s="54"/>
      <c r="O107" s="54"/>
      <c r="P107" s="54"/>
    </row>
    <row r="108">
      <c r="A108" s="12"/>
      <c r="B108" s="40"/>
      <c r="C108" s="48"/>
      <c r="D108" s="48"/>
      <c r="E108" s="51"/>
      <c r="F108" s="54"/>
      <c r="G108" s="54"/>
      <c r="H108" s="56"/>
      <c r="I108" s="85"/>
      <c r="J108" s="85"/>
      <c r="K108" s="85"/>
      <c r="L108" s="85"/>
      <c r="M108" s="85"/>
      <c r="N108" s="54"/>
      <c r="O108" s="54"/>
      <c r="P108" s="54"/>
    </row>
    <row r="109">
      <c r="A109" s="12"/>
      <c r="B109" s="40"/>
      <c r="C109" s="48"/>
      <c r="D109" s="48"/>
      <c r="E109" s="51"/>
      <c r="F109" s="54"/>
      <c r="G109" s="54"/>
      <c r="H109" s="56"/>
      <c r="I109" s="85"/>
      <c r="J109" s="85"/>
      <c r="K109" s="85"/>
      <c r="L109" s="85"/>
      <c r="M109" s="85"/>
      <c r="N109" s="54"/>
      <c r="O109" s="54"/>
      <c r="P109" s="54"/>
    </row>
    <row r="110">
      <c r="A110" s="12"/>
      <c r="B110" s="40"/>
      <c r="C110" s="48"/>
      <c r="D110" s="48"/>
      <c r="E110" s="51"/>
      <c r="F110" s="54"/>
      <c r="G110" s="54"/>
      <c r="H110" s="56"/>
      <c r="I110" s="85"/>
      <c r="J110" s="85"/>
      <c r="K110" s="85"/>
      <c r="L110" s="85"/>
      <c r="M110" s="85"/>
      <c r="N110" s="54"/>
      <c r="O110" s="54"/>
      <c r="P110" s="54"/>
    </row>
    <row r="111">
      <c r="A111" s="12"/>
      <c r="B111" s="40"/>
      <c r="C111" s="48"/>
      <c r="D111" s="48"/>
      <c r="E111" s="51"/>
      <c r="F111" s="54"/>
      <c r="G111" s="54"/>
      <c r="H111" s="56"/>
      <c r="I111" s="85"/>
      <c r="J111" s="85"/>
      <c r="K111" s="85"/>
      <c r="L111" s="85"/>
      <c r="M111" s="85"/>
      <c r="N111" s="54"/>
      <c r="O111" s="54"/>
      <c r="P111" s="54"/>
    </row>
    <row r="112">
      <c r="A112" s="12"/>
      <c r="B112" s="40"/>
      <c r="C112" s="48"/>
      <c r="D112" s="48"/>
      <c r="E112" s="51"/>
      <c r="F112" s="54"/>
      <c r="G112" s="54"/>
      <c r="H112" s="56"/>
      <c r="I112" s="85"/>
      <c r="J112" s="85"/>
      <c r="K112" s="85"/>
      <c r="L112" s="85"/>
      <c r="M112" s="85"/>
      <c r="N112" s="54"/>
      <c r="O112" s="54"/>
      <c r="P112" s="54"/>
    </row>
    <row r="113">
      <c r="A113" s="12"/>
      <c r="B113" s="40"/>
      <c r="C113" s="48"/>
      <c r="D113" s="48"/>
      <c r="E113" s="51"/>
      <c r="F113" s="54"/>
      <c r="G113" s="54"/>
      <c r="H113" s="56"/>
      <c r="I113" s="85"/>
      <c r="J113" s="85"/>
      <c r="K113" s="85"/>
      <c r="L113" s="85"/>
      <c r="M113" s="85"/>
      <c r="N113" s="54"/>
      <c r="O113" s="54"/>
      <c r="P113" s="54"/>
    </row>
    <row r="114">
      <c r="A114" s="12"/>
      <c r="B114" s="40"/>
      <c r="C114" s="48"/>
      <c r="D114" s="48"/>
      <c r="E114" s="51"/>
      <c r="F114" s="54"/>
      <c r="G114" s="54"/>
      <c r="H114" s="56"/>
      <c r="I114" s="85"/>
      <c r="J114" s="85"/>
      <c r="K114" s="85"/>
      <c r="L114" s="85"/>
      <c r="M114" s="85"/>
      <c r="N114" s="54"/>
      <c r="O114" s="54"/>
      <c r="P114" s="54"/>
    </row>
    <row r="115">
      <c r="A115" s="12"/>
      <c r="B115" s="40"/>
      <c r="C115" s="48"/>
      <c r="D115" s="48"/>
      <c r="E115" s="51"/>
      <c r="F115" s="54"/>
      <c r="G115" s="54"/>
      <c r="H115" s="56"/>
      <c r="I115" s="85"/>
      <c r="J115" s="85"/>
      <c r="K115" s="85"/>
      <c r="L115" s="85"/>
      <c r="M115" s="85"/>
      <c r="N115" s="54"/>
      <c r="O115" s="54"/>
      <c r="P115" s="54"/>
    </row>
    <row r="116">
      <c r="A116" s="12"/>
      <c r="B116" s="40"/>
      <c r="C116" s="48"/>
      <c r="D116" s="48"/>
      <c r="E116" s="51"/>
      <c r="F116" s="54"/>
      <c r="G116" s="54"/>
      <c r="H116" s="56"/>
      <c r="I116" s="85"/>
      <c r="J116" s="85"/>
      <c r="K116" s="85"/>
      <c r="L116" s="85"/>
      <c r="M116" s="85"/>
      <c r="N116" s="54"/>
      <c r="O116" s="54"/>
      <c r="P116" s="54"/>
    </row>
    <row r="117">
      <c r="A117" s="12"/>
      <c r="B117" s="40"/>
      <c r="C117" s="48"/>
      <c r="D117" s="48"/>
      <c r="E117" s="51"/>
      <c r="F117" s="54"/>
      <c r="G117" s="54"/>
      <c r="H117" s="56"/>
      <c r="I117" s="85"/>
      <c r="J117" s="85"/>
      <c r="K117" s="85"/>
      <c r="L117" s="85"/>
      <c r="M117" s="85"/>
      <c r="N117" s="54"/>
      <c r="O117" s="54"/>
      <c r="P117" s="54"/>
    </row>
    <row r="118">
      <c r="A118" s="12"/>
      <c r="B118" s="40"/>
      <c r="C118" s="48"/>
      <c r="D118" s="48"/>
      <c r="E118" s="51"/>
      <c r="F118" s="54"/>
      <c r="G118" s="54"/>
      <c r="H118" s="56"/>
      <c r="I118" s="85"/>
      <c r="J118" s="85"/>
      <c r="K118" s="85"/>
      <c r="L118" s="85"/>
      <c r="M118" s="85"/>
      <c r="N118" s="54"/>
      <c r="O118" s="54"/>
      <c r="P118" s="54"/>
    </row>
    <row r="119">
      <c r="A119" s="12"/>
      <c r="B119" s="40"/>
      <c r="C119" s="48"/>
      <c r="D119" s="48"/>
      <c r="E119" s="51"/>
      <c r="F119" s="54"/>
      <c r="G119" s="54"/>
      <c r="H119" s="56"/>
      <c r="I119" s="85"/>
      <c r="J119" s="85"/>
      <c r="K119" s="85"/>
      <c r="L119" s="85"/>
      <c r="M119" s="85"/>
      <c r="N119" s="54"/>
      <c r="O119" s="54"/>
      <c r="P119" s="54"/>
    </row>
    <row r="120">
      <c r="A120" s="12"/>
      <c r="B120" s="40"/>
      <c r="C120" s="48"/>
      <c r="D120" s="48"/>
      <c r="E120" s="51"/>
      <c r="F120" s="54"/>
      <c r="G120" s="54"/>
      <c r="H120" s="56"/>
      <c r="I120" s="85"/>
      <c r="J120" s="85"/>
      <c r="K120" s="85"/>
      <c r="L120" s="85"/>
      <c r="M120" s="85"/>
      <c r="N120" s="54"/>
      <c r="O120" s="54"/>
      <c r="P120" s="54"/>
    </row>
    <row r="121">
      <c r="A121" s="12"/>
      <c r="B121" s="40"/>
      <c r="C121" s="48"/>
      <c r="D121" s="48"/>
      <c r="E121" s="51"/>
      <c r="F121" s="54"/>
      <c r="G121" s="54"/>
      <c r="H121" s="56"/>
      <c r="I121" s="85"/>
      <c r="J121" s="85"/>
      <c r="K121" s="85"/>
      <c r="L121" s="85"/>
      <c r="M121" s="85"/>
      <c r="N121" s="54"/>
      <c r="O121" s="54"/>
      <c r="P121" s="54"/>
    </row>
    <row r="122">
      <c r="A122" s="12"/>
      <c r="B122" s="40"/>
      <c r="C122" s="48"/>
      <c r="D122" s="48"/>
      <c r="E122" s="51" t="str">
        <f t="array" ref="E122">IF(
  F122="End",
  "",
  IFERROR(
    INDEX(stage!$C$2:$D$100, MATCH(C122, stage!$B$2:$B$100, 0), 
      IF(OR(F122="Stream A", F122="A End"), 1, 2)
    ),
    ""
  )
)</f>
        <v/>
      </c>
      <c r="F122" s="54"/>
      <c r="G122" s="54"/>
      <c r="H122" s="56"/>
      <c r="I122" s="85"/>
      <c r="J122" s="85"/>
      <c r="K122" s="85"/>
      <c r="L122" s="85"/>
      <c r="M122" s="85"/>
      <c r="N122" s="54"/>
      <c r="O122" s="54"/>
      <c r="P122" s="54"/>
    </row>
    <row r="123">
      <c r="A123" s="12"/>
      <c r="B123" s="40"/>
      <c r="C123" s="48"/>
      <c r="D123" s="48"/>
      <c r="E123" s="51" t="str">
        <f t="array" ref="E123">IF(
  F123="End",
  "",
  IFERROR(
    INDEX(stage!$C$2:$D$100, MATCH(C123, stage!$B$2:$B$100, 0), 
      IF(OR(F123="Stream A", F123="A End"), 1, 2)
    ),
    ""
  )
)</f>
        <v/>
      </c>
      <c r="F123" s="54"/>
      <c r="G123" s="54"/>
      <c r="H123" s="56"/>
      <c r="I123" s="85"/>
      <c r="J123" s="85"/>
      <c r="K123" s="85"/>
      <c r="L123" s="85"/>
      <c r="M123" s="85"/>
      <c r="N123" s="54"/>
      <c r="O123" s="54"/>
      <c r="P123" s="54"/>
    </row>
    <row r="124">
      <c r="A124" s="12"/>
      <c r="B124" s="40"/>
      <c r="C124" s="48"/>
      <c r="D124" s="48"/>
      <c r="E124" s="51" t="str">
        <f t="array" ref="E124">IF(
  F124="End",
  "",
  IFERROR(
    INDEX(stage!$C$2:$D$100, MATCH(C124, stage!$B$2:$B$100, 0), 
      IF(OR(F124="Stream A", F124="A End"), 1, 2)
    ),
    ""
  )
)</f>
        <v/>
      </c>
      <c r="F124" s="54"/>
      <c r="G124" s="54"/>
      <c r="H124" s="56"/>
      <c r="I124" s="85"/>
      <c r="J124" s="85"/>
      <c r="K124" s="85"/>
      <c r="L124" s="85"/>
      <c r="M124" s="85"/>
      <c r="N124" s="54"/>
      <c r="O124" s="54"/>
      <c r="P124" s="54"/>
    </row>
    <row r="125">
      <c r="A125" s="12"/>
      <c r="B125" s="40"/>
      <c r="C125" s="48"/>
      <c r="D125" s="48"/>
      <c r="E125" s="51" t="str">
        <f t="array" ref="E125">IF(
  F125="End",
  "",
  IFERROR(
    INDEX(stage!$C$2:$D$100, MATCH(C125, stage!$B$2:$B$100, 0), 
      IF(OR(F125="Stream A", F125="A End"), 1, 2)
    ),
    ""
  )
)</f>
        <v/>
      </c>
      <c r="F125" s="54"/>
      <c r="G125" s="54"/>
      <c r="H125" s="56"/>
      <c r="I125" s="85"/>
      <c r="J125" s="85"/>
      <c r="K125" s="85"/>
      <c r="L125" s="85"/>
      <c r="M125" s="85"/>
      <c r="N125" s="54"/>
      <c r="O125" s="54"/>
      <c r="P125" s="54"/>
    </row>
    <row r="126">
      <c r="A126" s="12"/>
      <c r="B126" s="178"/>
      <c r="C126" s="179" t="s">
        <v>110</v>
      </c>
      <c r="D126" s="1" t="s">
        <v>110</v>
      </c>
      <c r="E126" s="12"/>
      <c r="F126" s="180"/>
      <c r="G126" s="181"/>
      <c r="H126" s="180"/>
      <c r="I126" s="181"/>
      <c r="J126" s="181"/>
      <c r="K126" s="181"/>
      <c r="L126" s="181"/>
      <c r="M126" s="181"/>
      <c r="N126" s="12"/>
      <c r="O126" s="12"/>
      <c r="P126" s="12"/>
    </row>
  </sheetData>
  <mergeCells count="22">
    <mergeCell ref="H4:M4"/>
    <mergeCell ref="N4:N6"/>
    <mergeCell ref="O4:O6"/>
    <mergeCell ref="P4:P6"/>
    <mergeCell ref="H5:H6"/>
    <mergeCell ref="F1:H1"/>
    <mergeCell ref="F2:H3"/>
    <mergeCell ref="B4:B6"/>
    <mergeCell ref="D4:D6"/>
    <mergeCell ref="E4:E6"/>
    <mergeCell ref="F4:F6"/>
    <mergeCell ref="G4:G6"/>
    <mergeCell ref="B37:B39"/>
    <mergeCell ref="B40:B42"/>
    <mergeCell ref="B43:B45"/>
    <mergeCell ref="B7:B11"/>
    <mergeCell ref="B12:B16"/>
    <mergeCell ref="B17:B21"/>
    <mergeCell ref="B22:B26"/>
    <mergeCell ref="B27:B31"/>
    <mergeCell ref="B32:B33"/>
    <mergeCell ref="B34:B36"/>
  </mergeCells>
  <conditionalFormatting sqref="F7:O126">
    <cfRule type="expression" dxfId="3" priority="1">
      <formula>$F7="Stream B"</formula>
    </cfRule>
  </conditionalFormatting>
  <conditionalFormatting sqref="F7:O126">
    <cfRule type="expression" dxfId="4" priority="2">
      <formula>$F7="Stream C"</formula>
    </cfRule>
  </conditionalFormatting>
  <conditionalFormatting sqref="F7:O126">
    <cfRule type="expression" dxfId="5" priority="3">
      <formula>$F7="Stream A"</formula>
    </cfRule>
  </conditionalFormatting>
  <conditionalFormatting sqref="P7:P126">
    <cfRule type="notContainsBlanks" dxfId="6" priority="4">
      <formula>LEN(TRIM(P7))&gt;0</formula>
    </cfRule>
  </conditionalFormatting>
  <dataValidations>
    <dataValidation type="list" allowBlank="1" showErrorMessage="1" sqref="F7:F28 F30:F34 F36:F125">
      <formula1>"Stream A,Stream B,Stream C"</formula1>
    </dataValidation>
    <dataValidation type="list" allowBlank="1" showErrorMessage="1" sqref="G7:G28 G30:G34 G36:G125">
      <formula1>"Bo1,Bo3,Bo5,Bo7,Bo9,Bo2,Bo1/Bo3"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0.13"/>
    <col customWidth="1" hidden="1" min="3" max="3" width="6.5"/>
    <col customWidth="1" min="4" max="4" width="18.88"/>
    <col customWidth="1" hidden="1" min="5" max="5" width="6.5"/>
    <col customWidth="1" min="6" max="6" width="10.13"/>
    <col customWidth="1" min="7" max="7" width="7.63"/>
    <col customWidth="1" min="8" max="8" width="10.13"/>
    <col customWidth="1" hidden="1" min="9" max="13" width="8.88"/>
    <col customWidth="1" min="14" max="16" width="28.63"/>
  </cols>
  <sheetData>
    <row r="1">
      <c r="A1" s="1"/>
      <c r="B1" s="1"/>
      <c r="C1" s="1"/>
      <c r="D1" s="1"/>
      <c r="E1" s="1"/>
      <c r="F1" s="1"/>
      <c r="I1" s="1"/>
      <c r="J1" s="1"/>
      <c r="K1" s="1"/>
      <c r="L1" s="1"/>
      <c r="M1" s="1"/>
      <c r="N1" s="2" t="s">
        <v>0</v>
      </c>
      <c r="O1" s="3" t="s">
        <v>1</v>
      </c>
      <c r="P1" s="4" t="s">
        <v>2</v>
      </c>
    </row>
    <row r="2" ht="42.75" customHeight="1">
      <c r="A2" s="1"/>
      <c r="B2" s="1"/>
      <c r="C2" s="1"/>
      <c r="D2" s="1"/>
      <c r="E2" s="1"/>
      <c r="F2" s="1"/>
      <c r="I2" s="1"/>
      <c r="J2" s="1"/>
      <c r="K2" s="1"/>
      <c r="L2" s="1"/>
      <c r="M2" s="1"/>
      <c r="N2" s="6"/>
      <c r="O2" s="7"/>
      <c r="P2" s="8"/>
    </row>
    <row r="3">
      <c r="A3" s="1"/>
      <c r="B3" s="1"/>
      <c r="C3" s="1"/>
      <c r="D3" s="1"/>
      <c r="E3" s="1"/>
      <c r="I3" s="1"/>
      <c r="J3" s="1"/>
      <c r="K3" s="1"/>
      <c r="L3" s="1"/>
      <c r="M3" s="1"/>
      <c r="N3" s="1"/>
      <c r="O3" s="1"/>
      <c r="P3" s="1"/>
    </row>
    <row r="4">
      <c r="A4" s="12"/>
      <c r="B4" s="13" t="s">
        <v>3</v>
      </c>
      <c r="C4" s="14"/>
      <c r="D4" s="16" t="s">
        <v>4</v>
      </c>
      <c r="E4" s="13" t="s">
        <v>5</v>
      </c>
      <c r="F4" s="16" t="s">
        <v>6</v>
      </c>
      <c r="G4" s="16" t="s">
        <v>7</v>
      </c>
      <c r="H4" s="20" t="s">
        <v>8</v>
      </c>
      <c r="I4" s="21"/>
      <c r="J4" s="21"/>
      <c r="K4" s="21"/>
      <c r="L4" s="21"/>
      <c r="M4" s="22"/>
      <c r="N4" s="16" t="s">
        <v>9</v>
      </c>
      <c r="O4" s="16" t="s">
        <v>10</v>
      </c>
      <c r="P4" s="16" t="s">
        <v>11</v>
      </c>
    </row>
    <row r="5">
      <c r="A5" s="12"/>
      <c r="B5" s="24"/>
      <c r="C5" s="14"/>
      <c r="D5" s="24"/>
      <c r="E5" s="24"/>
      <c r="F5" s="24"/>
      <c r="G5" s="24"/>
      <c r="H5" s="27" t="s">
        <v>12</v>
      </c>
      <c r="I5" s="28" t="s">
        <v>13</v>
      </c>
      <c r="J5" s="28" t="s">
        <v>14</v>
      </c>
      <c r="K5" s="28" t="s">
        <v>15</v>
      </c>
      <c r="L5" s="28" t="s">
        <v>16</v>
      </c>
      <c r="M5" s="28" t="s">
        <v>17</v>
      </c>
      <c r="N5" s="24"/>
      <c r="O5" s="24"/>
      <c r="P5" s="24"/>
    </row>
    <row r="6">
      <c r="A6" s="12"/>
      <c r="B6" s="32"/>
      <c r="C6" s="34"/>
      <c r="D6" s="32"/>
      <c r="E6" s="32"/>
      <c r="F6" s="32"/>
      <c r="G6" s="32"/>
      <c r="H6" s="32"/>
      <c r="I6" s="36">
        <v>-1.0</v>
      </c>
      <c r="J6" s="36">
        <v>-7.0</v>
      </c>
      <c r="K6" s="37" t="s">
        <v>18</v>
      </c>
      <c r="L6" s="37" t="s">
        <v>19</v>
      </c>
      <c r="M6" s="37" t="s">
        <v>20</v>
      </c>
      <c r="N6" s="32"/>
      <c r="O6" s="32"/>
      <c r="P6" s="32"/>
    </row>
    <row r="7">
      <c r="A7" s="12"/>
      <c r="B7" s="40"/>
      <c r="C7" s="48">
        <f t="array" ref="C7:C122">iferror( 
      vlookup(
        row(D7:D122), 
        if( len(D7:D122), { row(D7:D122), D7:D122 } ), 
        2, 
        true 
      ) 
    ,"")</f>
        <v>1</v>
      </c>
      <c r="D7" s="40">
        <v>1.0</v>
      </c>
      <c r="E7" s="51" t="str">
        <f t="array" ref="E7">IF(
  F7="End",
  "",
  IFERROR(
    INDEX(stage!$C$2:$D$100, MATCH(C7, stage!$B$2:$B$100, 0), 
      IF(OR(F7="Stream A", F7="A End"), 1, 2)
    ),
    ""
  )
)</f>
        <v/>
      </c>
      <c r="F7" s="54" t="s">
        <v>21</v>
      </c>
      <c r="G7" s="54" t="s">
        <v>67</v>
      </c>
      <c r="H7" s="56">
        <v>0.0</v>
      </c>
      <c r="I7" s="57"/>
      <c r="J7" s="57"/>
      <c r="K7" s="57"/>
      <c r="L7" s="57"/>
      <c r="M7" s="57"/>
      <c r="N7" s="72" t="s">
        <v>68</v>
      </c>
      <c r="O7" s="57"/>
      <c r="P7" s="54"/>
    </row>
    <row r="8">
      <c r="A8" s="12"/>
      <c r="B8" s="40"/>
      <c r="C8" s="48">
        <v>1.0</v>
      </c>
      <c r="E8" s="51" t="str">
        <f t="array" ref="E8">IF(
  F8="End",
  "",
  IFERROR(
    INDEX(stage!$C$2:$D$100, MATCH(C8, stage!$B$2:$B$100, 0), 
      IF(OR(F8="Stream A", F8="A End"), 1, 2)
    ),
    ""
  )
)</f>
        <v/>
      </c>
      <c r="F8" s="54" t="s">
        <v>25</v>
      </c>
      <c r="G8" s="54" t="s">
        <v>67</v>
      </c>
      <c r="H8" s="56">
        <f>H7</f>
        <v>0</v>
      </c>
      <c r="I8" s="57"/>
      <c r="J8" s="57"/>
      <c r="K8" s="57"/>
      <c r="L8" s="57"/>
      <c r="M8" s="57"/>
      <c r="N8" s="72" t="s">
        <v>68</v>
      </c>
      <c r="O8" s="57"/>
      <c r="P8" s="54"/>
    </row>
    <row r="9">
      <c r="A9" s="12"/>
      <c r="B9" s="40"/>
      <c r="C9" s="48">
        <v>1.0</v>
      </c>
      <c r="E9" s="51" t="str">
        <f t="array" ref="E9">IF(
  F9="End",
  "",
  IFERROR(
    INDEX(stage!$C$2:$D$100, MATCH(C9, stage!$B$2:$B$100, 0), 
      IF(OR(F9="Stream A", F9="A End"), 1, 2)
    ),
    ""
  )
)</f>
        <v/>
      </c>
      <c r="F9" s="54" t="s">
        <v>27</v>
      </c>
      <c r="G9" s="54" t="s">
        <v>67</v>
      </c>
      <c r="H9" s="56">
        <f>H7</f>
        <v>0</v>
      </c>
      <c r="I9" s="57"/>
      <c r="J9" s="57"/>
      <c r="K9" s="57"/>
      <c r="L9" s="57"/>
      <c r="M9" s="57"/>
      <c r="N9" s="72" t="s">
        <v>68</v>
      </c>
      <c r="O9" s="57"/>
      <c r="P9" s="54"/>
    </row>
    <row r="10">
      <c r="A10" s="12"/>
      <c r="B10" s="40"/>
      <c r="C10" s="48">
        <v>1.0</v>
      </c>
      <c r="E10" s="51" t="str">
        <f t="array" ref="E10">IF(
  F10="End",
  "",
  IFERROR(
    INDEX(stage!$C$2:$D$100, MATCH(C10, stage!$B$2:$B$100, 0), 
      IF(OR(F10="Stream A", F10="A End"), 1, 2)
    ),
    ""
  )
)</f>
        <v/>
      </c>
      <c r="F10" s="54" t="s">
        <v>76</v>
      </c>
      <c r="G10" s="54" t="s">
        <v>67</v>
      </c>
      <c r="H10" s="56">
        <f>H7</f>
        <v>0</v>
      </c>
      <c r="I10" s="57"/>
      <c r="J10" s="57"/>
      <c r="K10" s="57"/>
      <c r="L10" s="57"/>
      <c r="M10" s="57"/>
      <c r="N10" s="72" t="s">
        <v>68</v>
      </c>
      <c r="O10" s="57"/>
      <c r="P10" s="54"/>
    </row>
    <row r="11">
      <c r="A11" s="12"/>
      <c r="B11" s="40"/>
      <c r="C11" s="48">
        <v>1.0</v>
      </c>
      <c r="E11" s="51" t="str">
        <f t="array" ref="E11">IF(
  F11="End",
  "",
  IFERROR(
    INDEX(stage!$C$2:$D$100, MATCH(C11, stage!$B$2:$B$100, 0), 
      IF(OR(F11="Stream A", F11="A End"), 1, 2)
    ),
    ""
  )
)</f>
        <v/>
      </c>
      <c r="F11" s="54" t="s">
        <v>21</v>
      </c>
      <c r="G11" s="54" t="s">
        <v>67</v>
      </c>
      <c r="H11" s="56">
        <f>H7+"03:30:00"</f>
        <v>0.1458333333</v>
      </c>
      <c r="I11" s="57"/>
      <c r="J11" s="57"/>
      <c r="K11" s="57"/>
      <c r="L11" s="57"/>
      <c r="M11" s="57"/>
      <c r="N11" s="72" t="s">
        <v>68</v>
      </c>
      <c r="O11" s="57"/>
      <c r="P11" s="54"/>
    </row>
    <row r="12">
      <c r="A12" s="12"/>
      <c r="B12" s="40"/>
      <c r="C12" s="48">
        <v>1.0</v>
      </c>
      <c r="E12" s="51" t="str">
        <f t="array" ref="E12">IF(
  F12="End",
  "",
  IFERROR(
    INDEX(stage!$C$2:$D$100, MATCH(C12, stage!$B$2:$B$100, 0), 
      IF(OR(F12="Stream A", F12="A End"), 1, 2)
    ),
    ""
  )
)</f>
        <v/>
      </c>
      <c r="F12" s="54" t="s">
        <v>25</v>
      </c>
      <c r="G12" s="54" t="s">
        <v>67</v>
      </c>
      <c r="H12" s="56">
        <f>H11</f>
        <v>0.1458333333</v>
      </c>
      <c r="I12" s="57"/>
      <c r="J12" s="57"/>
      <c r="K12" s="57"/>
      <c r="L12" s="57"/>
      <c r="M12" s="57"/>
      <c r="N12" s="72" t="s">
        <v>68</v>
      </c>
      <c r="O12" s="57"/>
      <c r="P12" s="54"/>
    </row>
    <row r="13">
      <c r="A13" s="12"/>
      <c r="B13" s="40"/>
      <c r="C13" s="48">
        <v>1.0</v>
      </c>
      <c r="E13" s="51" t="str">
        <f t="array" ref="E13">IF(
  F13="End",
  "",
  IFERROR(
    INDEX(stage!$C$2:$D$100, MATCH(C13, stage!$B$2:$B$100, 0), 
      IF(OR(F13="Stream A", F13="A End"), 1, 2)
    ),
    ""
  )
)</f>
        <v/>
      </c>
      <c r="F13" s="54" t="s">
        <v>27</v>
      </c>
      <c r="G13" s="54" t="s">
        <v>67</v>
      </c>
      <c r="H13" s="56">
        <f>H11</f>
        <v>0.1458333333</v>
      </c>
      <c r="I13" s="57"/>
      <c r="J13" s="57"/>
      <c r="K13" s="57"/>
      <c r="L13" s="57"/>
      <c r="M13" s="57"/>
      <c r="N13" s="72" t="s">
        <v>68</v>
      </c>
      <c r="O13" s="57"/>
      <c r="P13" s="54"/>
    </row>
    <row r="14">
      <c r="A14" s="12"/>
      <c r="B14" s="40"/>
      <c r="C14" s="48">
        <v>1.0</v>
      </c>
      <c r="E14" s="51" t="str">
        <f t="array" ref="E14">IF(
  F14="End",
  "",
  IFERROR(
    INDEX(stage!$C$2:$D$100, MATCH(C14, stage!$B$2:$B$100, 0), 
      IF(OR(F14="Stream A", F14="A End"), 1, 2)
    ),
    ""
  )
)</f>
        <v/>
      </c>
      <c r="F14" s="54" t="s">
        <v>76</v>
      </c>
      <c r="G14" s="54" t="s">
        <v>67</v>
      </c>
      <c r="H14" s="56">
        <f>H11</f>
        <v>0.1458333333</v>
      </c>
      <c r="I14" s="57"/>
      <c r="J14" s="57"/>
      <c r="K14" s="57"/>
      <c r="L14" s="57"/>
      <c r="M14" s="57"/>
      <c r="N14" s="72" t="s">
        <v>68</v>
      </c>
      <c r="O14" s="57"/>
      <c r="P14" s="54"/>
    </row>
    <row r="15">
      <c r="A15" s="12"/>
      <c r="B15" s="40"/>
      <c r="C15" s="48">
        <v>1.0</v>
      </c>
      <c r="E15" s="51" t="str">
        <f t="array" ref="E15">IF(
  F15="End",
  "",
  IFERROR(
    INDEX(stage!$C$2:$D$100, MATCH(C15, stage!$B$2:$B$100, 0), 
      IF(OR(F15="Stream A", F15="A End"), 1, 2)
    ),
    ""
  )
)</f>
        <v/>
      </c>
      <c r="F15" s="54" t="s">
        <v>21</v>
      </c>
      <c r="G15" s="54" t="s">
        <v>67</v>
      </c>
      <c r="H15" s="56">
        <f>H11+"03:30:00"</f>
        <v>0.2916666667</v>
      </c>
      <c r="I15" s="57"/>
      <c r="J15" s="57"/>
      <c r="K15" s="57"/>
      <c r="L15" s="57"/>
      <c r="M15" s="57"/>
      <c r="N15" s="72" t="s">
        <v>68</v>
      </c>
      <c r="O15" s="57"/>
      <c r="P15" s="54"/>
    </row>
    <row r="16">
      <c r="A16" s="12"/>
      <c r="B16" s="40"/>
      <c r="C16" s="48">
        <v>1.0</v>
      </c>
      <c r="E16" s="51" t="str">
        <f t="array" ref="E16">IF(
  F16="End",
  "",
  IFERROR(
    INDEX(stage!$C$2:$D$100, MATCH(C16, stage!$B$2:$B$100, 0), 
      IF(OR(F16="Stream A", F16="A End"), 1, 2)
    ),
    ""
  )
)</f>
        <v/>
      </c>
      <c r="F16" s="54" t="s">
        <v>25</v>
      </c>
      <c r="G16" s="54" t="s">
        <v>67</v>
      </c>
      <c r="H16" s="56">
        <f>H15</f>
        <v>0.2916666667</v>
      </c>
      <c r="I16" s="57"/>
      <c r="J16" s="57"/>
      <c r="K16" s="57"/>
      <c r="L16" s="57"/>
      <c r="M16" s="57"/>
      <c r="N16" s="72" t="s">
        <v>68</v>
      </c>
      <c r="O16" s="57"/>
      <c r="P16" s="54"/>
    </row>
    <row r="17">
      <c r="A17" s="12"/>
      <c r="B17" s="40"/>
      <c r="C17" s="48">
        <v>1.0</v>
      </c>
      <c r="E17" s="51" t="str">
        <f t="array" ref="E17">IF(
  F17="End",
  "",
  IFERROR(
    INDEX(stage!$C$2:$D$100, MATCH(C17, stage!$B$2:$B$100, 0), 
      IF(OR(F17="Stream A", F17="A End"), 1, 2)
    ),
    ""
  )
)</f>
        <v/>
      </c>
      <c r="F17" s="54" t="s">
        <v>27</v>
      </c>
      <c r="G17" s="54" t="s">
        <v>67</v>
      </c>
      <c r="H17" s="56">
        <f>H15</f>
        <v>0.2916666667</v>
      </c>
      <c r="I17" s="57"/>
      <c r="J17" s="57"/>
      <c r="K17" s="57"/>
      <c r="L17" s="57"/>
      <c r="M17" s="57"/>
      <c r="N17" s="72" t="s">
        <v>68</v>
      </c>
      <c r="O17" s="57"/>
      <c r="P17" s="54"/>
    </row>
    <row r="18">
      <c r="A18" s="12"/>
      <c r="B18" s="40"/>
      <c r="C18" s="48">
        <v>1.0</v>
      </c>
      <c r="E18" s="51" t="str">
        <f t="array" ref="E18">IF(
  F18="End",
  "",
  IFERROR(
    INDEX(stage!$C$2:$D$100, MATCH(C18, stage!$B$2:$B$100, 0), 
      IF(OR(F18="Stream A", F18="A End"), 1, 2)
    ),
    ""
  )
)</f>
        <v/>
      </c>
      <c r="F18" s="54" t="s">
        <v>76</v>
      </c>
      <c r="G18" s="54" t="s">
        <v>67</v>
      </c>
      <c r="H18" s="56">
        <f>H15</f>
        <v>0.2916666667</v>
      </c>
      <c r="I18" s="57"/>
      <c r="J18" s="57"/>
      <c r="K18" s="57"/>
      <c r="L18" s="57"/>
      <c r="M18" s="57"/>
      <c r="N18" s="72" t="s">
        <v>68</v>
      </c>
      <c r="O18" s="57"/>
      <c r="P18" s="54"/>
    </row>
    <row r="19">
      <c r="A19" s="12"/>
      <c r="B19" s="40"/>
      <c r="C19" s="48">
        <v>1.0</v>
      </c>
      <c r="E19" s="51" t="str">
        <f t="array" ref="E19">IF(
  F19="End",
  "",
  IFERROR(
    INDEX(stage!$C$2:$D$100, MATCH(C19, stage!$B$2:$B$100, 0), 
      IF(OR(F19="Stream A", F19="A End"), 1, 2)
    ),
    ""
  )
)</f>
        <v/>
      </c>
      <c r="F19" s="54"/>
      <c r="G19" s="54"/>
      <c r="H19" s="56">
        <f>H15+"03:15:00"</f>
        <v>0.4270833333</v>
      </c>
      <c r="I19" s="85"/>
      <c r="J19" s="85"/>
      <c r="K19" s="85"/>
      <c r="L19" s="85"/>
      <c r="M19" s="85"/>
      <c r="N19" s="72"/>
      <c r="O19" s="54"/>
      <c r="P19" s="54"/>
    </row>
    <row r="20">
      <c r="A20" s="89"/>
      <c r="B20" s="90"/>
      <c r="C20" s="83">
        <v>2.0</v>
      </c>
      <c r="D20" s="90">
        <v>2.0</v>
      </c>
      <c r="E20" s="119" t="str">
        <f t="array" ref="E20">IF(
  F20="End",
  "",
  IFERROR(
    INDEX(stage!$C$2:$D$100, MATCH(C20, stage!$B$2:$B$100, 0), 
      IF(OR(F20="Stream A", F20="A End"), 1, 2)
    ),
    ""
  )
)</f>
        <v/>
      </c>
      <c r="F20" s="92" t="s">
        <v>21</v>
      </c>
      <c r="G20" s="92" t="s">
        <v>67</v>
      </c>
      <c r="H20" s="93">
        <v>0.0</v>
      </c>
      <c r="I20" s="94"/>
      <c r="J20" s="94"/>
      <c r="K20" s="94"/>
      <c r="L20" s="94"/>
      <c r="M20" s="94"/>
      <c r="N20" s="159" t="s">
        <v>92</v>
      </c>
      <c r="O20" s="94"/>
      <c r="P20" s="92"/>
    </row>
    <row r="21">
      <c r="A21" s="12"/>
      <c r="B21" s="40"/>
      <c r="C21" s="48">
        <v>2.0</v>
      </c>
      <c r="E21" s="51" t="str">
        <f t="array" ref="E21">IF(
  F21="End",
  "",
  IFERROR(
    INDEX(stage!$C$2:$D$100, MATCH(C21, stage!$B$2:$B$100, 0), 
      IF(OR(F21="Stream A", F21="A End"), 1, 2)
    ),
    ""
  )
)</f>
        <v/>
      </c>
      <c r="F21" s="54" t="s">
        <v>25</v>
      </c>
      <c r="G21" s="54" t="s">
        <v>67</v>
      </c>
      <c r="H21" s="56">
        <f>H20</f>
        <v>0</v>
      </c>
      <c r="I21" s="57"/>
      <c r="J21" s="57"/>
      <c r="K21" s="57"/>
      <c r="L21" s="57"/>
      <c r="M21" s="57"/>
      <c r="N21" s="72" t="s">
        <v>92</v>
      </c>
      <c r="O21" s="57"/>
      <c r="P21" s="54"/>
    </row>
    <row r="22">
      <c r="A22" s="12"/>
      <c r="B22" s="40"/>
      <c r="C22" s="48">
        <v>2.0</v>
      </c>
      <c r="E22" s="51" t="str">
        <f t="array" ref="E22">IF(
  F22="End",
  "",
  IFERROR(
    INDEX(stage!$C$2:$D$100, MATCH(C22, stage!$B$2:$B$100, 0), 
      IF(OR(F22="Stream A", F22="A End"), 1, 2)
    ),
    ""
  )
)</f>
        <v/>
      </c>
      <c r="F22" s="54" t="s">
        <v>27</v>
      </c>
      <c r="G22" s="54" t="s">
        <v>67</v>
      </c>
      <c r="H22" s="56">
        <f>H20</f>
        <v>0</v>
      </c>
      <c r="I22" s="57"/>
      <c r="J22" s="57"/>
      <c r="K22" s="57"/>
      <c r="L22" s="57"/>
      <c r="M22" s="57"/>
      <c r="N22" s="72" t="s">
        <v>92</v>
      </c>
      <c r="O22" s="57"/>
      <c r="P22" s="54"/>
    </row>
    <row r="23">
      <c r="A23" s="12"/>
      <c r="B23" s="40"/>
      <c r="C23" s="48">
        <v>2.0</v>
      </c>
      <c r="E23" s="51" t="str">
        <f t="array" ref="E23">IF(
  F23="End",
  "",
  IFERROR(
    INDEX(stage!$C$2:$D$100, MATCH(C23, stage!$B$2:$B$100, 0), 
      IF(OR(F23="Stream A", F23="A End"), 1, 2)
    ),
    ""
  )
)</f>
        <v/>
      </c>
      <c r="F23" s="54" t="s">
        <v>76</v>
      </c>
      <c r="G23" s="54" t="s">
        <v>67</v>
      </c>
      <c r="H23" s="56">
        <f>H20</f>
        <v>0</v>
      </c>
      <c r="I23" s="57"/>
      <c r="J23" s="57"/>
      <c r="K23" s="57"/>
      <c r="L23" s="57"/>
      <c r="M23" s="57"/>
      <c r="N23" s="72" t="s">
        <v>92</v>
      </c>
      <c r="O23" s="57"/>
      <c r="P23" s="54"/>
    </row>
    <row r="24">
      <c r="A24" s="12"/>
      <c r="B24" s="40"/>
      <c r="C24" s="48">
        <v>2.0</v>
      </c>
      <c r="E24" s="51" t="str">
        <f t="array" ref="E24">IF(
  F24="End",
  "",
  IFERROR(
    INDEX(stage!$C$2:$D$100, MATCH(C24, stage!$B$2:$B$100, 0), 
      IF(OR(F24="Stream A", F24="A End"), 1, 2)
    ),
    ""
  )
)</f>
        <v/>
      </c>
      <c r="F24" s="54" t="s">
        <v>21</v>
      </c>
      <c r="G24" s="54" t="s">
        <v>67</v>
      </c>
      <c r="H24" s="56">
        <f>H20+"03:30:00"</f>
        <v>0.1458333333</v>
      </c>
      <c r="I24" s="57"/>
      <c r="J24" s="57"/>
      <c r="K24" s="57"/>
      <c r="L24" s="57"/>
      <c r="M24" s="57"/>
      <c r="N24" s="72" t="s">
        <v>92</v>
      </c>
      <c r="O24" s="57"/>
      <c r="P24" s="54"/>
    </row>
    <row r="25">
      <c r="A25" s="12"/>
      <c r="B25" s="40"/>
      <c r="C25" s="48">
        <v>2.0</v>
      </c>
      <c r="E25" s="51" t="str">
        <f t="array" ref="E25">IF(
  F25="End",
  "",
  IFERROR(
    INDEX(stage!$C$2:$D$100, MATCH(C25, stage!$B$2:$B$100, 0), 
      IF(OR(F25="Stream A", F25="A End"), 1, 2)
    ),
    ""
  )
)</f>
        <v/>
      </c>
      <c r="F25" s="54" t="s">
        <v>25</v>
      </c>
      <c r="G25" s="54" t="s">
        <v>67</v>
      </c>
      <c r="H25" s="56">
        <f>H24</f>
        <v>0.1458333333</v>
      </c>
      <c r="I25" s="57"/>
      <c r="J25" s="57"/>
      <c r="K25" s="57"/>
      <c r="L25" s="57"/>
      <c r="M25" s="57"/>
      <c r="N25" s="72" t="s">
        <v>92</v>
      </c>
      <c r="O25" s="57"/>
      <c r="P25" s="54"/>
    </row>
    <row r="26">
      <c r="A26" s="12"/>
      <c r="B26" s="40"/>
      <c r="C26" s="48">
        <v>2.0</v>
      </c>
      <c r="E26" s="51" t="str">
        <f t="array" ref="E26">IF(
  F26="End",
  "",
  IFERROR(
    INDEX(stage!$C$2:$D$100, MATCH(C26, stage!$B$2:$B$100, 0), 
      IF(OR(F26="Stream A", F26="A End"), 1, 2)
    ),
    ""
  )
)</f>
        <v/>
      </c>
      <c r="F26" s="54" t="s">
        <v>27</v>
      </c>
      <c r="G26" s="54" t="s">
        <v>67</v>
      </c>
      <c r="H26" s="56">
        <f>H24</f>
        <v>0.1458333333</v>
      </c>
      <c r="I26" s="57"/>
      <c r="J26" s="57"/>
      <c r="K26" s="57"/>
      <c r="L26" s="57"/>
      <c r="M26" s="57"/>
      <c r="N26" s="72" t="s">
        <v>92</v>
      </c>
      <c r="O26" s="57"/>
      <c r="P26" s="54"/>
    </row>
    <row r="27">
      <c r="A27" s="12"/>
      <c r="B27" s="40"/>
      <c r="C27" s="48">
        <v>2.0</v>
      </c>
      <c r="E27" s="51" t="str">
        <f t="array" ref="E27">IF(
  F27="End",
  "",
  IFERROR(
    INDEX(stage!$C$2:$D$100, MATCH(C27, stage!$B$2:$B$100, 0), 
      IF(OR(F27="Stream A", F27="A End"), 1, 2)
    ),
    ""
  )
)</f>
        <v/>
      </c>
      <c r="F27" s="54" t="s">
        <v>76</v>
      </c>
      <c r="G27" s="54" t="s">
        <v>67</v>
      </c>
      <c r="H27" s="56">
        <f>H24</f>
        <v>0.1458333333</v>
      </c>
      <c r="I27" s="57"/>
      <c r="J27" s="57"/>
      <c r="K27" s="57"/>
      <c r="L27" s="57"/>
      <c r="M27" s="57"/>
      <c r="N27" s="72" t="s">
        <v>92</v>
      </c>
      <c r="O27" s="57"/>
      <c r="P27" s="54"/>
    </row>
    <row r="28">
      <c r="A28" s="12"/>
      <c r="B28" s="40"/>
      <c r="C28" s="48">
        <v>2.0</v>
      </c>
      <c r="E28" s="51" t="str">
        <f t="array" ref="E28">IF(
  F28="End",
  "",
  IFERROR(
    INDEX(stage!$C$2:$D$100, MATCH(C28, stage!$B$2:$B$100, 0), 
      IF(OR(F28="Stream A", F28="A End"), 1, 2)
    ),
    ""
  )
)</f>
        <v/>
      </c>
      <c r="F28" s="54" t="s">
        <v>21</v>
      </c>
      <c r="G28" s="54" t="s">
        <v>67</v>
      </c>
      <c r="H28" s="56">
        <f>H24+"03:30:00"</f>
        <v>0.2916666667</v>
      </c>
      <c r="I28" s="57"/>
      <c r="J28" s="57"/>
      <c r="K28" s="57"/>
      <c r="L28" s="57"/>
      <c r="M28" s="57"/>
      <c r="N28" s="72" t="s">
        <v>92</v>
      </c>
      <c r="O28" s="57"/>
      <c r="P28" s="54"/>
    </row>
    <row r="29">
      <c r="A29" s="12"/>
      <c r="B29" s="40"/>
      <c r="C29" s="48">
        <v>2.0</v>
      </c>
      <c r="E29" s="51" t="str">
        <f t="array" ref="E29">IF(
  F30="End",
  "",
  IFERROR(
    INDEX(stage!$C$2:$D$100, MATCH(C29, stage!$B$2:$B$100, 0), 
      IF(OR(F30="Stream A", F30="A End"), 1, 2)
    ),
    ""
  )
)</f>
        <v/>
      </c>
      <c r="F29" s="54" t="s">
        <v>25</v>
      </c>
      <c r="G29" s="54" t="s">
        <v>67</v>
      </c>
      <c r="H29" s="56">
        <f>H28</f>
        <v>0.2916666667</v>
      </c>
      <c r="I29" s="57"/>
      <c r="J29" s="57"/>
      <c r="K29" s="57"/>
      <c r="L29" s="57"/>
      <c r="M29" s="57"/>
      <c r="N29" s="72" t="s">
        <v>92</v>
      </c>
      <c r="O29" s="57"/>
      <c r="P29" s="54"/>
    </row>
    <row r="30">
      <c r="A30" s="12"/>
      <c r="B30" s="40"/>
      <c r="C30" s="48">
        <v>2.0</v>
      </c>
      <c r="E30" s="51" t="str">
        <f t="array" ref="E30">IF(
  F31="End",
  "",
  IFERROR(
    INDEX(stage!$C$2:$D$100, MATCH(C30, stage!$B$2:$B$100, 0), 
      IF(OR(F31="Stream A", F31="A End"), 1, 2)
    ),
    ""
  )
)</f>
        <v/>
      </c>
      <c r="F30" s="54" t="s">
        <v>27</v>
      </c>
      <c r="G30" s="54" t="s">
        <v>67</v>
      </c>
      <c r="H30" s="56">
        <f>H28</f>
        <v>0.2916666667</v>
      </c>
      <c r="I30" s="57"/>
      <c r="J30" s="57"/>
      <c r="K30" s="57"/>
      <c r="L30" s="57"/>
      <c r="M30" s="57"/>
      <c r="N30" s="72" t="s">
        <v>92</v>
      </c>
      <c r="O30" s="57"/>
      <c r="P30" s="54"/>
    </row>
    <row r="31">
      <c r="A31" s="12"/>
      <c r="B31" s="40"/>
      <c r="C31" s="48">
        <v>2.0</v>
      </c>
      <c r="E31" s="51" t="str">
        <f t="array" ref="E31">IF(
  F32="End",
  "",
  IFERROR(
    INDEX(stage!$C$2:$D$100, MATCH(C31, stage!$B$2:$B$100, 0), 
      IF(OR(F32="Stream A", F32="A End"), 1, 2)
    ),
    ""
  )
)</f>
        <v/>
      </c>
      <c r="F31" s="54" t="s">
        <v>76</v>
      </c>
      <c r="G31" s="54" t="s">
        <v>67</v>
      </c>
      <c r="H31" s="56">
        <f>H28</f>
        <v>0.2916666667</v>
      </c>
      <c r="I31" s="57"/>
      <c r="J31" s="57"/>
      <c r="K31" s="57"/>
      <c r="L31" s="57"/>
      <c r="M31" s="57"/>
      <c r="N31" s="72" t="s">
        <v>92</v>
      </c>
      <c r="O31" s="57"/>
      <c r="P31" s="54"/>
    </row>
    <row r="32">
      <c r="A32" s="124"/>
      <c r="B32" s="182"/>
      <c r="C32" s="117">
        <v>2.0</v>
      </c>
      <c r="D32" s="125"/>
      <c r="E32" s="137" t="str">
        <f t="array" ref="E32">IF(
  F33="End",
  "",
  IFERROR(
    INDEX(stage!$C$2:$D$100, MATCH(C32, stage!$B$2:$B$100, 0), 
      IF(OR(F33="Stream A", F33="A End"), 1, 2)
    ),
    ""
  )
)</f>
        <v/>
      </c>
      <c r="F32" s="86"/>
      <c r="G32" s="86"/>
      <c r="H32" s="126">
        <f>H28+"03:15:00"</f>
        <v>0.4270833333</v>
      </c>
      <c r="I32" s="127"/>
      <c r="J32" s="127"/>
      <c r="K32" s="127"/>
      <c r="L32" s="127"/>
      <c r="M32" s="127"/>
      <c r="N32" s="183"/>
      <c r="O32" s="86"/>
      <c r="P32" s="86"/>
    </row>
    <row r="33">
      <c r="A33" s="12"/>
      <c r="B33" s="40"/>
      <c r="C33" s="48">
        <v>3.0</v>
      </c>
      <c r="D33" s="40">
        <v>3.0</v>
      </c>
      <c r="E33" s="51" t="str">
        <f t="array" ref="E33">IF(
  F38="End",
  "",
  IFERROR(
    INDEX(stage!$C$2:$D$100, MATCH(C33, stage!$B$2:$B$100, 0), 
      IF(OR(F38="Stream A", F38="A End"), 1, 2)
    ),
    ""
  )
)</f>
        <v/>
      </c>
      <c r="F33" s="54" t="s">
        <v>21</v>
      </c>
      <c r="G33" s="54" t="s">
        <v>67</v>
      </c>
      <c r="H33" s="56">
        <v>0.0</v>
      </c>
      <c r="I33" s="57"/>
      <c r="J33" s="57"/>
      <c r="K33" s="57"/>
      <c r="L33" s="57"/>
      <c r="M33" s="57"/>
      <c r="N33" s="72" t="s">
        <v>107</v>
      </c>
      <c r="O33" s="57"/>
      <c r="P33" s="54"/>
    </row>
    <row r="34">
      <c r="A34" s="12"/>
      <c r="B34" s="40"/>
      <c r="C34" s="48">
        <v>3.0</v>
      </c>
      <c r="E34" s="51" t="str">
        <f t="array" ref="E34">IF(
  F39="End",
  "",
  IFERROR(
    INDEX(stage!$C$2:$D$100, MATCH(C34, stage!$B$2:$B$100, 0), 
      IF(OR(F39="Stream A", F39="A End"), 1, 2)
    ),
    ""
  )
)</f>
        <v/>
      </c>
      <c r="F34" s="54" t="s">
        <v>25</v>
      </c>
      <c r="G34" s="54" t="s">
        <v>67</v>
      </c>
      <c r="H34" s="56">
        <f>H33</f>
        <v>0</v>
      </c>
      <c r="I34" s="57"/>
      <c r="J34" s="57"/>
      <c r="K34" s="57"/>
      <c r="L34" s="57"/>
      <c r="M34" s="57"/>
      <c r="N34" s="72" t="s">
        <v>107</v>
      </c>
      <c r="O34" s="57"/>
      <c r="P34" s="54"/>
    </row>
    <row r="35">
      <c r="A35" s="12"/>
      <c r="B35" s="40"/>
      <c r="C35" s="48">
        <v>3.0</v>
      </c>
      <c r="E35" s="51" t="str">
        <f t="array" ref="E35">IF(
  F40="End",
  "",
  IFERROR(
    INDEX(stage!$C$2:$D$100, MATCH(C35, stage!$B$2:$B$100, 0), 
      IF(OR(F40="Stream A", F40="A End"), 1, 2)
    ),
    ""
  )
)</f>
        <v/>
      </c>
      <c r="F35" s="54" t="s">
        <v>27</v>
      </c>
      <c r="G35" s="54" t="s">
        <v>67</v>
      </c>
      <c r="H35" s="56">
        <f>H33</f>
        <v>0</v>
      </c>
      <c r="I35" s="57"/>
      <c r="J35" s="57"/>
      <c r="K35" s="57"/>
      <c r="L35" s="57"/>
      <c r="M35" s="57"/>
      <c r="N35" s="72" t="s">
        <v>107</v>
      </c>
      <c r="O35" s="57"/>
      <c r="P35" s="54"/>
    </row>
    <row r="36">
      <c r="A36" s="12"/>
      <c r="B36" s="40"/>
      <c r="C36" s="48">
        <v>3.0</v>
      </c>
      <c r="E36" s="51" t="str">
        <f t="array" ref="E36">IF(
  F41="End",
  "",
  IFERROR(
    INDEX(stage!$C$2:$D$100, MATCH(C36, stage!$B$2:$B$100, 0), 
      IF(OR(F41="Stream A", F41="A End"), 1, 2)
    ),
    ""
  )
)</f>
        <v/>
      </c>
      <c r="F36" s="54" t="s">
        <v>76</v>
      </c>
      <c r="G36" s="54" t="s">
        <v>67</v>
      </c>
      <c r="H36" s="56">
        <f>H33</f>
        <v>0</v>
      </c>
      <c r="I36" s="57"/>
      <c r="J36" s="57"/>
      <c r="K36" s="57"/>
      <c r="L36" s="57"/>
      <c r="M36" s="57"/>
      <c r="N36" s="72" t="s">
        <v>107</v>
      </c>
      <c r="O36" s="57"/>
      <c r="P36" s="54"/>
    </row>
    <row r="37">
      <c r="A37" s="12"/>
      <c r="B37" s="40"/>
      <c r="C37" s="48">
        <v>3.0</v>
      </c>
      <c r="E37" s="51" t="str">
        <f t="array" ref="E37">IF(
  F42="End",
  "",
  IFERROR(
    INDEX(stage!$C$2:$D$100, MATCH(C37, stage!$B$2:$B$100, 0), 
      IF(OR(F42="Stream A", F42="A End"), 1, 2)
    ),
    ""
  )
)</f>
        <v/>
      </c>
      <c r="F37" s="54" t="s">
        <v>21</v>
      </c>
      <c r="G37" s="54" t="s">
        <v>67</v>
      </c>
      <c r="H37" s="56">
        <f>H33+"03:30:00"</f>
        <v>0.1458333333</v>
      </c>
      <c r="I37" s="57"/>
      <c r="J37" s="57"/>
      <c r="K37" s="57"/>
      <c r="L37" s="57"/>
      <c r="M37" s="57"/>
      <c r="N37" s="72" t="s">
        <v>107</v>
      </c>
      <c r="O37" s="57"/>
      <c r="P37" s="54"/>
    </row>
    <row r="38">
      <c r="A38" s="12"/>
      <c r="B38" s="40"/>
      <c r="C38" s="48">
        <v>3.0</v>
      </c>
      <c r="E38" s="51" t="str">
        <f t="array" ref="E38">IF(
  F43="End",
  "",
  IFERROR(
    INDEX(stage!$C$2:$D$100, MATCH(C38, stage!$B$2:$B$100, 0), 
      IF(OR(F43="Stream A", F43="A End"), 1, 2)
    ),
    ""
  )
)</f>
        <v/>
      </c>
      <c r="F38" s="54" t="s">
        <v>25</v>
      </c>
      <c r="G38" s="54" t="s">
        <v>67</v>
      </c>
      <c r="H38" s="56">
        <f>H37</f>
        <v>0.1458333333</v>
      </c>
      <c r="I38" s="57"/>
      <c r="J38" s="57"/>
      <c r="K38" s="57"/>
      <c r="L38" s="57"/>
      <c r="M38" s="57"/>
      <c r="N38" s="72" t="s">
        <v>107</v>
      </c>
      <c r="O38" s="57"/>
      <c r="P38" s="54"/>
    </row>
    <row r="39">
      <c r="A39" s="12"/>
      <c r="B39" s="40"/>
      <c r="C39" s="48">
        <v>3.0</v>
      </c>
      <c r="E39" s="51" t="str">
        <f t="array" ref="E39">IF(
  F44="End",
  "",
  IFERROR(
    INDEX(stage!$C$2:$D$100, MATCH(C39, stage!$B$2:$B$100, 0), 
      IF(OR(F44="Stream A", F44="A End"), 1, 2)
    ),
    ""
  )
)</f>
        <v/>
      </c>
      <c r="F39" s="54" t="s">
        <v>27</v>
      </c>
      <c r="G39" s="54" t="s">
        <v>67</v>
      </c>
      <c r="H39" s="56">
        <f>H37</f>
        <v>0.1458333333</v>
      </c>
      <c r="I39" s="57"/>
      <c r="J39" s="57"/>
      <c r="K39" s="57"/>
      <c r="L39" s="57"/>
      <c r="M39" s="57"/>
      <c r="N39" s="72" t="s">
        <v>107</v>
      </c>
      <c r="O39" s="57"/>
      <c r="P39" s="54"/>
    </row>
    <row r="40">
      <c r="A40" s="12"/>
      <c r="B40" s="40"/>
      <c r="C40" s="48">
        <v>3.0</v>
      </c>
      <c r="E40" s="51" t="str">
        <f t="array" ref="E40">IF(
  F45="End",
  "",
  IFERROR(
    INDEX(stage!$C$2:$D$100, MATCH(C40, stage!$B$2:$B$100, 0), 
      IF(OR(F45="Stream A", F45="A End"), 1, 2)
    ),
    ""
  )
)</f>
        <v/>
      </c>
      <c r="F40" s="54" t="s">
        <v>76</v>
      </c>
      <c r="G40" s="54" t="s">
        <v>67</v>
      </c>
      <c r="H40" s="56">
        <f>H37</f>
        <v>0.1458333333</v>
      </c>
      <c r="I40" s="57"/>
      <c r="J40" s="57"/>
      <c r="K40" s="57"/>
      <c r="L40" s="57"/>
      <c r="M40" s="57"/>
      <c r="N40" s="72" t="s">
        <v>107</v>
      </c>
      <c r="O40" s="57"/>
      <c r="P40" s="54"/>
    </row>
    <row r="41">
      <c r="A41" s="12"/>
      <c r="B41" s="40"/>
      <c r="C41" s="48">
        <v>3.0</v>
      </c>
      <c r="E41" s="51" t="str">
        <f t="array" ref="E41">IF(
  F46="End",
  "",
  IFERROR(
    INDEX(stage!$C$2:$D$100, MATCH(C41, stage!$B$2:$B$100, 0), 
      IF(OR(F46="Stream A", F46="A End"), 1, 2)
    ),
    ""
  )
)</f>
        <v/>
      </c>
      <c r="F41" s="54" t="s">
        <v>21</v>
      </c>
      <c r="G41" s="54" t="s">
        <v>67</v>
      </c>
      <c r="H41" s="56">
        <f>H37+"03:30:00"</f>
        <v>0.2916666667</v>
      </c>
      <c r="I41" s="57"/>
      <c r="J41" s="57"/>
      <c r="K41" s="57"/>
      <c r="L41" s="57"/>
      <c r="M41" s="57"/>
      <c r="N41" s="72" t="s">
        <v>107</v>
      </c>
      <c r="O41" s="57"/>
      <c r="P41" s="54"/>
    </row>
    <row r="42">
      <c r="A42" s="12"/>
      <c r="B42" s="40"/>
      <c r="C42" s="48">
        <v>3.0</v>
      </c>
      <c r="E42" s="51" t="str">
        <f t="array" ref="E42">IF(
  F47="End",
  "",
  IFERROR(
    INDEX(stage!$C$2:$D$100, MATCH(C42, stage!$B$2:$B$100, 0), 
      IF(OR(F47="Stream A", F47="A End"), 1, 2)
    ),
    ""
  )
)</f>
        <v/>
      </c>
      <c r="F42" s="54" t="s">
        <v>25</v>
      </c>
      <c r="G42" s="54" t="s">
        <v>67</v>
      </c>
      <c r="H42" s="56">
        <f>H41</f>
        <v>0.2916666667</v>
      </c>
      <c r="I42" s="57"/>
      <c r="J42" s="57"/>
      <c r="K42" s="57"/>
      <c r="L42" s="57"/>
      <c r="M42" s="57"/>
      <c r="N42" s="72" t="s">
        <v>107</v>
      </c>
      <c r="O42" s="57"/>
      <c r="P42" s="54"/>
    </row>
    <row r="43">
      <c r="A43" s="12"/>
      <c r="B43" s="40"/>
      <c r="C43" s="48">
        <v>3.0</v>
      </c>
      <c r="E43" s="51"/>
      <c r="F43" s="54" t="s">
        <v>27</v>
      </c>
      <c r="G43" s="54" t="s">
        <v>67</v>
      </c>
      <c r="H43" s="56">
        <f>H41</f>
        <v>0.2916666667</v>
      </c>
      <c r="I43" s="57"/>
      <c r="J43" s="57"/>
      <c r="K43" s="57"/>
      <c r="L43" s="57"/>
      <c r="M43" s="57"/>
      <c r="N43" s="72" t="s">
        <v>107</v>
      </c>
      <c r="O43" s="57"/>
      <c r="P43" s="54"/>
    </row>
    <row r="44">
      <c r="A44" s="12"/>
      <c r="B44" s="40"/>
      <c r="C44" s="48">
        <v>3.0</v>
      </c>
      <c r="E44" s="51"/>
      <c r="F44" s="54" t="s">
        <v>76</v>
      </c>
      <c r="G44" s="54" t="s">
        <v>67</v>
      </c>
      <c r="H44" s="56">
        <f>H41</f>
        <v>0.2916666667</v>
      </c>
      <c r="I44" s="57"/>
      <c r="J44" s="57"/>
      <c r="K44" s="57"/>
      <c r="L44" s="57"/>
      <c r="M44" s="57"/>
      <c r="N44" s="72" t="s">
        <v>107</v>
      </c>
      <c r="O44" s="57"/>
      <c r="P44" s="54"/>
    </row>
    <row r="45">
      <c r="A45" s="12"/>
      <c r="B45" s="40"/>
      <c r="C45" s="48">
        <v>3.0</v>
      </c>
      <c r="E45" s="51"/>
      <c r="F45" s="54"/>
      <c r="G45" s="54"/>
      <c r="H45" s="56">
        <f>H41+"03:15:00"</f>
        <v>0.4270833333</v>
      </c>
      <c r="I45" s="85"/>
      <c r="J45" s="85"/>
      <c r="K45" s="85"/>
      <c r="L45" s="85"/>
      <c r="M45" s="85"/>
      <c r="N45" s="72"/>
      <c r="O45" s="54"/>
      <c r="P45" s="54"/>
    </row>
    <row r="46">
      <c r="A46" s="89"/>
      <c r="B46" s="90"/>
      <c r="C46" s="83">
        <v>4.0</v>
      </c>
      <c r="D46" s="90">
        <v>4.0</v>
      </c>
      <c r="E46" s="119"/>
      <c r="F46" s="92" t="s">
        <v>21</v>
      </c>
      <c r="G46" s="92" t="s">
        <v>67</v>
      </c>
      <c r="H46" s="93">
        <v>0.0</v>
      </c>
      <c r="I46" s="94"/>
      <c r="J46" s="94"/>
      <c r="K46" s="94"/>
      <c r="L46" s="94"/>
      <c r="M46" s="94"/>
      <c r="N46" s="159" t="s">
        <v>116</v>
      </c>
      <c r="O46" s="94"/>
      <c r="P46" s="92"/>
    </row>
    <row r="47">
      <c r="A47" s="12"/>
      <c r="B47" s="40"/>
      <c r="C47" s="48">
        <v>4.0</v>
      </c>
      <c r="E47" s="51"/>
      <c r="F47" s="54" t="s">
        <v>25</v>
      </c>
      <c r="G47" s="54" t="s">
        <v>67</v>
      </c>
      <c r="H47" s="56">
        <f>H46</f>
        <v>0</v>
      </c>
      <c r="I47" s="57"/>
      <c r="J47" s="57"/>
      <c r="K47" s="57"/>
      <c r="L47" s="57"/>
      <c r="M47" s="57"/>
      <c r="N47" s="72" t="s">
        <v>116</v>
      </c>
      <c r="O47" s="57"/>
      <c r="P47" s="54"/>
    </row>
    <row r="48">
      <c r="A48" s="12"/>
      <c r="B48" s="40"/>
      <c r="C48" s="48">
        <v>4.0</v>
      </c>
      <c r="E48" s="51"/>
      <c r="F48" s="54" t="s">
        <v>27</v>
      </c>
      <c r="G48" s="54" t="s">
        <v>67</v>
      </c>
      <c r="H48" s="56">
        <f>H46</f>
        <v>0</v>
      </c>
      <c r="I48" s="57"/>
      <c r="J48" s="57"/>
      <c r="K48" s="57"/>
      <c r="L48" s="57"/>
      <c r="M48" s="57"/>
      <c r="N48" s="72" t="s">
        <v>116</v>
      </c>
      <c r="O48" s="57"/>
      <c r="P48" s="54"/>
    </row>
    <row r="49">
      <c r="A49" s="12"/>
      <c r="B49" s="40"/>
      <c r="C49" s="48">
        <v>4.0</v>
      </c>
      <c r="E49" s="51"/>
      <c r="F49" s="54" t="s">
        <v>76</v>
      </c>
      <c r="G49" s="54" t="s">
        <v>67</v>
      </c>
      <c r="H49" s="56">
        <f>H46</f>
        <v>0</v>
      </c>
      <c r="I49" s="57"/>
      <c r="J49" s="57"/>
      <c r="K49" s="57"/>
      <c r="L49" s="57"/>
      <c r="M49" s="57"/>
      <c r="N49" s="72" t="s">
        <v>116</v>
      </c>
      <c r="O49" s="57"/>
      <c r="P49" s="54"/>
    </row>
    <row r="50">
      <c r="A50" s="12"/>
      <c r="B50" s="40"/>
      <c r="C50" s="48">
        <v>4.0</v>
      </c>
      <c r="E50" s="51"/>
      <c r="F50" s="54" t="s">
        <v>21</v>
      </c>
      <c r="G50" s="54" t="s">
        <v>67</v>
      </c>
      <c r="H50" s="56">
        <f>H46+"03:30:00"</f>
        <v>0.1458333333</v>
      </c>
      <c r="I50" s="57"/>
      <c r="J50" s="57"/>
      <c r="K50" s="57"/>
      <c r="L50" s="57"/>
      <c r="M50" s="57"/>
      <c r="N50" s="72" t="s">
        <v>116</v>
      </c>
      <c r="O50" s="57"/>
      <c r="P50" s="54"/>
    </row>
    <row r="51">
      <c r="A51" s="12"/>
      <c r="B51" s="40"/>
      <c r="C51" s="48">
        <v>4.0</v>
      </c>
      <c r="E51" s="51"/>
      <c r="F51" s="54" t="s">
        <v>25</v>
      </c>
      <c r="G51" s="54" t="s">
        <v>67</v>
      </c>
      <c r="H51" s="56">
        <f>H50</f>
        <v>0.1458333333</v>
      </c>
      <c r="I51" s="57"/>
      <c r="J51" s="57"/>
      <c r="K51" s="57"/>
      <c r="L51" s="57"/>
      <c r="M51" s="57"/>
      <c r="N51" s="72" t="s">
        <v>116</v>
      </c>
      <c r="O51" s="57"/>
      <c r="P51" s="54"/>
    </row>
    <row r="52">
      <c r="A52" s="12"/>
      <c r="B52" s="40"/>
      <c r="C52" s="48">
        <v>4.0</v>
      </c>
      <c r="E52" s="51"/>
      <c r="F52" s="54" t="s">
        <v>27</v>
      </c>
      <c r="G52" s="54" t="s">
        <v>67</v>
      </c>
      <c r="H52" s="56">
        <f>H50</f>
        <v>0.1458333333</v>
      </c>
      <c r="I52" s="57"/>
      <c r="J52" s="57"/>
      <c r="K52" s="57"/>
      <c r="L52" s="57"/>
      <c r="M52" s="57"/>
      <c r="N52" s="72" t="s">
        <v>116</v>
      </c>
      <c r="O52" s="57"/>
      <c r="P52" s="54"/>
    </row>
    <row r="53">
      <c r="A53" s="12"/>
      <c r="B53" s="40"/>
      <c r="C53" s="48">
        <v>4.0</v>
      </c>
      <c r="E53" s="51"/>
      <c r="F53" s="54" t="s">
        <v>76</v>
      </c>
      <c r="G53" s="54" t="s">
        <v>67</v>
      </c>
      <c r="H53" s="56">
        <f>H50</f>
        <v>0.1458333333</v>
      </c>
      <c r="I53" s="57"/>
      <c r="J53" s="57"/>
      <c r="K53" s="57"/>
      <c r="L53" s="57"/>
      <c r="M53" s="57"/>
      <c r="N53" s="72" t="s">
        <v>116</v>
      </c>
      <c r="O53" s="57"/>
      <c r="P53" s="54"/>
    </row>
    <row r="54">
      <c r="A54" s="12"/>
      <c r="B54" s="40"/>
      <c r="C54" s="48">
        <v>4.0</v>
      </c>
      <c r="E54" s="51"/>
      <c r="F54" s="54" t="s">
        <v>21</v>
      </c>
      <c r="G54" s="54" t="s">
        <v>67</v>
      </c>
      <c r="H54" s="56">
        <f>H50+"03:30:00"</f>
        <v>0.2916666667</v>
      </c>
      <c r="I54" s="57"/>
      <c r="J54" s="57"/>
      <c r="K54" s="57"/>
      <c r="L54" s="57"/>
      <c r="M54" s="57"/>
      <c r="N54" s="72" t="s">
        <v>116</v>
      </c>
      <c r="O54" s="57"/>
      <c r="P54" s="54"/>
    </row>
    <row r="55">
      <c r="A55" s="12"/>
      <c r="B55" s="40"/>
      <c r="C55" s="48">
        <v>4.0</v>
      </c>
      <c r="E55" s="51"/>
      <c r="F55" s="54" t="s">
        <v>25</v>
      </c>
      <c r="G55" s="54" t="s">
        <v>67</v>
      </c>
      <c r="H55" s="56">
        <f>H54</f>
        <v>0.2916666667</v>
      </c>
      <c r="I55" s="57"/>
      <c r="J55" s="57"/>
      <c r="K55" s="57"/>
      <c r="L55" s="57"/>
      <c r="M55" s="57"/>
      <c r="N55" s="72" t="s">
        <v>116</v>
      </c>
      <c r="O55" s="57"/>
      <c r="P55" s="54"/>
    </row>
    <row r="56">
      <c r="A56" s="12"/>
      <c r="B56" s="40"/>
      <c r="C56" s="48">
        <v>4.0</v>
      </c>
      <c r="E56" s="51"/>
      <c r="F56" s="54" t="s">
        <v>27</v>
      </c>
      <c r="G56" s="54" t="s">
        <v>67</v>
      </c>
      <c r="H56" s="56">
        <f>H54</f>
        <v>0.2916666667</v>
      </c>
      <c r="I56" s="57"/>
      <c r="J56" s="57"/>
      <c r="K56" s="57"/>
      <c r="L56" s="57"/>
      <c r="M56" s="57"/>
      <c r="N56" s="72" t="s">
        <v>116</v>
      </c>
      <c r="O56" s="57"/>
      <c r="P56" s="54"/>
    </row>
    <row r="57">
      <c r="A57" s="12"/>
      <c r="B57" s="40"/>
      <c r="C57" s="48">
        <v>4.0</v>
      </c>
      <c r="E57" s="51"/>
      <c r="F57" s="54" t="s">
        <v>76</v>
      </c>
      <c r="G57" s="54" t="s">
        <v>67</v>
      </c>
      <c r="H57" s="56">
        <f>H54</f>
        <v>0.2916666667</v>
      </c>
      <c r="I57" s="57"/>
      <c r="J57" s="57"/>
      <c r="K57" s="57"/>
      <c r="L57" s="57"/>
      <c r="M57" s="57"/>
      <c r="N57" s="72" t="s">
        <v>116</v>
      </c>
      <c r="O57" s="57"/>
      <c r="P57" s="54"/>
    </row>
    <row r="58">
      <c r="A58" s="124"/>
      <c r="B58" s="182"/>
      <c r="C58" s="117">
        <v>4.0</v>
      </c>
      <c r="D58" s="125"/>
      <c r="E58" s="137"/>
      <c r="F58" s="86"/>
      <c r="G58" s="86"/>
      <c r="H58" s="126">
        <f>H54+"03:15:00"</f>
        <v>0.4270833333</v>
      </c>
      <c r="I58" s="127"/>
      <c r="J58" s="127"/>
      <c r="K58" s="127"/>
      <c r="L58" s="127"/>
      <c r="M58" s="127"/>
      <c r="N58" s="183"/>
      <c r="O58" s="86"/>
      <c r="P58" s="86"/>
    </row>
    <row r="59">
      <c r="A59" s="12"/>
      <c r="B59" s="40"/>
      <c r="C59" s="48">
        <v>5.0</v>
      </c>
      <c r="D59" s="40">
        <v>5.0</v>
      </c>
      <c r="E59" s="51"/>
      <c r="F59" s="54" t="s">
        <v>21</v>
      </c>
      <c r="G59" s="54" t="s">
        <v>67</v>
      </c>
      <c r="H59" s="56">
        <v>0.0</v>
      </c>
      <c r="I59" s="57"/>
      <c r="J59" s="57"/>
      <c r="K59" s="57"/>
      <c r="L59" s="57"/>
      <c r="M59" s="57"/>
      <c r="N59" s="72" t="s">
        <v>120</v>
      </c>
      <c r="O59" s="57"/>
      <c r="P59" s="54"/>
    </row>
    <row r="60">
      <c r="A60" s="12"/>
      <c r="B60" s="40"/>
      <c r="C60" s="48">
        <v>5.0</v>
      </c>
      <c r="E60" s="51"/>
      <c r="F60" s="54" t="s">
        <v>25</v>
      </c>
      <c r="G60" s="54" t="s">
        <v>67</v>
      </c>
      <c r="H60" s="56">
        <f>H59</f>
        <v>0</v>
      </c>
      <c r="I60" s="57"/>
      <c r="J60" s="57"/>
      <c r="K60" s="57"/>
      <c r="L60" s="57"/>
      <c r="M60" s="57"/>
      <c r="N60" s="72" t="s">
        <v>120</v>
      </c>
      <c r="O60" s="57"/>
      <c r="P60" s="54"/>
    </row>
    <row r="61">
      <c r="A61" s="12"/>
      <c r="B61" s="40"/>
      <c r="C61" s="48">
        <v>5.0</v>
      </c>
      <c r="E61" s="51"/>
      <c r="F61" s="54" t="s">
        <v>27</v>
      </c>
      <c r="G61" s="54" t="s">
        <v>67</v>
      </c>
      <c r="H61" s="56">
        <f>H59</f>
        <v>0</v>
      </c>
      <c r="I61" s="57"/>
      <c r="J61" s="57"/>
      <c r="K61" s="57"/>
      <c r="L61" s="57"/>
      <c r="M61" s="57"/>
      <c r="N61" s="72" t="s">
        <v>120</v>
      </c>
      <c r="O61" s="57"/>
      <c r="P61" s="54"/>
    </row>
    <row r="62">
      <c r="A62" s="12"/>
      <c r="B62" s="40"/>
      <c r="C62" s="48">
        <v>5.0</v>
      </c>
      <c r="E62" s="51"/>
      <c r="F62" s="54" t="s">
        <v>76</v>
      </c>
      <c r="G62" s="54" t="s">
        <v>67</v>
      </c>
      <c r="H62" s="56">
        <f>H59</f>
        <v>0</v>
      </c>
      <c r="I62" s="57"/>
      <c r="J62" s="57"/>
      <c r="K62" s="57"/>
      <c r="L62" s="57"/>
      <c r="M62" s="57"/>
      <c r="N62" s="72" t="s">
        <v>120</v>
      </c>
      <c r="O62" s="57"/>
      <c r="P62" s="54"/>
    </row>
    <row r="63">
      <c r="A63" s="12"/>
      <c r="B63" s="40"/>
      <c r="C63" s="48">
        <v>5.0</v>
      </c>
      <c r="E63" s="51"/>
      <c r="F63" s="54" t="s">
        <v>21</v>
      </c>
      <c r="G63" s="54" t="s">
        <v>67</v>
      </c>
      <c r="H63" s="56">
        <f>H59+"03:30:00"</f>
        <v>0.1458333333</v>
      </c>
      <c r="I63" s="57"/>
      <c r="J63" s="57"/>
      <c r="K63" s="57"/>
      <c r="L63" s="57"/>
      <c r="M63" s="57"/>
      <c r="N63" s="72" t="s">
        <v>120</v>
      </c>
      <c r="O63" s="57"/>
      <c r="P63" s="54"/>
    </row>
    <row r="64">
      <c r="A64" s="12"/>
      <c r="B64" s="40"/>
      <c r="C64" s="48">
        <v>5.0</v>
      </c>
      <c r="E64" s="51"/>
      <c r="F64" s="54" t="s">
        <v>25</v>
      </c>
      <c r="G64" s="54" t="s">
        <v>67</v>
      </c>
      <c r="H64" s="56">
        <f>H63</f>
        <v>0.1458333333</v>
      </c>
      <c r="I64" s="57"/>
      <c r="J64" s="57"/>
      <c r="K64" s="57"/>
      <c r="L64" s="57"/>
      <c r="M64" s="57"/>
      <c r="N64" s="72" t="s">
        <v>120</v>
      </c>
      <c r="O64" s="57"/>
      <c r="P64" s="54"/>
    </row>
    <row r="65">
      <c r="A65" s="12"/>
      <c r="B65" s="40"/>
      <c r="C65" s="48">
        <v>5.0</v>
      </c>
      <c r="E65" s="51"/>
      <c r="F65" s="54" t="s">
        <v>27</v>
      </c>
      <c r="G65" s="54" t="s">
        <v>67</v>
      </c>
      <c r="H65" s="56">
        <f>H63</f>
        <v>0.1458333333</v>
      </c>
      <c r="I65" s="57"/>
      <c r="J65" s="57"/>
      <c r="K65" s="57"/>
      <c r="L65" s="57"/>
      <c r="M65" s="57"/>
      <c r="N65" s="72" t="s">
        <v>120</v>
      </c>
      <c r="O65" s="57"/>
      <c r="P65" s="54"/>
    </row>
    <row r="66">
      <c r="A66" s="12"/>
      <c r="B66" s="40"/>
      <c r="C66" s="48">
        <v>5.0</v>
      </c>
      <c r="E66" s="51"/>
      <c r="F66" s="54" t="s">
        <v>76</v>
      </c>
      <c r="G66" s="54" t="s">
        <v>67</v>
      </c>
      <c r="H66" s="56">
        <f>H63</f>
        <v>0.1458333333</v>
      </c>
      <c r="I66" s="57"/>
      <c r="J66" s="57"/>
      <c r="K66" s="57"/>
      <c r="L66" s="57"/>
      <c r="M66" s="57"/>
      <c r="N66" s="72" t="s">
        <v>120</v>
      </c>
      <c r="O66" s="57"/>
      <c r="P66" s="54"/>
    </row>
    <row r="67">
      <c r="A67" s="12"/>
      <c r="B67" s="40"/>
      <c r="C67" s="48">
        <v>5.0</v>
      </c>
      <c r="E67" s="51"/>
      <c r="F67" s="54" t="s">
        <v>21</v>
      </c>
      <c r="G67" s="54" t="s">
        <v>67</v>
      </c>
      <c r="H67" s="56">
        <f>H63+"03:30:00"</f>
        <v>0.2916666667</v>
      </c>
      <c r="I67" s="57"/>
      <c r="J67" s="57"/>
      <c r="K67" s="57"/>
      <c r="L67" s="57"/>
      <c r="M67" s="57"/>
      <c r="N67" s="72" t="s">
        <v>120</v>
      </c>
      <c r="O67" s="57"/>
      <c r="P67" s="54"/>
    </row>
    <row r="68">
      <c r="A68" s="12"/>
      <c r="B68" s="40"/>
      <c r="C68" s="48">
        <v>5.0</v>
      </c>
      <c r="E68" s="51"/>
      <c r="F68" s="54" t="s">
        <v>25</v>
      </c>
      <c r="G68" s="54" t="s">
        <v>67</v>
      </c>
      <c r="H68" s="56">
        <f>H67</f>
        <v>0.2916666667</v>
      </c>
      <c r="I68" s="57"/>
      <c r="J68" s="57"/>
      <c r="K68" s="57"/>
      <c r="L68" s="57"/>
      <c r="M68" s="57"/>
      <c r="N68" s="72" t="s">
        <v>120</v>
      </c>
      <c r="O68" s="57"/>
      <c r="P68" s="54"/>
    </row>
    <row r="69">
      <c r="A69" s="12"/>
      <c r="B69" s="40"/>
      <c r="C69" s="48">
        <v>5.0</v>
      </c>
      <c r="E69" s="51"/>
      <c r="F69" s="54" t="s">
        <v>27</v>
      </c>
      <c r="G69" s="54" t="s">
        <v>67</v>
      </c>
      <c r="H69" s="56">
        <f>H67</f>
        <v>0.2916666667</v>
      </c>
      <c r="I69" s="57"/>
      <c r="J69" s="57"/>
      <c r="K69" s="57"/>
      <c r="L69" s="57"/>
      <c r="M69" s="57"/>
      <c r="N69" s="72" t="s">
        <v>120</v>
      </c>
      <c r="O69" s="57"/>
      <c r="P69" s="54"/>
    </row>
    <row r="70">
      <c r="A70" s="12"/>
      <c r="B70" s="40"/>
      <c r="C70" s="48">
        <v>5.0</v>
      </c>
      <c r="E70" s="51"/>
      <c r="F70" s="54" t="s">
        <v>76</v>
      </c>
      <c r="G70" s="54" t="s">
        <v>67</v>
      </c>
      <c r="H70" s="56">
        <f>H67</f>
        <v>0.2916666667</v>
      </c>
      <c r="I70" s="57"/>
      <c r="J70" s="57"/>
      <c r="K70" s="57"/>
      <c r="L70" s="57"/>
      <c r="M70" s="57"/>
      <c r="N70" s="72" t="s">
        <v>120</v>
      </c>
      <c r="O70" s="57"/>
      <c r="P70" s="54"/>
    </row>
    <row r="71">
      <c r="A71" s="12"/>
      <c r="B71" s="40"/>
      <c r="C71" s="48">
        <v>5.0</v>
      </c>
      <c r="E71" s="51"/>
      <c r="F71" s="54"/>
      <c r="G71" s="54"/>
      <c r="H71" s="56">
        <f>H67+"03:15:00"</f>
        <v>0.4270833333</v>
      </c>
      <c r="I71" s="85"/>
      <c r="J71" s="85"/>
      <c r="K71" s="85"/>
      <c r="L71" s="85"/>
      <c r="M71" s="85"/>
      <c r="N71" s="72"/>
      <c r="O71" s="54"/>
      <c r="P71" s="54"/>
    </row>
    <row r="72">
      <c r="A72" s="89"/>
      <c r="B72" s="90"/>
      <c r="C72" s="83">
        <v>6.0</v>
      </c>
      <c r="D72" s="90">
        <v>6.0</v>
      </c>
      <c r="E72" s="119"/>
      <c r="F72" s="92" t="s">
        <v>21</v>
      </c>
      <c r="G72" s="92" t="s">
        <v>67</v>
      </c>
      <c r="H72" s="93">
        <v>0.0</v>
      </c>
      <c r="I72" s="94"/>
      <c r="J72" s="94"/>
      <c r="K72" s="94"/>
      <c r="L72" s="94"/>
      <c r="M72" s="94"/>
      <c r="N72" s="159" t="s">
        <v>121</v>
      </c>
      <c r="O72" s="94"/>
      <c r="P72" s="92"/>
    </row>
    <row r="73">
      <c r="A73" s="12"/>
      <c r="B73" s="40"/>
      <c r="C73" s="48">
        <v>6.0</v>
      </c>
      <c r="E73" s="51"/>
      <c r="F73" s="54" t="s">
        <v>25</v>
      </c>
      <c r="G73" s="54" t="s">
        <v>67</v>
      </c>
      <c r="H73" s="56">
        <f>H72</f>
        <v>0</v>
      </c>
      <c r="I73" s="57"/>
      <c r="J73" s="57"/>
      <c r="K73" s="57"/>
      <c r="L73" s="57"/>
      <c r="M73" s="57"/>
      <c r="N73" s="72" t="s">
        <v>121</v>
      </c>
      <c r="O73" s="57"/>
      <c r="P73" s="54"/>
    </row>
    <row r="74">
      <c r="A74" s="12"/>
      <c r="B74" s="40"/>
      <c r="C74" s="48">
        <v>6.0</v>
      </c>
      <c r="E74" s="51"/>
      <c r="F74" s="54" t="s">
        <v>27</v>
      </c>
      <c r="G74" s="54" t="s">
        <v>67</v>
      </c>
      <c r="H74" s="56">
        <f>H72</f>
        <v>0</v>
      </c>
      <c r="I74" s="57"/>
      <c r="J74" s="57"/>
      <c r="K74" s="57"/>
      <c r="L74" s="57"/>
      <c r="M74" s="57"/>
      <c r="N74" s="72" t="s">
        <v>121</v>
      </c>
      <c r="O74" s="57"/>
      <c r="P74" s="54"/>
    </row>
    <row r="75">
      <c r="A75" s="12"/>
      <c r="B75" s="40"/>
      <c r="C75" s="48">
        <v>6.0</v>
      </c>
      <c r="E75" s="51"/>
      <c r="F75" s="54" t="s">
        <v>76</v>
      </c>
      <c r="G75" s="54" t="s">
        <v>67</v>
      </c>
      <c r="H75" s="56">
        <f>H72</f>
        <v>0</v>
      </c>
      <c r="I75" s="57"/>
      <c r="J75" s="57"/>
      <c r="K75" s="57"/>
      <c r="L75" s="57"/>
      <c r="M75" s="57"/>
      <c r="N75" s="72" t="s">
        <v>121</v>
      </c>
      <c r="O75" s="57"/>
      <c r="P75" s="54"/>
    </row>
    <row r="76">
      <c r="A76" s="12"/>
      <c r="B76" s="40"/>
      <c r="C76" s="48">
        <v>6.0</v>
      </c>
      <c r="E76" s="51"/>
      <c r="F76" s="54" t="s">
        <v>21</v>
      </c>
      <c r="G76" s="54" t="s">
        <v>67</v>
      </c>
      <c r="H76" s="56">
        <f>H72+"03:30:00"</f>
        <v>0.1458333333</v>
      </c>
      <c r="I76" s="57"/>
      <c r="J76" s="57"/>
      <c r="K76" s="57"/>
      <c r="L76" s="57"/>
      <c r="M76" s="57"/>
      <c r="N76" s="72" t="s">
        <v>121</v>
      </c>
      <c r="O76" s="57"/>
      <c r="P76" s="54"/>
    </row>
    <row r="77">
      <c r="A77" s="12"/>
      <c r="B77" s="40"/>
      <c r="C77" s="48">
        <v>6.0</v>
      </c>
      <c r="E77" s="51"/>
      <c r="F77" s="54" t="s">
        <v>25</v>
      </c>
      <c r="G77" s="54" t="s">
        <v>67</v>
      </c>
      <c r="H77" s="56">
        <f>H76</f>
        <v>0.1458333333</v>
      </c>
      <c r="I77" s="57"/>
      <c r="J77" s="57"/>
      <c r="K77" s="57"/>
      <c r="L77" s="57"/>
      <c r="M77" s="57"/>
      <c r="N77" s="72" t="s">
        <v>121</v>
      </c>
      <c r="O77" s="57"/>
      <c r="P77" s="54"/>
    </row>
    <row r="78">
      <c r="A78" s="12"/>
      <c r="B78" s="40"/>
      <c r="C78" s="48">
        <v>6.0</v>
      </c>
      <c r="E78" s="51"/>
      <c r="F78" s="54" t="s">
        <v>27</v>
      </c>
      <c r="G78" s="54" t="s">
        <v>67</v>
      </c>
      <c r="H78" s="56">
        <f>H76</f>
        <v>0.1458333333</v>
      </c>
      <c r="I78" s="57"/>
      <c r="J78" s="57"/>
      <c r="K78" s="57"/>
      <c r="L78" s="57"/>
      <c r="M78" s="57"/>
      <c r="N78" s="72" t="s">
        <v>121</v>
      </c>
      <c r="O78" s="57"/>
      <c r="P78" s="54"/>
    </row>
    <row r="79">
      <c r="A79" s="12"/>
      <c r="B79" s="40"/>
      <c r="C79" s="48">
        <v>6.0</v>
      </c>
      <c r="E79" s="51"/>
      <c r="F79" s="54" t="s">
        <v>76</v>
      </c>
      <c r="G79" s="54" t="s">
        <v>67</v>
      </c>
      <c r="H79" s="56">
        <f>H76</f>
        <v>0.1458333333</v>
      </c>
      <c r="I79" s="57"/>
      <c r="J79" s="57"/>
      <c r="K79" s="57"/>
      <c r="L79" s="57"/>
      <c r="M79" s="57"/>
      <c r="N79" s="72" t="s">
        <v>121</v>
      </c>
      <c r="O79" s="57"/>
      <c r="P79" s="54"/>
    </row>
    <row r="80">
      <c r="A80" s="12"/>
      <c r="B80" s="40"/>
      <c r="C80" s="48">
        <v>6.0</v>
      </c>
      <c r="E80" s="51"/>
      <c r="F80" s="54" t="s">
        <v>21</v>
      </c>
      <c r="G80" s="54" t="s">
        <v>67</v>
      </c>
      <c r="H80" s="56">
        <f>H76+"03:30:00"</f>
        <v>0.2916666667</v>
      </c>
      <c r="I80" s="57"/>
      <c r="J80" s="57"/>
      <c r="K80" s="57"/>
      <c r="L80" s="57"/>
      <c r="M80" s="57"/>
      <c r="N80" s="72" t="s">
        <v>121</v>
      </c>
      <c r="O80" s="57"/>
      <c r="P80" s="54"/>
    </row>
    <row r="81">
      <c r="A81" s="12"/>
      <c r="B81" s="40"/>
      <c r="C81" s="48">
        <v>6.0</v>
      </c>
      <c r="E81" s="51"/>
      <c r="F81" s="54" t="s">
        <v>25</v>
      </c>
      <c r="G81" s="54" t="s">
        <v>67</v>
      </c>
      <c r="H81" s="56">
        <f>H80</f>
        <v>0.2916666667</v>
      </c>
      <c r="I81" s="57"/>
      <c r="J81" s="57"/>
      <c r="K81" s="57"/>
      <c r="L81" s="57"/>
      <c r="M81" s="57"/>
      <c r="N81" s="72" t="s">
        <v>121</v>
      </c>
      <c r="O81" s="57"/>
      <c r="P81" s="54"/>
    </row>
    <row r="82">
      <c r="A82" s="12"/>
      <c r="B82" s="40"/>
      <c r="C82" s="48">
        <v>6.0</v>
      </c>
      <c r="E82" s="51"/>
      <c r="F82" s="54" t="s">
        <v>27</v>
      </c>
      <c r="G82" s="54" t="s">
        <v>67</v>
      </c>
      <c r="H82" s="56">
        <f>H80</f>
        <v>0.2916666667</v>
      </c>
      <c r="I82" s="57"/>
      <c r="J82" s="57"/>
      <c r="K82" s="57"/>
      <c r="L82" s="57"/>
      <c r="M82" s="57"/>
      <c r="N82" s="72" t="s">
        <v>121</v>
      </c>
      <c r="O82" s="57"/>
      <c r="P82" s="54"/>
    </row>
    <row r="83">
      <c r="A83" s="12"/>
      <c r="B83" s="40"/>
      <c r="C83" s="48">
        <v>6.0</v>
      </c>
      <c r="E83" s="51"/>
      <c r="F83" s="54" t="s">
        <v>76</v>
      </c>
      <c r="G83" s="54" t="s">
        <v>67</v>
      </c>
      <c r="H83" s="56">
        <f>H80</f>
        <v>0.2916666667</v>
      </c>
      <c r="I83" s="57"/>
      <c r="J83" s="57"/>
      <c r="K83" s="57"/>
      <c r="L83" s="57"/>
      <c r="M83" s="57"/>
      <c r="N83" s="72" t="s">
        <v>121</v>
      </c>
      <c r="O83" s="57"/>
      <c r="P83" s="54"/>
    </row>
    <row r="84">
      <c r="A84" s="124"/>
      <c r="B84" s="182"/>
      <c r="C84" s="117">
        <v>6.0</v>
      </c>
      <c r="D84" s="125"/>
      <c r="E84" s="137"/>
      <c r="F84" s="86"/>
      <c r="G84" s="86"/>
      <c r="H84" s="126">
        <f>H80+"03:15:00"</f>
        <v>0.4270833333</v>
      </c>
      <c r="I84" s="127"/>
      <c r="J84" s="127"/>
      <c r="K84" s="127"/>
      <c r="L84" s="127"/>
      <c r="M84" s="127"/>
      <c r="N84" s="183"/>
      <c r="O84" s="86"/>
      <c r="P84" s="86"/>
    </row>
    <row r="85">
      <c r="A85" s="12"/>
      <c r="B85" s="40"/>
      <c r="C85" s="48">
        <v>7.0</v>
      </c>
      <c r="D85" s="40">
        <v>7.0</v>
      </c>
      <c r="E85" s="51"/>
      <c r="F85" s="54" t="s">
        <v>21</v>
      </c>
      <c r="G85" s="54" t="s">
        <v>67</v>
      </c>
      <c r="H85" s="56">
        <v>0.0</v>
      </c>
      <c r="I85" s="57"/>
      <c r="J85" s="57"/>
      <c r="K85" s="57"/>
      <c r="L85" s="57"/>
      <c r="M85" s="57"/>
      <c r="N85" s="72" t="s">
        <v>122</v>
      </c>
      <c r="O85" s="57"/>
      <c r="P85" s="54" t="s">
        <v>123</v>
      </c>
    </row>
    <row r="86">
      <c r="A86" s="12"/>
      <c r="B86" s="40"/>
      <c r="C86" s="48">
        <v>7.0</v>
      </c>
      <c r="E86" s="51"/>
      <c r="F86" s="54" t="s">
        <v>25</v>
      </c>
      <c r="G86" s="54" t="s">
        <v>67</v>
      </c>
      <c r="H86" s="56">
        <f>H85</f>
        <v>0</v>
      </c>
      <c r="I86" s="57"/>
      <c r="J86" s="57"/>
      <c r="K86" s="57"/>
      <c r="L86" s="57"/>
      <c r="M86" s="57"/>
      <c r="N86" s="72" t="s">
        <v>122</v>
      </c>
      <c r="O86" s="57"/>
    </row>
    <row r="87">
      <c r="A87" s="12"/>
      <c r="B87" s="40"/>
      <c r="C87" s="48">
        <v>7.0</v>
      </c>
      <c r="E87" s="51"/>
      <c r="F87" s="54" t="s">
        <v>27</v>
      </c>
      <c r="G87" s="54" t="s">
        <v>67</v>
      </c>
      <c r="H87" s="56">
        <f>H85</f>
        <v>0</v>
      </c>
      <c r="I87" s="57"/>
      <c r="J87" s="57"/>
      <c r="K87" s="57"/>
      <c r="L87" s="57"/>
      <c r="M87" s="57"/>
      <c r="N87" s="72" t="s">
        <v>122</v>
      </c>
      <c r="O87" s="57"/>
    </row>
    <row r="88">
      <c r="A88" s="12"/>
      <c r="B88" s="40"/>
      <c r="C88" s="48">
        <v>7.0</v>
      </c>
      <c r="E88" s="51"/>
      <c r="F88" s="54" t="s">
        <v>76</v>
      </c>
      <c r="G88" s="54" t="s">
        <v>67</v>
      </c>
      <c r="H88" s="56">
        <f>H85</f>
        <v>0</v>
      </c>
      <c r="I88" s="57"/>
      <c r="J88" s="57"/>
      <c r="K88" s="57"/>
      <c r="L88" s="57"/>
      <c r="M88" s="57"/>
      <c r="N88" s="72" t="s">
        <v>122</v>
      </c>
      <c r="O88" s="57"/>
    </row>
    <row r="89">
      <c r="A89" s="12"/>
      <c r="B89" s="40"/>
      <c r="C89" s="48">
        <v>7.0</v>
      </c>
      <c r="E89" s="51"/>
      <c r="F89" s="54" t="s">
        <v>21</v>
      </c>
      <c r="G89" s="54" t="s">
        <v>67</v>
      </c>
      <c r="H89" s="56">
        <f>H85+"03:30:00"</f>
        <v>0.1458333333</v>
      </c>
      <c r="I89" s="57"/>
      <c r="J89" s="57"/>
      <c r="K89" s="57"/>
      <c r="L89" s="57"/>
      <c r="M89" s="57"/>
      <c r="N89" s="72" t="s">
        <v>122</v>
      </c>
      <c r="O89" s="57"/>
    </row>
    <row r="90">
      <c r="A90" s="12"/>
      <c r="B90" s="40"/>
      <c r="C90" s="48">
        <v>7.0</v>
      </c>
      <c r="E90" s="51"/>
      <c r="F90" s="54" t="s">
        <v>25</v>
      </c>
      <c r="G90" s="54" t="s">
        <v>67</v>
      </c>
      <c r="H90" s="56">
        <f>H89</f>
        <v>0.1458333333</v>
      </c>
      <c r="I90" s="57"/>
      <c r="J90" s="57"/>
      <c r="K90" s="57"/>
      <c r="L90" s="57"/>
      <c r="M90" s="57"/>
      <c r="N90" s="72" t="s">
        <v>122</v>
      </c>
      <c r="O90" s="57"/>
    </row>
    <row r="91">
      <c r="A91" s="12"/>
      <c r="B91" s="40"/>
      <c r="C91" s="48">
        <v>7.0</v>
      </c>
      <c r="E91" s="51"/>
      <c r="F91" s="54" t="s">
        <v>27</v>
      </c>
      <c r="G91" s="54" t="s">
        <v>67</v>
      </c>
      <c r="H91" s="56">
        <f>H89</f>
        <v>0.1458333333</v>
      </c>
      <c r="I91" s="57"/>
      <c r="J91" s="57"/>
      <c r="K91" s="57"/>
      <c r="L91" s="57"/>
      <c r="M91" s="57"/>
      <c r="N91" s="72" t="s">
        <v>122</v>
      </c>
      <c r="O91" s="57"/>
    </row>
    <row r="92">
      <c r="A92" s="12"/>
      <c r="B92" s="40"/>
      <c r="C92" s="48">
        <v>7.0</v>
      </c>
      <c r="E92" s="51"/>
      <c r="F92" s="54" t="s">
        <v>76</v>
      </c>
      <c r="G92" s="54" t="s">
        <v>67</v>
      </c>
      <c r="H92" s="56">
        <f>H89</f>
        <v>0.1458333333</v>
      </c>
      <c r="I92" s="57"/>
      <c r="J92" s="57"/>
      <c r="K92" s="57"/>
      <c r="L92" s="57"/>
      <c r="M92" s="57"/>
      <c r="N92" s="72" t="s">
        <v>122</v>
      </c>
      <c r="O92" s="57"/>
    </row>
    <row r="93">
      <c r="A93" s="12"/>
      <c r="B93" s="40"/>
      <c r="C93" s="48">
        <v>7.0</v>
      </c>
      <c r="E93" s="51"/>
      <c r="F93" s="54"/>
      <c r="G93" s="54"/>
      <c r="H93" s="56">
        <f>H89+"03:15:00"</f>
        <v>0.28125</v>
      </c>
      <c r="I93" s="85"/>
      <c r="J93" s="85"/>
      <c r="K93" s="85"/>
      <c r="L93" s="85"/>
      <c r="M93" s="85"/>
      <c r="N93" s="72"/>
      <c r="O93" s="54"/>
    </row>
    <row r="94">
      <c r="A94" s="89"/>
      <c r="B94" s="90"/>
      <c r="C94" s="83">
        <v>8.0</v>
      </c>
      <c r="D94" s="90">
        <v>8.0</v>
      </c>
      <c r="E94" s="119"/>
      <c r="F94" s="92" t="s">
        <v>21</v>
      </c>
      <c r="G94" s="92" t="s">
        <v>67</v>
      </c>
      <c r="H94" s="93">
        <v>0.0</v>
      </c>
      <c r="I94" s="143"/>
      <c r="J94" s="143"/>
      <c r="K94" s="143"/>
      <c r="L94" s="143"/>
      <c r="M94" s="143"/>
      <c r="N94" s="92" t="s">
        <v>124</v>
      </c>
      <c r="O94" s="92"/>
      <c r="P94" s="92"/>
    </row>
    <row r="95">
      <c r="A95" s="12"/>
      <c r="B95" s="40"/>
      <c r="C95" s="48">
        <v>8.0</v>
      </c>
      <c r="E95" s="51"/>
      <c r="F95" s="54" t="s">
        <v>25</v>
      </c>
      <c r="G95" s="54" t="s">
        <v>67</v>
      </c>
      <c r="H95" s="56">
        <f>H94</f>
        <v>0</v>
      </c>
      <c r="I95" s="85"/>
      <c r="J95" s="85"/>
      <c r="K95" s="85"/>
      <c r="L95" s="85"/>
      <c r="M95" s="85"/>
      <c r="N95" s="54" t="s">
        <v>124</v>
      </c>
      <c r="O95" s="54"/>
      <c r="P95" s="54"/>
    </row>
    <row r="96">
      <c r="A96" s="12"/>
      <c r="B96" s="40"/>
      <c r="C96" s="48">
        <v>8.0</v>
      </c>
      <c r="E96" s="51"/>
      <c r="F96" s="54" t="s">
        <v>21</v>
      </c>
      <c r="G96" s="54" t="s">
        <v>67</v>
      </c>
      <c r="H96" s="56">
        <f>H94+"03:30:00"</f>
        <v>0.1458333333</v>
      </c>
      <c r="I96" s="85"/>
      <c r="J96" s="85"/>
      <c r="K96" s="85"/>
      <c r="L96" s="85"/>
      <c r="M96" s="85"/>
      <c r="N96" s="54" t="s">
        <v>124</v>
      </c>
      <c r="O96" s="54"/>
      <c r="P96" s="54"/>
    </row>
    <row r="97">
      <c r="A97" s="12"/>
      <c r="B97" s="40"/>
      <c r="C97" s="48">
        <v>8.0</v>
      </c>
      <c r="E97" s="51"/>
      <c r="F97" s="54" t="s">
        <v>25</v>
      </c>
      <c r="G97" s="54" t="s">
        <v>67</v>
      </c>
      <c r="H97" s="56">
        <f>H96</f>
        <v>0.1458333333</v>
      </c>
      <c r="I97" s="85"/>
      <c r="J97" s="85"/>
      <c r="K97" s="85"/>
      <c r="L97" s="85"/>
      <c r="M97" s="85"/>
      <c r="N97" s="54" t="s">
        <v>124</v>
      </c>
      <c r="O97" s="54"/>
      <c r="P97" s="54"/>
    </row>
    <row r="98">
      <c r="A98" s="12"/>
      <c r="B98" s="40"/>
      <c r="C98" s="48">
        <v>8.0</v>
      </c>
      <c r="E98" s="51"/>
      <c r="F98" s="54"/>
      <c r="G98" s="54"/>
      <c r="H98" s="56">
        <f>H96+"03:15:00"</f>
        <v>0.28125</v>
      </c>
      <c r="I98" s="85"/>
      <c r="J98" s="85"/>
      <c r="K98" s="85"/>
      <c r="L98" s="85"/>
      <c r="M98" s="85"/>
      <c r="N98" s="54"/>
      <c r="O98" s="54"/>
      <c r="P98" s="54"/>
    </row>
    <row r="99">
      <c r="A99" s="89"/>
      <c r="B99" s="90"/>
      <c r="C99" s="83">
        <v>9.0</v>
      </c>
      <c r="D99" s="90">
        <v>9.0</v>
      </c>
      <c r="E99" s="119"/>
      <c r="F99" s="92" t="s">
        <v>21</v>
      </c>
      <c r="G99" s="92" t="s">
        <v>67</v>
      </c>
      <c r="H99" s="93">
        <v>0.0</v>
      </c>
      <c r="I99" s="143"/>
      <c r="J99" s="143"/>
      <c r="K99" s="143"/>
      <c r="L99" s="143"/>
      <c r="M99" s="143"/>
      <c r="N99" s="92" t="s">
        <v>125</v>
      </c>
      <c r="O99" s="92"/>
      <c r="P99" s="92"/>
    </row>
    <row r="100">
      <c r="A100" s="12"/>
      <c r="B100" s="40"/>
      <c r="C100" s="48">
        <v>9.0</v>
      </c>
      <c r="E100" s="51"/>
      <c r="F100" s="54" t="s">
        <v>21</v>
      </c>
      <c r="G100" s="54" t="s">
        <v>67</v>
      </c>
      <c r="H100" s="56">
        <f>H99+"03:30:00"</f>
        <v>0.1458333333</v>
      </c>
      <c r="I100" s="85"/>
      <c r="J100" s="85"/>
      <c r="K100" s="85"/>
      <c r="L100" s="85"/>
      <c r="M100" s="85"/>
      <c r="N100" s="54" t="s">
        <v>126</v>
      </c>
      <c r="O100" s="54"/>
      <c r="P100" s="54"/>
    </row>
    <row r="101">
      <c r="A101" s="124"/>
      <c r="B101" s="182"/>
      <c r="C101" s="117">
        <v>9.0</v>
      </c>
      <c r="D101" s="125"/>
      <c r="E101" s="137"/>
      <c r="F101" s="86"/>
      <c r="G101" s="86"/>
      <c r="H101" s="126">
        <f>H100+"03:15:00"</f>
        <v>0.28125</v>
      </c>
      <c r="I101" s="127"/>
      <c r="J101" s="127"/>
      <c r="K101" s="127"/>
      <c r="L101" s="127"/>
      <c r="M101" s="127"/>
      <c r="N101" s="309"/>
      <c r="O101" s="86"/>
      <c r="P101" s="86"/>
    </row>
    <row r="102">
      <c r="A102" s="12"/>
      <c r="B102" s="40"/>
      <c r="C102" s="48">
        <v>10.0</v>
      </c>
      <c r="D102" s="40">
        <v>10.0</v>
      </c>
      <c r="E102" s="51"/>
      <c r="F102" s="54" t="s">
        <v>21</v>
      </c>
      <c r="G102" s="54" t="s">
        <v>67</v>
      </c>
      <c r="H102" s="56">
        <v>0.0</v>
      </c>
      <c r="I102" s="85"/>
      <c r="J102" s="85"/>
      <c r="K102" s="85"/>
      <c r="L102" s="85"/>
      <c r="M102" s="85"/>
      <c r="N102" s="54" t="s">
        <v>127</v>
      </c>
      <c r="O102" s="54"/>
      <c r="P102" s="54"/>
    </row>
    <row r="103">
      <c r="A103" s="12"/>
      <c r="B103" s="40"/>
      <c r="C103" s="48">
        <v>10.0</v>
      </c>
      <c r="E103" s="51"/>
      <c r="F103" s="54" t="s">
        <v>21</v>
      </c>
      <c r="G103" s="54" t="s">
        <v>67</v>
      </c>
      <c r="H103" s="56">
        <f>H102+"03:30:00"</f>
        <v>0.1458333333</v>
      </c>
      <c r="I103" s="85"/>
      <c r="J103" s="85"/>
      <c r="K103" s="85"/>
      <c r="L103" s="85"/>
      <c r="M103" s="85"/>
      <c r="N103" s="54" t="s">
        <v>128</v>
      </c>
      <c r="O103" s="54"/>
      <c r="P103" s="54"/>
    </row>
    <row r="104">
      <c r="A104" s="12"/>
      <c r="B104" s="40"/>
      <c r="C104" s="48">
        <v>10.0</v>
      </c>
      <c r="E104" s="51"/>
      <c r="F104" s="54"/>
      <c r="G104" s="54"/>
      <c r="H104" s="56">
        <f>H103+"03:15:00"</f>
        <v>0.28125</v>
      </c>
      <c r="I104" s="85"/>
      <c r="J104" s="85"/>
      <c r="K104" s="85"/>
      <c r="L104" s="85"/>
      <c r="M104" s="85"/>
      <c r="N104" s="54"/>
      <c r="O104" s="54"/>
      <c r="P104" s="54"/>
    </row>
    <row r="105">
      <c r="A105" s="89"/>
      <c r="B105" s="90"/>
      <c r="C105" s="83">
        <v>11.0</v>
      </c>
      <c r="D105" s="90">
        <v>11.0</v>
      </c>
      <c r="E105" s="119"/>
      <c r="F105" s="92" t="s">
        <v>21</v>
      </c>
      <c r="G105" s="92" t="s">
        <v>67</v>
      </c>
      <c r="H105" s="93">
        <v>0.0</v>
      </c>
      <c r="I105" s="143"/>
      <c r="J105" s="143"/>
      <c r="K105" s="143"/>
      <c r="L105" s="143"/>
      <c r="M105" s="143"/>
      <c r="N105" s="92" t="s">
        <v>129</v>
      </c>
      <c r="O105" s="92"/>
      <c r="P105" s="92"/>
    </row>
    <row r="106">
      <c r="A106" s="12"/>
      <c r="B106" s="40"/>
      <c r="C106" s="48">
        <v>11.0</v>
      </c>
      <c r="E106" s="51"/>
      <c r="F106" s="54" t="s">
        <v>21</v>
      </c>
      <c r="G106" s="54" t="s">
        <v>67</v>
      </c>
      <c r="H106" s="56">
        <f>H105+"03:30:00"</f>
        <v>0.1458333333</v>
      </c>
      <c r="I106" s="85"/>
      <c r="J106" s="85"/>
      <c r="K106" s="85"/>
      <c r="L106" s="85"/>
      <c r="M106" s="85"/>
      <c r="N106" s="54" t="s">
        <v>129</v>
      </c>
      <c r="O106" s="54"/>
      <c r="P106" s="54"/>
    </row>
    <row r="107">
      <c r="A107" s="124"/>
      <c r="B107" s="182"/>
      <c r="C107" s="117">
        <v>11.0</v>
      </c>
      <c r="D107" s="125"/>
      <c r="E107" s="137"/>
      <c r="F107" s="86"/>
      <c r="G107" s="86"/>
      <c r="H107" s="126">
        <f>H106+"03:15:00"</f>
        <v>0.28125</v>
      </c>
      <c r="I107" s="127"/>
      <c r="J107" s="127"/>
      <c r="K107" s="127"/>
      <c r="L107" s="127"/>
      <c r="M107" s="127"/>
      <c r="N107" s="86"/>
      <c r="O107" s="86"/>
      <c r="P107" s="86"/>
    </row>
    <row r="108">
      <c r="A108" s="12"/>
      <c r="B108" s="40"/>
      <c r="C108" s="48">
        <v>12.0</v>
      </c>
      <c r="D108" s="40">
        <v>12.0</v>
      </c>
      <c r="E108" s="51"/>
      <c r="F108" s="54" t="s">
        <v>21</v>
      </c>
      <c r="G108" s="54" t="s">
        <v>67</v>
      </c>
      <c r="H108" s="56">
        <v>0.0</v>
      </c>
      <c r="I108" s="85"/>
      <c r="J108" s="85"/>
      <c r="K108" s="85"/>
      <c r="L108" s="85"/>
      <c r="M108" s="85"/>
      <c r="N108" s="54" t="s">
        <v>70</v>
      </c>
      <c r="O108" s="54"/>
      <c r="P108" s="54"/>
    </row>
    <row r="109">
      <c r="A109" s="12"/>
      <c r="B109" s="40"/>
      <c r="C109" s="48">
        <v>12.0</v>
      </c>
      <c r="E109" s="51"/>
      <c r="F109" s="54" t="s">
        <v>21</v>
      </c>
      <c r="G109" s="54" t="s">
        <v>118</v>
      </c>
      <c r="H109" s="56">
        <f>H108+"03:30:00"</f>
        <v>0.1458333333</v>
      </c>
      <c r="I109" s="85"/>
      <c r="J109" s="85"/>
      <c r="K109" s="85"/>
      <c r="L109" s="85"/>
      <c r="M109" s="85"/>
      <c r="N109" s="54" t="s">
        <v>119</v>
      </c>
      <c r="O109" s="54"/>
      <c r="P109" s="54"/>
    </row>
    <row r="110">
      <c r="A110" s="12"/>
      <c r="B110" s="40"/>
      <c r="C110" s="48">
        <v>12.0</v>
      </c>
      <c r="E110" s="51"/>
      <c r="F110" s="54"/>
      <c r="G110" s="54"/>
      <c r="H110" s="56">
        <f>H109+"04:45:00"</f>
        <v>0.34375</v>
      </c>
      <c r="I110" s="85"/>
      <c r="J110" s="85"/>
      <c r="K110" s="85"/>
      <c r="L110" s="85"/>
      <c r="M110" s="85"/>
      <c r="N110" s="54"/>
      <c r="O110" s="54"/>
      <c r="P110" s="54"/>
    </row>
    <row r="111">
      <c r="A111" s="12"/>
      <c r="B111" s="40"/>
      <c r="C111" s="48">
        <v>12.0</v>
      </c>
      <c r="D111" s="48"/>
      <c r="E111" s="51"/>
      <c r="F111" s="54"/>
      <c r="G111" s="54"/>
      <c r="H111" s="56"/>
      <c r="I111" s="85"/>
      <c r="J111" s="85"/>
      <c r="K111" s="85"/>
      <c r="L111" s="85"/>
      <c r="M111" s="85"/>
      <c r="N111" s="54"/>
      <c r="O111" s="54"/>
      <c r="P111" s="54"/>
    </row>
    <row r="112">
      <c r="A112" s="12"/>
      <c r="B112" s="40"/>
      <c r="C112" s="48">
        <v>12.0</v>
      </c>
      <c r="D112" s="48"/>
      <c r="E112" s="51"/>
      <c r="F112" s="54"/>
      <c r="G112" s="54"/>
      <c r="H112" s="56"/>
      <c r="I112" s="85"/>
      <c r="J112" s="85"/>
      <c r="K112" s="85"/>
      <c r="L112" s="85"/>
      <c r="M112" s="85"/>
      <c r="N112" s="54"/>
      <c r="O112" s="54"/>
      <c r="P112" s="54"/>
    </row>
    <row r="113">
      <c r="A113" s="12"/>
      <c r="B113" s="40"/>
      <c r="C113" s="48">
        <v>12.0</v>
      </c>
      <c r="D113" s="48"/>
      <c r="E113" s="51"/>
      <c r="F113" s="54"/>
      <c r="G113" s="54"/>
      <c r="H113" s="56"/>
      <c r="I113" s="85"/>
      <c r="J113" s="85"/>
      <c r="K113" s="85"/>
      <c r="L113" s="85"/>
      <c r="M113" s="85"/>
      <c r="N113" s="54"/>
      <c r="O113" s="54"/>
      <c r="P113" s="54"/>
    </row>
    <row r="114">
      <c r="A114" s="12"/>
      <c r="B114" s="40"/>
      <c r="C114" s="48">
        <v>12.0</v>
      </c>
      <c r="D114" s="48"/>
      <c r="E114" s="51"/>
      <c r="F114" s="54"/>
      <c r="G114" s="54"/>
      <c r="H114" s="56"/>
      <c r="I114" s="85"/>
      <c r="J114" s="85"/>
      <c r="K114" s="85"/>
      <c r="L114" s="85"/>
      <c r="M114" s="85"/>
      <c r="N114" s="54"/>
      <c r="O114" s="54"/>
      <c r="P114" s="54"/>
    </row>
    <row r="115">
      <c r="A115" s="12"/>
      <c r="B115" s="40"/>
      <c r="C115" s="48">
        <v>12.0</v>
      </c>
      <c r="D115" s="48"/>
      <c r="E115" s="51"/>
      <c r="F115" s="54"/>
      <c r="G115" s="54"/>
      <c r="H115" s="56"/>
      <c r="I115" s="85"/>
      <c r="J115" s="85"/>
      <c r="K115" s="85"/>
      <c r="L115" s="85"/>
      <c r="M115" s="85"/>
      <c r="N115" s="54"/>
      <c r="O115" s="54"/>
      <c r="P115" s="54"/>
    </row>
    <row r="116">
      <c r="A116" s="12"/>
      <c r="B116" s="40"/>
      <c r="C116" s="48">
        <v>12.0</v>
      </c>
      <c r="D116" s="48"/>
      <c r="E116" s="51"/>
      <c r="F116" s="54"/>
      <c r="G116" s="54"/>
      <c r="H116" s="56"/>
      <c r="I116" s="85"/>
      <c r="J116" s="85"/>
      <c r="K116" s="85"/>
      <c r="L116" s="85"/>
      <c r="M116" s="85"/>
      <c r="N116" s="54"/>
      <c r="O116" s="54"/>
      <c r="P116" s="54"/>
    </row>
    <row r="117">
      <c r="A117" s="12"/>
      <c r="B117" s="40"/>
      <c r="C117" s="48">
        <v>12.0</v>
      </c>
      <c r="D117" s="48"/>
      <c r="E117" s="51"/>
      <c r="F117" s="54"/>
      <c r="G117" s="54"/>
      <c r="H117" s="56"/>
      <c r="I117" s="85"/>
      <c r="J117" s="85"/>
      <c r="K117" s="85"/>
      <c r="L117" s="85"/>
      <c r="M117" s="85"/>
      <c r="N117" s="54"/>
      <c r="O117" s="54"/>
      <c r="P117" s="54"/>
    </row>
    <row r="118">
      <c r="A118" s="12"/>
      <c r="B118" s="40"/>
      <c r="C118" s="48">
        <v>12.0</v>
      </c>
      <c r="D118" s="48"/>
      <c r="E118" s="51" t="str">
        <f t="array" ref="E118">IF(
  F118="End",
  "",
  IFERROR(
    INDEX(stage!$C$2:$D$100, MATCH(C118, stage!$B$2:$B$100, 0), 
      IF(OR(F118="Stream A", F118="A End"), 1, 2)
    ),
    ""
  )
)</f>
        <v/>
      </c>
      <c r="F118" s="54"/>
      <c r="G118" s="54"/>
      <c r="H118" s="56"/>
      <c r="I118" s="85"/>
      <c r="J118" s="85"/>
      <c r="K118" s="85"/>
      <c r="L118" s="85"/>
      <c r="M118" s="85"/>
      <c r="N118" s="54"/>
      <c r="O118" s="54"/>
      <c r="P118" s="54"/>
    </row>
    <row r="119">
      <c r="A119" s="12"/>
      <c r="B119" s="40"/>
      <c r="C119" s="48">
        <v>12.0</v>
      </c>
      <c r="D119" s="48"/>
      <c r="E119" s="51" t="str">
        <f t="array" ref="E119">IF(
  F119="End",
  "",
  IFERROR(
    INDEX(stage!$C$2:$D$100, MATCH(C119, stage!$B$2:$B$100, 0), 
      IF(OR(F119="Stream A", F119="A End"), 1, 2)
    ),
    ""
  )
)</f>
        <v/>
      </c>
      <c r="F119" s="54"/>
      <c r="G119" s="54"/>
      <c r="H119" s="56"/>
      <c r="I119" s="85"/>
      <c r="J119" s="85"/>
      <c r="K119" s="85"/>
      <c r="L119" s="85"/>
      <c r="M119" s="85"/>
      <c r="N119" s="54"/>
      <c r="O119" s="54"/>
      <c r="P119" s="54"/>
    </row>
    <row r="120">
      <c r="A120" s="12"/>
      <c r="B120" s="40"/>
      <c r="C120" s="48">
        <v>12.0</v>
      </c>
      <c r="D120" s="48"/>
      <c r="E120" s="51" t="str">
        <f t="array" ref="E120">IF(
  F120="End",
  "",
  IFERROR(
    INDEX(stage!$C$2:$D$100, MATCH(C120, stage!$B$2:$B$100, 0), 
      IF(OR(F120="Stream A", F120="A End"), 1, 2)
    ),
    ""
  )
)</f>
        <v/>
      </c>
      <c r="F120" s="54"/>
      <c r="G120" s="54"/>
      <c r="H120" s="56"/>
      <c r="I120" s="85"/>
      <c r="J120" s="85"/>
      <c r="K120" s="85"/>
      <c r="L120" s="85"/>
      <c r="M120" s="85"/>
      <c r="N120" s="54"/>
      <c r="O120" s="54"/>
      <c r="P120" s="54"/>
    </row>
    <row r="121">
      <c r="A121" s="12"/>
      <c r="B121" s="40"/>
      <c r="C121" s="48">
        <v>12.0</v>
      </c>
      <c r="D121" s="48"/>
      <c r="E121" s="51" t="str">
        <f t="array" ref="E121">IF(
  F121="End",
  "",
  IFERROR(
    INDEX(stage!$C$2:$D$100, MATCH(C121, stage!$B$2:$B$100, 0), 
      IF(OR(F121="Stream A", F121="A End"), 1, 2)
    ),
    ""
  )
)</f>
        <v/>
      </c>
      <c r="F121" s="54"/>
      <c r="G121" s="54"/>
      <c r="H121" s="56"/>
      <c r="I121" s="85"/>
      <c r="J121" s="85"/>
      <c r="K121" s="85"/>
      <c r="L121" s="85"/>
      <c r="M121" s="85"/>
      <c r="N121" s="54"/>
      <c r="O121" s="54"/>
      <c r="P121" s="54"/>
    </row>
    <row r="122">
      <c r="A122" s="12"/>
      <c r="B122" s="178"/>
      <c r="C122" s="179" t="s">
        <v>110</v>
      </c>
      <c r="D122" s="1" t="s">
        <v>110</v>
      </c>
      <c r="E122" s="12"/>
      <c r="F122" s="180"/>
      <c r="G122" s="181"/>
      <c r="H122" s="180"/>
      <c r="I122" s="181"/>
      <c r="J122" s="181"/>
      <c r="K122" s="181"/>
      <c r="L122" s="181"/>
      <c r="M122" s="181"/>
      <c r="N122" s="12"/>
      <c r="O122" s="12"/>
      <c r="P122" s="12"/>
    </row>
  </sheetData>
  <mergeCells count="25">
    <mergeCell ref="H4:M4"/>
    <mergeCell ref="N4:N6"/>
    <mergeCell ref="O4:O6"/>
    <mergeCell ref="P4:P6"/>
    <mergeCell ref="H5:H6"/>
    <mergeCell ref="P85:P93"/>
    <mergeCell ref="F1:H1"/>
    <mergeCell ref="F2:H3"/>
    <mergeCell ref="B4:B6"/>
    <mergeCell ref="D4:D6"/>
    <mergeCell ref="E4:E6"/>
    <mergeCell ref="F4:F6"/>
    <mergeCell ref="G4:G6"/>
    <mergeCell ref="D94:D98"/>
    <mergeCell ref="D99:D101"/>
    <mergeCell ref="D102:D104"/>
    <mergeCell ref="D105:D107"/>
    <mergeCell ref="D108:D110"/>
    <mergeCell ref="D7:D19"/>
    <mergeCell ref="D20:D32"/>
    <mergeCell ref="D33:D45"/>
    <mergeCell ref="D46:D58"/>
    <mergeCell ref="D59:D71"/>
    <mergeCell ref="D72:D84"/>
    <mergeCell ref="D85:D93"/>
  </mergeCells>
  <conditionalFormatting sqref="F7:O122">
    <cfRule type="expression" dxfId="3" priority="1">
      <formula>$F7="Stream B"</formula>
    </cfRule>
  </conditionalFormatting>
  <conditionalFormatting sqref="F7:O122">
    <cfRule type="expression" dxfId="4" priority="2">
      <formula>$F7="Stream C"</formula>
    </cfRule>
  </conditionalFormatting>
  <conditionalFormatting sqref="F7:O122">
    <cfRule type="expression" dxfId="5" priority="3">
      <formula>$F7="Stream A"</formula>
    </cfRule>
  </conditionalFormatting>
  <conditionalFormatting sqref="P7:P122">
    <cfRule type="notContainsBlanks" dxfId="6" priority="4">
      <formula>LEN(TRIM(P7))&gt;0</formula>
    </cfRule>
  </conditionalFormatting>
  <conditionalFormatting sqref="F7:O122">
    <cfRule type="expression" dxfId="7" priority="5">
      <formula>$F7="Stream D"</formula>
    </cfRule>
  </conditionalFormatting>
  <dataValidations>
    <dataValidation type="list" allowBlank="1" showErrorMessage="1" sqref="F7:F121">
      <formula1>"Stream A,Stream B,Stream C,Stream D"</formula1>
    </dataValidation>
    <dataValidation type="list" allowBlank="1" showErrorMessage="1" sqref="G7:G121">
      <formula1>"Bo1,Bo3,Bo5,Bo7,Bo9,Bo2,Bo1/Bo3"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6.13"/>
    <col customWidth="1" min="3" max="3" width="15.38"/>
    <col customWidth="1" min="4" max="4" width="14.13"/>
    <col customWidth="1" min="5" max="5" width="18.75"/>
    <col customWidth="1" min="6" max="6" width="51.88"/>
    <col customWidth="1" min="7" max="8" width="15.88"/>
    <col customWidth="1" min="9" max="11" width="15.0"/>
    <col customWidth="1" min="13" max="13" width="13.75"/>
  </cols>
  <sheetData>
    <row r="1">
      <c r="A1" s="178" t="str">
        <f>IFERROR(__xludf.DUMMYFUNCTION("if('Make Public'!C9=""Yes"",importrange('Make Public'!B3,""Qualification Details!a1:L""),""TBD"")"),"")</f>
        <v/>
      </c>
      <c r="B1" s="178"/>
      <c r="C1" s="178"/>
      <c r="D1" s="178"/>
      <c r="E1" s="178"/>
      <c r="F1" s="178"/>
      <c r="G1" s="178"/>
      <c r="H1" s="178"/>
      <c r="I1" s="186"/>
      <c r="J1" s="178"/>
      <c r="K1" s="178"/>
      <c r="L1" s="178"/>
      <c r="M1" s="187"/>
    </row>
    <row r="2">
      <c r="A2" s="178"/>
      <c r="B2" s="188" t="str">
        <f>IFERROR(__xludf.DUMMYFUNCTION("""COMPUTED_VALUE"""),"Slot #")</f>
        <v>Slot #</v>
      </c>
      <c r="C2" s="189" t="str">
        <f>IFERROR(__xludf.DUMMYFUNCTION("""COMPUTED_VALUE"""),"Slot Type")</f>
        <v>Slot Type</v>
      </c>
      <c r="D2" s="191" t="str">
        <f>IFERROR(__xludf.DUMMYFUNCTION("""COMPUTED_VALUE"""),"Slot status")</f>
        <v>Slot status</v>
      </c>
      <c r="E2" s="191" t="str">
        <f>IFERROR(__xludf.DUMMYFUNCTION("""COMPUTED_VALUE"""),"Operated by")</f>
        <v>Operated by</v>
      </c>
      <c r="F2" s="189" t="str">
        <f>IFERROR(__xludf.DUMMYFUNCTION("""COMPUTED_VALUE"""),"Source")</f>
        <v>Source</v>
      </c>
      <c r="G2" s="191" t="str">
        <f>IFERROR(__xludf.DUMMYFUNCTION("""COMPUTED_VALUE"""),"Team Name")</f>
        <v>Team Name</v>
      </c>
      <c r="H2" s="191" t="str">
        <f>IFERROR(__xludf.DUMMYFUNCTION("""COMPUTED_VALUE"""),"Player Name")</f>
        <v>Player Name</v>
      </c>
      <c r="I2" s="191" t="str">
        <f>IFERROR(__xludf.DUMMYFUNCTION("""COMPUTED_VALUE"""),"Region")</f>
        <v>Region</v>
      </c>
      <c r="J2" s="191" t="str">
        <f>IFERROR(__xludf.DUMMYFUNCTION("""COMPUTED_VALUE"""),"Sub-Region")</f>
        <v>Sub-Region</v>
      </c>
      <c r="K2" s="191" t="str">
        <f>IFERROR(__xludf.DUMMYFUNCTION("""COMPUTED_VALUE"""),"Country")</f>
        <v>Country</v>
      </c>
      <c r="L2" s="193" t="str">
        <f>IFERROR(__xludf.DUMMYFUNCTION("""COMPUTED_VALUE"""),"Determined Date")</f>
        <v>Determined Date</v>
      </c>
      <c r="M2" s="195"/>
    </row>
    <row r="3">
      <c r="A3" s="178"/>
      <c r="B3" s="196">
        <f>IFERROR(__xludf.DUMMYFUNCTION("""COMPUTED_VALUE"""),1.0)</f>
        <v>1</v>
      </c>
      <c r="C3" s="197" t="str">
        <f>IFERROR(__xludf.DUMMYFUNCTION("""COMPUTED_VALUE"""),"Title Defender")</f>
        <v>Title Defender</v>
      </c>
      <c r="D3" s="197" t="str">
        <f>IFERROR(__xludf.DUMMYFUNCTION("""COMPUTED_VALUE"""),"Confirmed")</f>
        <v>Confirmed</v>
      </c>
      <c r="E3" s="197"/>
      <c r="F3" s="197" t="str">
        <f>IFERROR(__xludf.DUMMYFUNCTION("""COMPUTED_VALUE"""),"Title Defender")</f>
        <v>Title Defender</v>
      </c>
      <c r="G3" s="198" t="str">
        <f>IFERROR(__xludf.DUMMYFUNCTION("""COMPUTED_VALUE"""),"Team Spirit")</f>
        <v>Team Spirit</v>
      </c>
      <c r="H3" s="198"/>
      <c r="I3" s="199" t="str">
        <f>IFERROR(__xludf.DUMMYFUNCTION("""COMPUTED_VALUE"""),"Global")</f>
        <v>Global</v>
      </c>
      <c r="J3" s="199"/>
      <c r="K3" s="199"/>
      <c r="L3" s="200">
        <f>IFERROR(__xludf.DUMMYFUNCTION("""COMPUTED_VALUE"""),45857.0)</f>
        <v>45857</v>
      </c>
      <c r="M3" s="201"/>
    </row>
    <row r="4">
      <c r="A4" s="178"/>
      <c r="B4" s="203">
        <f>IFERROR(__xludf.DUMMYFUNCTION("""COMPUTED_VALUE"""),2.0)</f>
        <v>2</v>
      </c>
      <c r="C4" s="197" t="str">
        <f>IFERROR(__xludf.DUMMYFUNCTION("""COMPUTED_VALUE"""),"Game Ecosystem (Publisher + Industry)")</f>
        <v>Game Ecosystem (Publisher + Industry)</v>
      </c>
      <c r="D4" s="197" t="str">
        <f>IFERROR(__xludf.DUMMYFUNCTION("""COMPUTED_VALUE"""),"Confirmed")</f>
        <v>Confirmed</v>
      </c>
      <c r="E4" s="197"/>
      <c r="F4" s="198" t="str">
        <f>IFERROR(__xludf.DUMMYFUNCTION("""COMPUTED_VALUE"""),"EPT Tour Ranking")</f>
        <v>EPT Tour Ranking</v>
      </c>
      <c r="G4" s="198" t="str">
        <f>IFERROR(__xludf.DUMMYFUNCTION("""COMPUTED_VALUE"""),"1W")</f>
        <v>1W</v>
      </c>
      <c r="H4" s="198"/>
      <c r="I4" s="207" t="str">
        <f>IFERROR(__xludf.DUMMYFUNCTION("""COMPUTED_VALUE"""),"Global")</f>
        <v>Global</v>
      </c>
      <c r="J4" s="208" t="str">
        <f>IFERROR(__xludf.DUMMYFUNCTION("""COMPUTED_VALUE"""),"")</f>
        <v/>
      </c>
      <c r="K4" s="208" t="str">
        <f>IFERROR(__xludf.DUMMYFUNCTION("""COMPUTED_VALUE"""),"")</f>
        <v/>
      </c>
      <c r="L4" s="209">
        <f>IFERROR(__xludf.DUMMYFUNCTION("""COMPUTED_VALUE"""),46166.0)</f>
        <v>46166</v>
      </c>
      <c r="M4" s="210"/>
    </row>
    <row r="5">
      <c r="A5" s="178"/>
      <c r="B5" s="196">
        <f>IFERROR(__xludf.DUMMYFUNCTION("""COMPUTED_VALUE"""),3.0)</f>
        <v>3</v>
      </c>
      <c r="C5" s="197" t="str">
        <f>IFERROR(__xludf.DUMMYFUNCTION("""COMPUTED_VALUE"""),"Game Ecosystem (Publisher + Industry)")</f>
        <v>Game Ecosystem (Publisher + Industry)</v>
      </c>
      <c r="D5" s="197" t="str">
        <f>IFERROR(__xludf.DUMMYFUNCTION("""COMPUTED_VALUE"""),"Confirmed")</f>
        <v>Confirmed</v>
      </c>
      <c r="E5" s="197"/>
      <c r="F5" s="211" t="str">
        <f>IFERROR(__xludf.DUMMYFUNCTION("""COMPUTED_VALUE"""),"EPT Tour Ranking")</f>
        <v>EPT Tour Ranking</v>
      </c>
      <c r="G5" s="211" t="str">
        <f>IFERROR(__xludf.DUMMYFUNCTION("""COMPUTED_VALUE"""),"PVISION")</f>
        <v>PVISION</v>
      </c>
      <c r="H5" s="211"/>
      <c r="I5" s="207" t="str">
        <f>IFERROR(__xludf.DUMMYFUNCTION("""COMPUTED_VALUE"""),"Global")</f>
        <v>Global</v>
      </c>
      <c r="J5" s="212" t="str">
        <f>IFERROR(__xludf.DUMMYFUNCTION("""COMPUTED_VALUE"""),"")</f>
        <v/>
      </c>
      <c r="K5" s="199" t="str">
        <f>IFERROR(__xludf.DUMMYFUNCTION("""COMPUTED_VALUE"""),"")</f>
        <v/>
      </c>
      <c r="L5" s="214">
        <f>IFERROR(__xludf.DUMMYFUNCTION("""COMPUTED_VALUE"""),46166.0)</f>
        <v>46166</v>
      </c>
      <c r="M5" s="210"/>
    </row>
    <row r="6">
      <c r="A6" s="178"/>
      <c r="B6" s="203">
        <f>IFERROR(__xludf.DUMMYFUNCTION("""COMPUTED_VALUE"""),4.0)</f>
        <v>4</v>
      </c>
      <c r="C6" s="197" t="str">
        <f>IFERROR(__xludf.DUMMYFUNCTION("""COMPUTED_VALUE"""),"Game Ecosystem (Publisher + Industry)")</f>
        <v>Game Ecosystem (Publisher + Industry)</v>
      </c>
      <c r="D6" s="197" t="str">
        <f>IFERROR(__xludf.DUMMYFUNCTION("""COMPUTED_VALUE"""),"Confirmed")</f>
        <v>Confirmed</v>
      </c>
      <c r="E6" s="197"/>
      <c r="F6" s="211" t="str">
        <f>IFERROR(__xludf.DUMMYFUNCTION("""COMPUTED_VALUE"""),"EPT Tour Ranking")</f>
        <v>EPT Tour Ranking</v>
      </c>
      <c r="G6" s="211" t="str">
        <f>IFERROR(__xludf.DUMMYFUNCTION("""COMPUTED_VALUE"""),"Aurora Gaming")</f>
        <v>Aurora Gaming</v>
      </c>
      <c r="H6" s="211"/>
      <c r="I6" s="207" t="str">
        <f>IFERROR(__xludf.DUMMYFUNCTION("""COMPUTED_VALUE"""),"Global")</f>
        <v>Global</v>
      </c>
      <c r="J6" s="207" t="str">
        <f>IFERROR(__xludf.DUMMYFUNCTION("""COMPUTED_VALUE"""),"")</f>
        <v/>
      </c>
      <c r="K6" s="199" t="str">
        <f>IFERROR(__xludf.DUMMYFUNCTION("""COMPUTED_VALUE"""),"")</f>
        <v/>
      </c>
      <c r="L6" s="214">
        <f>IFERROR(__xludf.DUMMYFUNCTION("""COMPUTED_VALUE"""),46166.0)</f>
        <v>46166</v>
      </c>
      <c r="M6" s="210"/>
    </row>
    <row r="7">
      <c r="A7" s="178"/>
      <c r="B7" s="196">
        <f>IFERROR(__xludf.DUMMYFUNCTION("""COMPUTED_VALUE"""),5.0)</f>
        <v>5</v>
      </c>
      <c r="C7" s="197" t="str">
        <f>IFERROR(__xludf.DUMMYFUNCTION("""COMPUTED_VALUE"""),"Game Ecosystem (Publisher + Industry)")</f>
        <v>Game Ecosystem (Publisher + Industry)</v>
      </c>
      <c r="D7" s="197" t="str">
        <f>IFERROR(__xludf.DUMMYFUNCTION("""COMPUTED_VALUE"""),"Confirmed")</f>
        <v>Confirmed</v>
      </c>
      <c r="E7" s="197"/>
      <c r="F7" s="211" t="str">
        <f>IFERROR(__xludf.DUMMYFUNCTION("""COMPUTED_VALUE"""),"EPT Tour Ranking")</f>
        <v>EPT Tour Ranking</v>
      </c>
      <c r="G7" s="211" t="str">
        <f>IFERROR(__xludf.DUMMYFUNCTION("""COMPUTED_VALUE"""),"Xtreme Gaming")</f>
        <v>Xtreme Gaming</v>
      </c>
      <c r="H7" s="211"/>
      <c r="I7" s="207" t="str">
        <f>IFERROR(__xludf.DUMMYFUNCTION("""COMPUTED_VALUE"""),"Global")</f>
        <v>Global</v>
      </c>
      <c r="J7" s="212" t="str">
        <f>IFERROR(__xludf.DUMMYFUNCTION("""COMPUTED_VALUE"""),"")</f>
        <v/>
      </c>
      <c r="K7" s="199" t="str">
        <f>IFERROR(__xludf.DUMMYFUNCTION("""COMPUTED_VALUE"""),"")</f>
        <v/>
      </c>
      <c r="L7" s="214">
        <f>IFERROR(__xludf.DUMMYFUNCTION("""COMPUTED_VALUE"""),46166.0)</f>
        <v>46166</v>
      </c>
      <c r="M7" s="210"/>
    </row>
    <row r="8">
      <c r="A8" s="178"/>
      <c r="B8" s="203">
        <f>IFERROR(__xludf.DUMMYFUNCTION("""COMPUTED_VALUE"""),6.0)</f>
        <v>6</v>
      </c>
      <c r="C8" s="197" t="str">
        <f>IFERROR(__xludf.DUMMYFUNCTION("""COMPUTED_VALUE"""),"Game Ecosystem (Publisher + Industry)")</f>
        <v>Game Ecosystem (Publisher + Industry)</v>
      </c>
      <c r="D8" s="197" t="str">
        <f>IFERROR(__xludf.DUMMYFUNCTION("""COMPUTED_VALUE"""),"Confirmed")</f>
        <v>Confirmed</v>
      </c>
      <c r="E8" s="197"/>
      <c r="F8" s="211" t="str">
        <f>IFERROR(__xludf.DUMMYFUNCTION("""COMPUTED_VALUE"""),"EPT Tour Ranking")</f>
        <v>EPT Tour Ranking</v>
      </c>
      <c r="G8" s="219" t="str">
        <f>IFERROR(__xludf.DUMMYFUNCTION("""COMPUTED_VALUE"""),"Team Yandex")</f>
        <v>Team Yandex</v>
      </c>
      <c r="H8" s="211"/>
      <c r="I8" s="207" t="str">
        <f>IFERROR(__xludf.DUMMYFUNCTION("""COMPUTED_VALUE"""),"Global")</f>
        <v>Global</v>
      </c>
      <c r="J8" s="212" t="str">
        <f>IFERROR(__xludf.DUMMYFUNCTION("""COMPUTED_VALUE"""),"")</f>
        <v/>
      </c>
      <c r="K8" s="199" t="str">
        <f>IFERROR(__xludf.DUMMYFUNCTION("""COMPUTED_VALUE"""),"")</f>
        <v/>
      </c>
      <c r="L8" s="214">
        <f>IFERROR(__xludf.DUMMYFUNCTION("""COMPUTED_VALUE"""),46166.0)</f>
        <v>46166</v>
      </c>
      <c r="M8" s="210"/>
    </row>
    <row r="9">
      <c r="A9" s="178"/>
      <c r="B9" s="196">
        <f>IFERROR(__xludf.DUMMYFUNCTION("""COMPUTED_VALUE"""),7.0)</f>
        <v>7</v>
      </c>
      <c r="C9" s="197" t="str">
        <f>IFERROR(__xludf.DUMMYFUNCTION("""COMPUTED_VALUE"""),"Game Ecosystem (Publisher + Industry)")</f>
        <v>Game Ecosystem (Publisher + Industry)</v>
      </c>
      <c r="D9" s="197" t="str">
        <f>IFERROR(__xludf.DUMMYFUNCTION("""COMPUTED_VALUE"""),"Confirmed")</f>
        <v>Confirmed</v>
      </c>
      <c r="E9" s="197"/>
      <c r="F9" s="197" t="str">
        <f>IFERROR(__xludf.DUMMYFUNCTION("""COMPUTED_VALUE"""),"EPT Tour Ranking")</f>
        <v>EPT Tour Ranking</v>
      </c>
      <c r="G9" s="198" t="str">
        <f>IFERROR(__xludf.DUMMYFUNCTION("""COMPUTED_VALUE"""),"Team Falcons")</f>
        <v>Team Falcons</v>
      </c>
      <c r="H9" s="198"/>
      <c r="I9" s="207" t="str">
        <f>IFERROR(__xludf.DUMMYFUNCTION("""COMPUTED_VALUE"""),"Global")</f>
        <v>Global</v>
      </c>
      <c r="J9" s="212" t="str">
        <f>IFERROR(__xludf.DUMMYFUNCTION("""COMPUTED_VALUE"""),"")</f>
        <v/>
      </c>
      <c r="K9" s="199" t="str">
        <f>IFERROR(__xludf.DUMMYFUNCTION("""COMPUTED_VALUE"""),"")</f>
        <v/>
      </c>
      <c r="L9" s="214">
        <f>IFERROR(__xludf.DUMMYFUNCTION("""COMPUTED_VALUE"""),46166.0)</f>
        <v>46166</v>
      </c>
      <c r="M9" s="210"/>
    </row>
    <row r="10">
      <c r="A10" s="178"/>
      <c r="B10" s="203">
        <f>IFERROR(__xludf.DUMMYFUNCTION("""COMPUTED_VALUE"""),8.0)</f>
        <v>8</v>
      </c>
      <c r="C10" s="197" t="str">
        <f>IFERROR(__xludf.DUMMYFUNCTION("""COMPUTED_VALUE"""),"Game Ecosystem (Publisher + Industry)")</f>
        <v>Game Ecosystem (Publisher + Industry)</v>
      </c>
      <c r="D10" s="197" t="str">
        <f>IFERROR(__xludf.DUMMYFUNCTION("""COMPUTED_VALUE"""),"Confirmed")</f>
        <v>Confirmed</v>
      </c>
      <c r="E10" s="197"/>
      <c r="F10" s="197" t="str">
        <f>IFERROR(__xludf.DUMMYFUNCTION("""COMPUTED_VALUE"""),"EPT Tour Ranking")</f>
        <v>EPT Tour Ranking</v>
      </c>
      <c r="G10" s="198" t="str">
        <f>IFERROR(__xludf.DUMMYFUNCTION("""COMPUTED_VALUE"""),"Team Liquid")</f>
        <v>Team Liquid</v>
      </c>
      <c r="H10" s="198"/>
      <c r="I10" s="207" t="str">
        <f>IFERROR(__xludf.DUMMYFUNCTION("""COMPUTED_VALUE"""),"Global")</f>
        <v>Global</v>
      </c>
      <c r="J10" s="207" t="str">
        <f>IFERROR(__xludf.DUMMYFUNCTION("""COMPUTED_VALUE"""),"")</f>
        <v/>
      </c>
      <c r="K10" s="199" t="str">
        <f>IFERROR(__xludf.DUMMYFUNCTION("""COMPUTED_VALUE"""),"")</f>
        <v/>
      </c>
      <c r="L10" s="214">
        <f>IFERROR(__xludf.DUMMYFUNCTION("""COMPUTED_VALUE"""),46166.0)</f>
        <v>46166</v>
      </c>
      <c r="M10" s="210"/>
    </row>
    <row r="11">
      <c r="A11" s="178"/>
      <c r="B11" s="196">
        <f>IFERROR(__xludf.DUMMYFUNCTION("""COMPUTED_VALUE"""),9.0)</f>
        <v>9</v>
      </c>
      <c r="C11" s="197" t="str">
        <f>IFERROR(__xludf.DUMMYFUNCTION("""COMPUTED_VALUE"""),"Game Ecosystem (Publisher + Industry)")</f>
        <v>Game Ecosystem (Publisher + Industry)</v>
      </c>
      <c r="D11" s="197" t="str">
        <f>IFERROR(__xludf.DUMMYFUNCTION("""COMPUTED_VALUE"""),"Confirmed")</f>
        <v>Confirmed</v>
      </c>
      <c r="E11" s="197"/>
      <c r="F11" s="198" t="str">
        <f>IFERROR(__xludf.DUMMYFUNCTION("""COMPUTED_VALUE"""),"EPT Tour Ranking")</f>
        <v>EPT Tour Ranking</v>
      </c>
      <c r="G11" s="198" t="str">
        <f>IFERROR(__xludf.DUMMYFUNCTION("""COMPUTED_VALUE"""),"BB Team")</f>
        <v>BB Team</v>
      </c>
      <c r="H11" s="198"/>
      <c r="I11" s="207" t="str">
        <f>IFERROR(__xludf.DUMMYFUNCTION("""COMPUTED_VALUE"""),"Global")</f>
        <v>Global</v>
      </c>
      <c r="J11" s="212" t="str">
        <f>IFERROR(__xludf.DUMMYFUNCTION("""COMPUTED_VALUE"""),"")</f>
        <v/>
      </c>
      <c r="K11" s="199" t="str">
        <f>IFERROR(__xludf.DUMMYFUNCTION("""COMPUTED_VALUE"""),"")</f>
        <v/>
      </c>
      <c r="L11" s="214">
        <f>IFERROR(__xludf.DUMMYFUNCTION("""COMPUTED_VALUE"""),46166.0)</f>
        <v>46166</v>
      </c>
      <c r="M11" s="210"/>
    </row>
    <row r="12">
      <c r="A12" s="178"/>
      <c r="B12" s="203">
        <f>IFERROR(__xludf.DUMMYFUNCTION("""COMPUTED_VALUE"""),10.0)</f>
        <v>10</v>
      </c>
      <c r="C12" s="197" t="str">
        <f>IFERROR(__xludf.DUMMYFUNCTION("""COMPUTED_VALUE"""),"Game Ecosystem (Publisher + Industry)")</f>
        <v>Game Ecosystem (Publisher + Industry)</v>
      </c>
      <c r="D12" s="197" t="str">
        <f>IFERROR(__xludf.DUMMYFUNCTION("""COMPUTED_VALUE"""),"Confirmed")</f>
        <v>Confirmed</v>
      </c>
      <c r="E12" s="197"/>
      <c r="F12" s="198" t="str">
        <f>IFERROR(__xludf.DUMMYFUNCTION("""COMPUTED_VALUE"""),"EPT Tour Ranking")</f>
        <v>EPT Tour Ranking</v>
      </c>
      <c r="G12" s="198" t="str">
        <f>IFERROR(__xludf.DUMMYFUNCTION("""COMPUTED_VALUE"""),"MOUZ")</f>
        <v>MOUZ</v>
      </c>
      <c r="H12" s="198"/>
      <c r="I12" s="207" t="str">
        <f>IFERROR(__xludf.DUMMYFUNCTION("""COMPUTED_VALUE"""),"Global")</f>
        <v>Global</v>
      </c>
      <c r="J12" s="207" t="str">
        <f>IFERROR(__xludf.DUMMYFUNCTION("""COMPUTED_VALUE"""),"")</f>
        <v/>
      </c>
      <c r="K12" s="199" t="str">
        <f>IFERROR(__xludf.DUMMYFUNCTION("""COMPUTED_VALUE"""),"")</f>
        <v/>
      </c>
      <c r="L12" s="214">
        <f>IFERROR(__xludf.DUMMYFUNCTION("""COMPUTED_VALUE"""),46166.0)</f>
        <v>46166</v>
      </c>
      <c r="M12" s="210"/>
    </row>
    <row r="13">
      <c r="A13" s="178"/>
      <c r="B13" s="196">
        <f>IFERROR(__xludf.DUMMYFUNCTION("""COMPUTED_VALUE"""),11.0)</f>
        <v>11</v>
      </c>
      <c r="C13" s="197" t="str">
        <f>IFERROR(__xludf.DUMMYFUNCTION("""COMPUTED_VALUE"""),"Game Ecosystem (Publisher + Industry)")</f>
        <v>Game Ecosystem (Publisher + Industry)</v>
      </c>
      <c r="D13" s="197" t="str">
        <f>IFERROR(__xludf.DUMMYFUNCTION("""COMPUTED_VALUE"""),"Confirmed")</f>
        <v>Confirmed</v>
      </c>
      <c r="E13" s="197"/>
      <c r="F13" s="198" t="str">
        <f>IFERROR(__xludf.DUMMYFUNCTION("""COMPUTED_VALUE"""),"EPT Tour Ranking")</f>
        <v>EPT Tour Ranking</v>
      </c>
      <c r="G13" s="198" t="str">
        <f>IFERROR(__xludf.DUMMYFUNCTION("""COMPUTED_VALUE"""),"PTime")</f>
        <v>PTime</v>
      </c>
      <c r="H13" s="198"/>
      <c r="I13" s="207" t="str">
        <f>IFERROR(__xludf.DUMMYFUNCTION("""COMPUTED_VALUE"""),"Global")</f>
        <v>Global</v>
      </c>
      <c r="J13" s="207" t="str">
        <f>IFERROR(__xludf.DUMMYFUNCTION("""COMPUTED_VALUE"""),"")</f>
        <v/>
      </c>
      <c r="K13" s="199" t="str">
        <f>IFERROR(__xludf.DUMMYFUNCTION("""COMPUTED_VALUE"""),"")</f>
        <v/>
      </c>
      <c r="L13" s="214">
        <f>IFERROR(__xludf.DUMMYFUNCTION("""COMPUTED_VALUE"""),46166.0)</f>
        <v>46166</v>
      </c>
      <c r="M13" s="210"/>
    </row>
    <row r="14">
      <c r="A14" s="178"/>
      <c r="B14" s="203">
        <f>IFERROR(__xludf.DUMMYFUNCTION("""COMPUTED_VALUE"""),12.0)</f>
        <v>12</v>
      </c>
      <c r="C14" s="197" t="str">
        <f>IFERROR(__xludf.DUMMYFUNCTION("""COMPUTED_VALUE"""),"Game Ecosystem (Publisher + Industry)")</f>
        <v>Game Ecosystem (Publisher + Industry)</v>
      </c>
      <c r="D14" s="197" t="str">
        <f>IFERROR(__xludf.DUMMYFUNCTION("""COMPUTED_VALUE"""),"Confirmed")</f>
        <v>Confirmed</v>
      </c>
      <c r="E14" s="197"/>
      <c r="F14" s="197" t="str">
        <f>IFERROR(__xludf.DUMMYFUNCTION("""COMPUTED_VALUE"""),"EPT Tour Ranking")</f>
        <v>EPT Tour Ranking</v>
      </c>
      <c r="G14" s="198" t="str">
        <f>IFERROR(__xludf.DUMMYFUNCTION("""COMPUTED_VALUE"""),"OG Esports")</f>
        <v>OG Esports</v>
      </c>
      <c r="H14" s="198"/>
      <c r="I14" s="207" t="str">
        <f>IFERROR(__xludf.DUMMYFUNCTION("""COMPUTED_VALUE"""),"Global")</f>
        <v>Global</v>
      </c>
      <c r="J14" s="207" t="str">
        <f>IFERROR(__xludf.DUMMYFUNCTION("""COMPUTED_VALUE"""),"")</f>
        <v/>
      </c>
      <c r="K14" s="199" t="str">
        <f>IFERROR(__xludf.DUMMYFUNCTION("""COMPUTED_VALUE"""),"")</f>
        <v/>
      </c>
      <c r="L14" s="214">
        <f>IFERROR(__xludf.DUMMYFUNCTION("""COMPUTED_VALUE"""),46166.0)</f>
        <v>46166</v>
      </c>
      <c r="M14" s="210"/>
    </row>
    <row r="15">
      <c r="A15" s="178"/>
      <c r="B15" s="196">
        <f>IFERROR(__xludf.DUMMYFUNCTION("""COMPUTED_VALUE"""),13.0)</f>
        <v>13</v>
      </c>
      <c r="C15" s="197" t="str">
        <f>IFERROR(__xludf.DUMMYFUNCTION("""COMPUTED_VALUE"""),"Game Ecosystem (Publisher + Industry)")</f>
        <v>Game Ecosystem (Publisher + Industry)</v>
      </c>
      <c r="D15" s="197" t="str">
        <f>IFERROR(__xludf.DUMMYFUNCTION("""COMPUTED_VALUE"""),"Confirmed")</f>
        <v>Confirmed</v>
      </c>
      <c r="E15" s="197"/>
      <c r="F15" s="197" t="str">
        <f>IFERROR(__xludf.DUMMYFUNCTION("""COMPUTED_VALUE"""),"EPT Tour Ranking")</f>
        <v>EPT Tour Ranking</v>
      </c>
      <c r="G15" s="230" t="str">
        <f>IFERROR(__xludf.DUMMYFUNCTION("""COMPUTED_VALUE"""),"Virtus.pro")</f>
        <v>Virtus.pro</v>
      </c>
      <c r="H15" s="211"/>
      <c r="I15" s="207" t="str">
        <f>IFERROR(__xludf.DUMMYFUNCTION("""COMPUTED_VALUE"""),"Global")</f>
        <v>Global</v>
      </c>
      <c r="J15" s="207" t="str">
        <f>IFERROR(__xludf.DUMMYFUNCTION("""COMPUTED_VALUE"""),"")</f>
        <v/>
      </c>
      <c r="K15" s="199" t="str">
        <f>IFERROR(__xludf.DUMMYFUNCTION("""COMPUTED_VALUE"""),"")</f>
        <v/>
      </c>
      <c r="L15" s="214">
        <f>IFERROR(__xludf.DUMMYFUNCTION("""COMPUTED_VALUE"""),46166.0)</f>
        <v>46166</v>
      </c>
      <c r="M15" s="210"/>
    </row>
    <row r="16">
      <c r="A16" s="178"/>
      <c r="B16" s="203">
        <f>IFERROR(__xludf.DUMMYFUNCTION("""COMPUTED_VALUE"""),14.0)</f>
        <v>14</v>
      </c>
      <c r="C16" s="197" t="str">
        <f>IFERROR(__xludf.DUMMYFUNCTION("""COMPUTED_VALUE"""),"Game Ecosystem (Publisher + Industry)")</f>
        <v>Game Ecosystem (Publisher + Industry)</v>
      </c>
      <c r="D16" s="197" t="str">
        <f>IFERROR(__xludf.DUMMYFUNCTION("""COMPUTED_VALUE"""),"Confirmed")</f>
        <v>Confirmed</v>
      </c>
      <c r="E16" s="197"/>
      <c r="F16" s="198" t="str">
        <f>IFERROR(__xludf.DUMMYFUNCTION("""COMPUTED_VALUE"""),"Asian Champions League (ACL): China")</f>
        <v>Asian Champions League (ACL): China</v>
      </c>
      <c r="G16" s="211" t="str">
        <f>IFERROR(__xludf.DUMMYFUNCTION("""COMPUTED_VALUE"""),"Vici Gaming")</f>
        <v>Vici Gaming</v>
      </c>
      <c r="H16" s="198"/>
      <c r="I16" s="207" t="str">
        <f>IFERROR(__xludf.DUMMYFUNCTION("""COMPUTED_VALUE"""),"Asia")</f>
        <v>Asia</v>
      </c>
      <c r="J16" s="207" t="str">
        <f>IFERROR(__xludf.DUMMYFUNCTION("""COMPUTED_VALUE"""),"")</f>
        <v/>
      </c>
      <c r="K16" s="199" t="str">
        <f>IFERROR(__xludf.DUMMYFUNCTION("""COMPUTED_VALUE"""),"China")</f>
        <v>China</v>
      </c>
      <c r="L16" s="214">
        <f>IFERROR(__xludf.DUMMYFUNCTION("""COMPUTED_VALUE"""),46145.0)</f>
        <v>46145</v>
      </c>
      <c r="M16" s="210"/>
    </row>
    <row r="17">
      <c r="A17" s="178"/>
      <c r="B17" s="196">
        <f>IFERROR(__xludf.DUMMYFUNCTION("""COMPUTED_VALUE"""),15.0)</f>
        <v>15</v>
      </c>
      <c r="C17" s="197" t="str">
        <f>IFERROR(__xludf.DUMMYFUNCTION("""COMPUTED_VALUE"""),"Game Ecosystem (Publisher + Industry)")</f>
        <v>Game Ecosystem (Publisher + Industry)</v>
      </c>
      <c r="D17" s="197" t="str">
        <f>IFERROR(__xludf.DUMMYFUNCTION("""COMPUTED_VALUE"""),"Confirmed")</f>
        <v>Confirmed</v>
      </c>
      <c r="E17" s="197"/>
      <c r="F17" s="198" t="str">
        <f>IFERROR(__xludf.DUMMYFUNCTION("""COMPUTED_VALUE"""),"Dota 2 at ROAD TO EWC 26: Online Qualifier -  Southeast Asia")</f>
        <v>Dota 2 at ROAD TO EWC 26: Online Qualifier -  Southeast Asia</v>
      </c>
      <c r="G17" s="198" t="str">
        <f>IFERROR(__xludf.DUMMYFUNCTION("""COMPUTED_VALUE"""),"REKONIX")</f>
        <v>REKONIX</v>
      </c>
      <c r="H17" s="198"/>
      <c r="I17" s="207" t="str">
        <f>IFERROR(__xludf.DUMMYFUNCTION("""COMPUTED_VALUE"""),"Asia")</f>
        <v>Asia</v>
      </c>
      <c r="J17" s="207" t="str">
        <f>IFERROR(__xludf.DUMMYFUNCTION("""COMPUTED_VALUE"""),"SEA")</f>
        <v>SEA</v>
      </c>
      <c r="K17" s="199" t="str">
        <f>IFERROR(__xludf.DUMMYFUNCTION("""COMPUTED_VALUE"""),"")</f>
        <v/>
      </c>
      <c r="L17" s="214">
        <f>IFERROR(__xludf.DUMMYFUNCTION("""COMPUTED_VALUE"""),46178.0)</f>
        <v>46178</v>
      </c>
      <c r="M17" s="210"/>
    </row>
    <row r="18">
      <c r="A18" s="178"/>
      <c r="B18" s="203">
        <f>IFERROR(__xludf.DUMMYFUNCTION("""COMPUTED_VALUE"""),16.0)</f>
        <v>16</v>
      </c>
      <c r="C18" s="197" t="str">
        <f>IFERROR(__xludf.DUMMYFUNCTION("""COMPUTED_VALUE"""),"EWC Qualifier")</f>
        <v>EWC Qualifier</v>
      </c>
      <c r="D18" s="197" t="str">
        <f>IFERROR(__xludf.DUMMYFUNCTION("""COMPUTED_VALUE"""),"Confirmed")</f>
        <v>Confirmed</v>
      </c>
      <c r="E18" s="197"/>
      <c r="F18" s="198" t="str">
        <f>IFERROR(__xludf.DUMMYFUNCTION("""COMPUTED_VALUE"""),"Dota 2 at ROAD TO EWC 26: Online Qualifier -  South America")</f>
        <v>Dota 2 at ROAD TO EWC 26: Online Qualifier -  South America</v>
      </c>
      <c r="G18" s="198" t="str">
        <f>IFERROR(__xludf.DUMMYFUNCTION("""COMPUTED_VALUE"""),"Team Nemesis")</f>
        <v>Team Nemesis</v>
      </c>
      <c r="H18" s="198"/>
      <c r="I18" s="207" t="str">
        <f>IFERROR(__xludf.DUMMYFUNCTION("""COMPUTED_VALUE"""),"Americas")</f>
        <v>Americas</v>
      </c>
      <c r="J18" s="207" t="str">
        <f>IFERROR(__xludf.DUMMYFUNCTION("""COMPUTED_VALUE"""),"South America")</f>
        <v>South America</v>
      </c>
      <c r="K18" s="199" t="str">
        <f>IFERROR(__xludf.DUMMYFUNCTION("""COMPUTED_VALUE"""),"")</f>
        <v/>
      </c>
      <c r="L18" s="214">
        <f>IFERROR(__xludf.DUMMYFUNCTION("""COMPUTED_VALUE"""),46176.0)</f>
        <v>46176</v>
      </c>
      <c r="M18" s="210"/>
    </row>
    <row r="19">
      <c r="A19" s="178"/>
      <c r="B19" s="196">
        <f>IFERROR(__xludf.DUMMYFUNCTION("""COMPUTED_VALUE"""),17.0)</f>
        <v>17</v>
      </c>
      <c r="C19" s="197" t="str">
        <f>IFERROR(__xludf.DUMMYFUNCTION("""COMPUTED_VALUE"""),"EWC Qualifier")</f>
        <v>EWC Qualifier</v>
      </c>
      <c r="D19" s="197" t="str">
        <f>IFERROR(__xludf.DUMMYFUNCTION("""COMPUTED_VALUE"""),"Confirmed")</f>
        <v>Confirmed</v>
      </c>
      <c r="E19" s="197"/>
      <c r="F19" s="198" t="str">
        <f>IFERROR(__xludf.DUMMYFUNCTION("""COMPUTED_VALUE"""),"Dota 2 at ROAD TO EWC 26: Online Qualifier -  North America")</f>
        <v>Dota 2 at ROAD TO EWC 26: Online Qualifier -  North America</v>
      </c>
      <c r="G19" s="198" t="str">
        <f>IFERROR(__xludf.DUMMYFUNCTION("""COMPUTED_VALUE"""),"GamerLegion")</f>
        <v>GamerLegion</v>
      </c>
      <c r="H19" s="198"/>
      <c r="I19" s="207" t="str">
        <f>IFERROR(__xludf.DUMMYFUNCTION("""COMPUTED_VALUE"""),"Americas")</f>
        <v>Americas</v>
      </c>
      <c r="J19" s="207" t="str">
        <f>IFERROR(__xludf.DUMMYFUNCTION("""COMPUTED_VALUE"""),"North America")</f>
        <v>North America</v>
      </c>
      <c r="K19" s="199" t="str">
        <f>IFERROR(__xludf.DUMMYFUNCTION("""COMPUTED_VALUE"""),"")</f>
        <v/>
      </c>
      <c r="L19" s="214">
        <f>IFERROR(__xludf.DUMMYFUNCTION("""COMPUTED_VALUE"""),46177.0)</f>
        <v>46177</v>
      </c>
      <c r="M19" s="210"/>
    </row>
    <row r="20">
      <c r="A20" s="178"/>
      <c r="B20" s="203">
        <f>IFERROR(__xludf.DUMMYFUNCTION("""COMPUTED_VALUE"""),18.0)</f>
        <v>18</v>
      </c>
      <c r="C20" s="197" t="str">
        <f>IFERROR(__xludf.DUMMYFUNCTION("""COMPUTED_VALUE"""),"EWC Qualifier")</f>
        <v>EWC Qualifier</v>
      </c>
      <c r="D20" s="197" t="str">
        <f>IFERROR(__xludf.DUMMYFUNCTION("""COMPUTED_VALUE"""),"Confirmed")</f>
        <v>Confirmed</v>
      </c>
      <c r="E20" s="197"/>
      <c r="F20" s="198" t="str">
        <f>IFERROR(__xludf.DUMMYFUNCTION("""COMPUTED_VALUE"""),"Dota 2 at ROAD TO EWC 26: Online Qualifier -  Middle East Southwest Asia")</f>
        <v>Dota 2 at ROAD TO EWC 26: Online Qualifier -  Middle East Southwest Asia</v>
      </c>
      <c r="G20" s="198" t="str">
        <f>IFERROR(__xludf.DUMMYFUNCTION("""COMPUTED_VALUE"""),"Nigma Galaxy")</f>
        <v>Nigma Galaxy</v>
      </c>
      <c r="H20" s="198"/>
      <c r="I20" s="207" t="str">
        <f>IFERROR(__xludf.DUMMYFUNCTION("""COMPUTED_VALUE"""),"EMEA")</f>
        <v>EMEA</v>
      </c>
      <c r="J20" s="207" t="str">
        <f>IFERROR(__xludf.DUMMYFUNCTION("""COMPUTED_VALUE"""),"MESWA")</f>
        <v>MESWA</v>
      </c>
      <c r="K20" s="199" t="str">
        <f>IFERROR(__xludf.DUMMYFUNCTION("""COMPUTED_VALUE"""),"")</f>
        <v/>
      </c>
      <c r="L20" s="214">
        <f>IFERROR(__xludf.DUMMYFUNCTION("""COMPUTED_VALUE"""),46176.0)</f>
        <v>46176</v>
      </c>
      <c r="M20" s="201"/>
    </row>
    <row r="21">
      <c r="A21" s="178"/>
      <c r="B21" s="196">
        <f>IFERROR(__xludf.DUMMYFUNCTION("""COMPUTED_VALUE"""),19.0)</f>
        <v>19</v>
      </c>
      <c r="C21" s="197" t="str">
        <f>IFERROR(__xludf.DUMMYFUNCTION("""COMPUTED_VALUE"""),"EWC Qualifier")</f>
        <v>EWC Qualifier</v>
      </c>
      <c r="D21" s="197" t="str">
        <f>IFERROR(__xludf.DUMMYFUNCTION("""COMPUTED_VALUE"""),"Confirmed")</f>
        <v>Confirmed</v>
      </c>
      <c r="E21" s="197"/>
      <c r="F21" s="198" t="str">
        <f>IFERROR(__xludf.DUMMYFUNCTION("""COMPUTED_VALUE"""),"Dota 2 at ROAD TO EWC 26: Online Qualifier -  Eastern Europe")</f>
        <v>Dota 2 at ROAD TO EWC 26: Online Qualifier -  Eastern Europe</v>
      </c>
      <c r="G21" s="198" t="str">
        <f>IFERROR(__xludf.DUMMYFUNCTION("""COMPUTED_VALUE"""),"Level UP")</f>
        <v>Level UP</v>
      </c>
      <c r="H21" s="198"/>
      <c r="I21" s="207" t="str">
        <f>IFERROR(__xludf.DUMMYFUNCTION("""COMPUTED_VALUE"""),"EMEA")</f>
        <v>EMEA</v>
      </c>
      <c r="J21" s="207" t="str">
        <f>IFERROR(__xludf.DUMMYFUNCTION("""COMPUTED_VALUE"""),"EEU")</f>
        <v>EEU</v>
      </c>
      <c r="K21" s="199" t="str">
        <f>IFERROR(__xludf.DUMMYFUNCTION("""COMPUTED_VALUE"""),"")</f>
        <v/>
      </c>
      <c r="L21" s="214">
        <f>IFERROR(__xludf.DUMMYFUNCTION("""COMPUTED_VALUE"""),46176.0)</f>
        <v>46176</v>
      </c>
      <c r="M21" s="201"/>
    </row>
    <row r="22">
      <c r="A22" s="178"/>
      <c r="B22" s="203">
        <f>IFERROR(__xludf.DUMMYFUNCTION("""COMPUTED_VALUE"""),20.0)</f>
        <v>20</v>
      </c>
      <c r="C22" s="197" t="str">
        <f>IFERROR(__xludf.DUMMYFUNCTION("""COMPUTED_VALUE"""),"EWC Qualifier")</f>
        <v>EWC Qualifier</v>
      </c>
      <c r="D22" s="197" t="str">
        <f>IFERROR(__xludf.DUMMYFUNCTION("""COMPUTED_VALUE"""),"Confirmed")</f>
        <v>Confirmed</v>
      </c>
      <c r="E22" s="197"/>
      <c r="F22" s="198" t="str">
        <f>IFERROR(__xludf.DUMMYFUNCTION("""COMPUTED_VALUE"""),"Dota 2 at ROAD TO EWC 26: Online Qualifier -  Eastern Europe")</f>
        <v>Dota 2 at ROAD TO EWC 26: Online Qualifier -  Eastern Europe</v>
      </c>
      <c r="G22" s="198" t="str">
        <f>IFERROR(__xludf.DUMMYFUNCTION("""COMPUTED_VALUE"""),"Poor Rangers")</f>
        <v>Poor Rangers</v>
      </c>
      <c r="H22" s="198"/>
      <c r="I22" s="207" t="str">
        <f>IFERROR(__xludf.DUMMYFUNCTION("""COMPUTED_VALUE"""),"EMEA")</f>
        <v>EMEA</v>
      </c>
      <c r="J22" s="207" t="str">
        <f>IFERROR(__xludf.DUMMYFUNCTION("""COMPUTED_VALUE"""),"EEU")</f>
        <v>EEU</v>
      </c>
      <c r="K22" s="199" t="str">
        <f>IFERROR(__xludf.DUMMYFUNCTION("""COMPUTED_VALUE"""),"")</f>
        <v/>
      </c>
      <c r="L22" s="214">
        <f>IFERROR(__xludf.DUMMYFUNCTION("""COMPUTED_VALUE"""),46176.0)</f>
        <v>46176</v>
      </c>
      <c r="M22" s="201"/>
    </row>
    <row r="23">
      <c r="A23" s="178"/>
      <c r="B23" s="196">
        <f>IFERROR(__xludf.DUMMYFUNCTION("""COMPUTED_VALUE"""),21.0)</f>
        <v>21</v>
      </c>
      <c r="C23" s="197" t="str">
        <f>IFERROR(__xludf.DUMMYFUNCTION("""COMPUTED_VALUE"""),"EWC Qualifier")</f>
        <v>EWC Qualifier</v>
      </c>
      <c r="D23" s="197" t="str">
        <f>IFERROR(__xludf.DUMMYFUNCTION("""COMPUTED_VALUE"""),"Confirmed")</f>
        <v>Confirmed</v>
      </c>
      <c r="E23" s="197"/>
      <c r="F23" s="198" t="str">
        <f>IFERROR(__xludf.DUMMYFUNCTION("""COMPUTED_VALUE"""),"Dota 2 at ROAD TO EWC 26: Online Qualifier -  Eastern Europe")</f>
        <v>Dota 2 at ROAD TO EWC 26: Online Qualifier -  Eastern Europe</v>
      </c>
      <c r="G23" s="198" t="str">
        <f>IFERROR(__xludf.DUMMYFUNCTION("""COMPUTED_VALUE"""),"L1 TEAM")</f>
        <v>L1 TEAM</v>
      </c>
      <c r="H23" s="198"/>
      <c r="I23" s="243" t="str">
        <f>IFERROR(__xludf.DUMMYFUNCTION("""COMPUTED_VALUE"""),"EMEA")</f>
        <v>EMEA</v>
      </c>
      <c r="J23" s="243" t="str">
        <f>IFERROR(__xludf.DUMMYFUNCTION("""COMPUTED_VALUE"""),"EEU")</f>
        <v>EEU</v>
      </c>
      <c r="K23" s="199" t="str">
        <f>IFERROR(__xludf.DUMMYFUNCTION("""COMPUTED_VALUE"""),"")</f>
        <v/>
      </c>
      <c r="L23" s="214">
        <f>IFERROR(__xludf.DUMMYFUNCTION("""COMPUTED_VALUE"""),46176.0)</f>
        <v>46176</v>
      </c>
      <c r="M23" s="201"/>
    </row>
    <row r="24">
      <c r="A24" s="178"/>
      <c r="B24" s="203">
        <f>IFERROR(__xludf.DUMMYFUNCTION("""COMPUTED_VALUE"""),22.0)</f>
        <v>22</v>
      </c>
      <c r="C24" s="197" t="str">
        <f>IFERROR(__xludf.DUMMYFUNCTION("""COMPUTED_VALUE"""),"EWC Qualifier")</f>
        <v>EWC Qualifier</v>
      </c>
      <c r="D24" s="197" t="str">
        <f>IFERROR(__xludf.DUMMYFUNCTION("""COMPUTED_VALUE"""),"Confirmed")</f>
        <v>Confirmed</v>
      </c>
      <c r="E24" s="197"/>
      <c r="F24" s="198" t="str">
        <f>IFERROR(__xludf.DUMMYFUNCTION("""COMPUTED_VALUE"""),"Dota 2 at ROAD TO EWC 26: Online Qualifier -  Eastern Europe")</f>
        <v>Dota 2 at ROAD TO EWC 26: Online Qualifier -  Eastern Europe</v>
      </c>
      <c r="G24" s="198" t="str">
        <f>IFERROR(__xludf.DUMMYFUNCTION("""COMPUTED_VALUE"""),"IC x Insanity")</f>
        <v>IC x Insanity</v>
      </c>
      <c r="H24" s="198"/>
      <c r="I24" s="243" t="str">
        <f>IFERROR(__xludf.DUMMYFUNCTION("""COMPUTED_VALUE"""),"EMEA")</f>
        <v>EMEA</v>
      </c>
      <c r="J24" s="243" t="str">
        <f>IFERROR(__xludf.DUMMYFUNCTION("""COMPUTED_VALUE"""),"EEU")</f>
        <v>EEU</v>
      </c>
      <c r="K24" s="199" t="str">
        <f>IFERROR(__xludf.DUMMYFUNCTION("""COMPUTED_VALUE"""),"")</f>
        <v/>
      </c>
      <c r="L24" s="214">
        <f>IFERROR(__xludf.DUMMYFUNCTION("""COMPUTED_VALUE"""),46176.0)</f>
        <v>46176</v>
      </c>
      <c r="M24" s="201"/>
    </row>
    <row r="25">
      <c r="A25" s="178"/>
      <c r="B25" s="196">
        <f>IFERROR(__xludf.DUMMYFUNCTION("""COMPUTED_VALUE"""),23.0)</f>
        <v>23</v>
      </c>
      <c r="C25" s="197" t="str">
        <f>IFERROR(__xludf.DUMMYFUNCTION("""COMPUTED_VALUE"""),"EWC Qualifier")</f>
        <v>EWC Qualifier</v>
      </c>
      <c r="D25" s="197" t="str">
        <f>IFERROR(__xludf.DUMMYFUNCTION("""COMPUTED_VALUE"""),"Confirmed")</f>
        <v>Confirmed</v>
      </c>
      <c r="E25" s="197"/>
      <c r="F25" s="198" t="str">
        <f>IFERROR(__xludf.DUMMYFUNCTION("""COMPUTED_VALUE"""),"Dota 2 at ROAD TO EWC 26: Online Qualifier -  Western Europe")</f>
        <v>Dota 2 at ROAD TO EWC 26: Online Qualifier -  Western Europe</v>
      </c>
      <c r="G25" s="198" t="str">
        <f>IFERROR(__xludf.DUMMYFUNCTION("""COMPUTED_VALUE"""),"LGD Gaming")</f>
        <v>LGD Gaming</v>
      </c>
      <c r="H25" s="198"/>
      <c r="I25" s="243" t="str">
        <f>IFERROR(__xludf.DUMMYFUNCTION("""COMPUTED_VALUE"""),"EMEA")</f>
        <v>EMEA</v>
      </c>
      <c r="J25" s="243" t="str">
        <f>IFERROR(__xludf.DUMMYFUNCTION("""COMPUTED_VALUE"""),"WEU")</f>
        <v>WEU</v>
      </c>
      <c r="K25" s="199" t="str">
        <f>IFERROR(__xludf.DUMMYFUNCTION("""COMPUTED_VALUE"""),"")</f>
        <v/>
      </c>
      <c r="L25" s="214">
        <f>IFERROR(__xludf.DUMMYFUNCTION("""COMPUTED_VALUE"""),46175.0)</f>
        <v>46175</v>
      </c>
      <c r="M25" s="201"/>
    </row>
    <row r="26">
      <c r="A26" s="178"/>
      <c r="B26" s="250">
        <f>IFERROR(__xludf.DUMMYFUNCTION("""COMPUTED_VALUE"""),24.0)</f>
        <v>24</v>
      </c>
      <c r="C26" s="197" t="str">
        <f>IFERROR(__xludf.DUMMYFUNCTION("""COMPUTED_VALUE"""),"EWC Qualifier")</f>
        <v>EWC Qualifier</v>
      </c>
      <c r="D26" s="251" t="str">
        <f>IFERROR(__xludf.DUMMYFUNCTION("""COMPUTED_VALUE"""),"Confirmed")</f>
        <v>Confirmed</v>
      </c>
      <c r="E26" s="251"/>
      <c r="F26" s="252" t="str">
        <f>IFERROR(__xludf.DUMMYFUNCTION("""COMPUTED_VALUE"""),"Dota 2 at ROAD TO EWC 26: Online Qualifier -  Western Europe")</f>
        <v>Dota 2 at ROAD TO EWC 26: Online Qualifier -  Western Europe</v>
      </c>
      <c r="G26" s="252" t="str">
        <f>IFERROR(__xludf.DUMMYFUNCTION("""COMPUTED_VALUE"""),"Rune Eaters")</f>
        <v>Rune Eaters</v>
      </c>
      <c r="H26" s="252"/>
      <c r="I26" s="253" t="str">
        <f>IFERROR(__xludf.DUMMYFUNCTION("""COMPUTED_VALUE"""),"EMEA")</f>
        <v>EMEA</v>
      </c>
      <c r="J26" s="253" t="str">
        <f>IFERROR(__xludf.DUMMYFUNCTION("""COMPUTED_VALUE"""),"WEU")</f>
        <v>WEU</v>
      </c>
      <c r="K26" s="254" t="str">
        <f>IFERROR(__xludf.DUMMYFUNCTION("""COMPUTED_VALUE"""),"")</f>
        <v/>
      </c>
      <c r="L26" s="214">
        <f>IFERROR(__xludf.DUMMYFUNCTION("""COMPUTED_VALUE"""),46175.0)</f>
        <v>46175</v>
      </c>
      <c r="M26" s="201"/>
    </row>
  </sheetData>
  <dataValidations>
    <dataValidation type="list" allowBlank="1" showErrorMessage="1" sqref="C3:C26">
      <formula1>"Game Ecosystem (Publisher + Industry),EWC Qualifier,Title Defender"</formula1>
    </dataValidation>
    <dataValidation type="list" allowBlank="1" showErrorMessage="1" sqref="E3:E26">
      <formula1>"EFG,Publisher,BLAST,PGL,VSPO,Nodwin"</formula1>
    </dataValidation>
    <dataValidation type="list" allowBlank="1" showErrorMessage="1" sqref="D3:D26">
      <formula1>"Confirmed,Not confirmed"</formula1>
    </dataValidation>
  </dataValidations>
  <hyperlinks>
    <hyperlink r:id="rId1" ref="G15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3.25"/>
    <col customWidth="1" min="4" max="4" width="15.13"/>
    <col customWidth="1" min="5" max="7" width="3.25"/>
    <col customWidth="1" min="8" max="8" width="15.13"/>
    <col customWidth="1" min="9" max="9" width="3.63"/>
    <col customWidth="1" min="10" max="11" width="3.75"/>
    <col customWidth="1" min="12" max="12" width="15.13"/>
    <col customWidth="1" min="13" max="13" width="3.63"/>
    <col customWidth="1" min="14" max="14" width="3.25"/>
    <col customWidth="1" min="15" max="15" width="16.25"/>
    <col customWidth="1" min="16" max="16" width="3.75"/>
    <col customWidth="1" min="17" max="19" width="3.25"/>
    <col customWidth="1" min="20" max="20" width="17.63"/>
    <col customWidth="1" min="21" max="21" width="3.25"/>
    <col customWidth="1" min="22" max="22" width="4.63"/>
    <col customWidth="1" min="23" max="23" width="3.25"/>
    <col customWidth="1" min="24" max="24" width="15.13"/>
    <col customWidth="1" min="25" max="26" width="3.25"/>
    <col customWidth="1" min="27" max="27" width="13.0"/>
    <col customWidth="1" min="28" max="29" width="3.25"/>
    <col customWidth="1" min="30" max="30" width="15.13"/>
    <col customWidth="1" min="31" max="32" width="3.25"/>
    <col customWidth="1" min="33" max="33" width="16.5"/>
    <col customWidth="1" min="34" max="34" width="3.25"/>
    <col customWidth="1" hidden="1" min="35" max="78" width="3.25"/>
    <col customWidth="1" min="79" max="79" width="25.13"/>
    <col customWidth="1" min="80" max="83" width="5.13"/>
    <col customWidth="1" min="84" max="84" width="37.63"/>
  </cols>
  <sheetData>
    <row r="1">
      <c r="A1" s="216" t="str">
        <f>IFERROR(__xludf.DUMMYFUNCTION("if('Make Public'!C12=""Yes"",importrange('Make Public'!B3,""Visualization!a1:ah""),""TBD"")"),"")</f>
        <v/>
      </c>
      <c r="B1" s="216"/>
      <c r="C1" s="216"/>
      <c r="D1" s="216"/>
      <c r="E1" s="216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22"/>
      <c r="AJ1" s="222"/>
      <c r="AK1" s="222"/>
      <c r="AL1" s="222"/>
      <c r="AM1" s="222"/>
      <c r="AN1" s="222"/>
      <c r="AO1" s="222"/>
      <c r="AP1" s="222"/>
      <c r="AQ1" s="222"/>
      <c r="AR1" s="222"/>
      <c r="AS1" s="222"/>
      <c r="AT1" s="222"/>
      <c r="AU1" s="222"/>
      <c r="AV1" s="222"/>
      <c r="AW1" s="222"/>
      <c r="AX1" s="222"/>
      <c r="AY1" s="222"/>
      <c r="AZ1" s="222"/>
      <c r="BA1" s="222"/>
      <c r="BB1" s="222"/>
      <c r="BC1" s="222"/>
      <c r="BD1" s="222"/>
      <c r="BE1" s="222"/>
      <c r="BF1" s="222"/>
      <c r="BG1" s="222"/>
      <c r="BH1" s="222"/>
      <c r="BI1" s="222"/>
      <c r="BJ1" s="222"/>
      <c r="BK1" s="222"/>
      <c r="BL1" s="222"/>
      <c r="BM1" s="222"/>
      <c r="BN1" s="222"/>
      <c r="BO1" s="222"/>
      <c r="BP1" s="222"/>
      <c r="BQ1" s="222"/>
      <c r="BR1" s="222"/>
      <c r="BS1" s="222"/>
      <c r="BT1" s="222"/>
      <c r="BU1" s="222"/>
      <c r="BV1" s="222"/>
      <c r="BW1" s="222"/>
      <c r="BX1" s="222"/>
      <c r="BY1" s="222"/>
      <c r="BZ1" s="222"/>
      <c r="CA1" s="224"/>
      <c r="CF1" s="222"/>
    </row>
    <row r="2">
      <c r="A2" s="225" t="str">
        <f>IFERROR(__xludf.DUMMYFUNCTION("""COMPUTED_VALUE"""),"GROUPSTAGE")</f>
        <v>GROUPSTAGE</v>
      </c>
      <c r="F2" s="225" t="str">
        <f>IFERROR(__xludf.DUMMYFUNCTION("""COMPUTED_VALUE"""),"SURVIVAL")</f>
        <v>SURVIVAL</v>
      </c>
      <c r="R2" s="225" t="str">
        <f>IFERROR(__xludf.DUMMYFUNCTION("""COMPUTED_VALUE"""),"PLAYOFFS")</f>
        <v>PLAYOFFS</v>
      </c>
      <c r="AI2" s="225"/>
      <c r="AJ2" s="225"/>
      <c r="AK2" s="225"/>
      <c r="AL2" s="225"/>
      <c r="AM2" s="225"/>
      <c r="AN2" s="225"/>
      <c r="AO2" s="225"/>
      <c r="AP2" s="225"/>
      <c r="AQ2" s="225"/>
      <c r="AR2" s="225"/>
      <c r="AS2" s="225"/>
      <c r="AT2" s="225"/>
      <c r="AU2" s="225"/>
      <c r="AV2" s="225"/>
      <c r="AW2" s="225"/>
      <c r="AX2" s="225"/>
      <c r="AY2" s="225"/>
      <c r="AZ2" s="225"/>
      <c r="BA2" s="225"/>
      <c r="BB2" s="225"/>
      <c r="BC2" s="225"/>
      <c r="BD2" s="225"/>
      <c r="BE2" s="225"/>
      <c r="BF2" s="225"/>
      <c r="BG2" s="225"/>
      <c r="BH2" s="225"/>
      <c r="BI2" s="225"/>
      <c r="BJ2" s="225"/>
      <c r="BK2" s="225"/>
      <c r="BL2" s="225"/>
      <c r="BM2" s="225"/>
      <c r="BN2" s="225"/>
      <c r="BO2" s="225"/>
      <c r="BP2" s="225"/>
      <c r="BQ2" s="225"/>
      <c r="BR2" s="225"/>
      <c r="BS2" s="225"/>
      <c r="BT2" s="225"/>
      <c r="BU2" s="225"/>
      <c r="BV2" s="225"/>
      <c r="BW2" s="225"/>
      <c r="BX2" s="225"/>
      <c r="BY2" s="225"/>
      <c r="BZ2" s="225"/>
      <c r="CA2" s="229"/>
      <c r="CB2" s="229"/>
      <c r="CC2" s="229"/>
      <c r="CD2" s="229"/>
      <c r="CE2" s="229"/>
      <c r="CF2" s="225"/>
    </row>
    <row r="3">
      <c r="A3" s="225"/>
      <c r="B3" s="225"/>
      <c r="C3" s="225"/>
      <c r="D3" s="225"/>
      <c r="E3" s="225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5"/>
      <c r="AT3" s="225"/>
      <c r="AU3" s="225"/>
      <c r="AV3" s="225"/>
      <c r="AW3" s="225"/>
      <c r="AX3" s="225"/>
      <c r="AY3" s="225"/>
      <c r="AZ3" s="225"/>
      <c r="BA3" s="225"/>
      <c r="BB3" s="225"/>
      <c r="BC3" s="225"/>
      <c r="BD3" s="225"/>
      <c r="BE3" s="225"/>
      <c r="BF3" s="225"/>
      <c r="BG3" s="225"/>
      <c r="BH3" s="225"/>
      <c r="BI3" s="225"/>
      <c r="BJ3" s="225"/>
      <c r="BK3" s="225"/>
      <c r="BL3" s="225"/>
      <c r="BM3" s="225"/>
      <c r="BN3" s="225"/>
      <c r="BO3" s="225"/>
      <c r="BP3" s="225"/>
      <c r="BQ3" s="225"/>
      <c r="BR3" s="225"/>
      <c r="BS3" s="225"/>
      <c r="BT3" s="225"/>
      <c r="BU3" s="225"/>
      <c r="BV3" s="225"/>
      <c r="BW3" s="225"/>
      <c r="BX3" s="225"/>
      <c r="BY3" s="225"/>
      <c r="BZ3" s="225"/>
      <c r="CA3" s="233"/>
      <c r="CB3" s="234"/>
      <c r="CC3" s="233"/>
      <c r="CD3" s="233"/>
      <c r="CE3" s="233"/>
      <c r="CF3" s="225"/>
    </row>
    <row r="4">
      <c r="A4" s="236"/>
      <c r="B4" s="236"/>
      <c r="C4" s="237" t="str">
        <f>IFERROR(__xludf.DUMMYFUNCTION("""COMPUTED_VALUE"""),"Group A")</f>
        <v>Group A</v>
      </c>
      <c r="D4" s="77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6"/>
      <c r="R4" s="238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38"/>
      <c r="AG4" s="238"/>
      <c r="AH4" s="238"/>
      <c r="AI4" s="238"/>
      <c r="AJ4" s="238"/>
      <c r="AK4" s="238"/>
      <c r="AL4" s="238"/>
      <c r="AM4" s="238"/>
      <c r="AN4" s="238"/>
      <c r="AO4" s="238"/>
      <c r="AP4" s="238"/>
      <c r="AQ4" s="238"/>
      <c r="AR4" s="238"/>
      <c r="AS4" s="238"/>
      <c r="AT4" s="238"/>
      <c r="AU4" s="238"/>
      <c r="AV4" s="238"/>
      <c r="AW4" s="238"/>
      <c r="AX4" s="238"/>
      <c r="AY4" s="238"/>
      <c r="AZ4" s="238"/>
      <c r="BA4" s="238"/>
      <c r="BB4" s="238"/>
      <c r="BC4" s="238"/>
      <c r="BD4" s="238"/>
      <c r="BE4" s="238"/>
      <c r="BF4" s="238"/>
      <c r="BG4" s="238"/>
      <c r="BH4" s="238"/>
      <c r="BI4" s="238"/>
      <c r="BJ4" s="238"/>
      <c r="BK4" s="238"/>
      <c r="BL4" s="238"/>
      <c r="BM4" s="238"/>
      <c r="BN4" s="238"/>
      <c r="BO4" s="238"/>
      <c r="BP4" s="238"/>
      <c r="BQ4" s="238"/>
      <c r="BR4" s="238"/>
      <c r="BS4" s="238"/>
      <c r="BT4" s="238"/>
      <c r="BU4" s="238"/>
      <c r="BV4" s="238"/>
      <c r="BW4" s="238"/>
      <c r="BX4" s="238"/>
      <c r="BY4" s="238"/>
      <c r="BZ4" s="238"/>
      <c r="CA4" s="238"/>
      <c r="CB4" s="238"/>
      <c r="CC4" s="242"/>
      <c r="CD4" s="242"/>
      <c r="CE4" s="242"/>
      <c r="CF4" s="238"/>
    </row>
    <row r="5">
      <c r="A5" s="236"/>
      <c r="B5" s="236"/>
      <c r="C5" s="244">
        <f>IFERROR(__xludf.DUMMYFUNCTION("""COMPUTED_VALUE"""),1.0)</f>
        <v>1</v>
      </c>
      <c r="D5" s="245" t="str">
        <f>IFERROR(__xludf.DUMMYFUNCTION("""COMPUTED_VALUE"""),"Xtreme Gaming")</f>
        <v>Xtreme Gaming</v>
      </c>
      <c r="E5" s="238"/>
      <c r="F5" s="238"/>
      <c r="G5" s="246"/>
      <c r="H5" s="247" t="str">
        <f>IFERROR(__xludf.DUMMYFUNCTION("""COMPUTED_VALUE"""),"4v3")</f>
        <v>4v3</v>
      </c>
      <c r="I5" s="22"/>
      <c r="J5" s="248"/>
      <c r="K5" s="248"/>
      <c r="L5" s="247" t="str">
        <f>IFERROR(__xludf.DUMMYFUNCTION("""COMPUTED_VALUE"""),"v2")</f>
        <v>v2</v>
      </c>
      <c r="M5" s="22"/>
      <c r="N5" s="248"/>
      <c r="O5" s="248"/>
      <c r="P5" s="248"/>
      <c r="Q5" s="248"/>
      <c r="R5" s="248"/>
      <c r="S5" s="249"/>
      <c r="T5" s="247" t="str">
        <f>IFERROR(__xludf.DUMMYFUNCTION("""COMPUTED_VALUE"""),"Ro8 (Quarter-finals)")</f>
        <v>Ro8 (Quarter-finals)</v>
      </c>
      <c r="U5" s="22"/>
      <c r="V5" s="249"/>
      <c r="W5" s="249"/>
      <c r="X5" s="247" t="str">
        <f>IFERROR(__xludf.DUMMYFUNCTION("""COMPUTED_VALUE"""),"Ro4 (Semi-finals)")</f>
        <v>Ro4 (Semi-finals)</v>
      </c>
      <c r="Y5" s="22"/>
      <c r="Z5" s="249"/>
      <c r="AA5" s="249"/>
      <c r="AB5" s="249"/>
      <c r="AC5" s="249"/>
      <c r="AD5" s="247" t="str">
        <f>IFERROR(__xludf.DUMMYFUNCTION("""COMPUTED_VALUE"""),"Grand Final")</f>
        <v>Grand Final</v>
      </c>
      <c r="AE5" s="22"/>
      <c r="AF5" s="248"/>
      <c r="AG5" s="248"/>
      <c r="AH5" s="238"/>
      <c r="AI5" s="238"/>
      <c r="AJ5" s="238"/>
      <c r="AK5" s="238"/>
      <c r="AL5" s="238"/>
      <c r="AM5" s="238"/>
      <c r="AN5" s="238"/>
      <c r="AO5" s="238"/>
      <c r="AP5" s="238"/>
      <c r="AQ5" s="238"/>
      <c r="AR5" s="238"/>
      <c r="AS5" s="238"/>
      <c r="AT5" s="238"/>
      <c r="AU5" s="238"/>
      <c r="AV5" s="238"/>
      <c r="AW5" s="238"/>
      <c r="AX5" s="238"/>
      <c r="AY5" s="238"/>
      <c r="AZ5" s="238"/>
      <c r="BA5" s="238"/>
      <c r="BB5" s="238"/>
      <c r="BC5" s="238"/>
      <c r="BD5" s="238"/>
      <c r="BE5" s="238"/>
      <c r="BF5" s="238"/>
      <c r="BG5" s="238"/>
      <c r="BH5" s="238"/>
      <c r="BI5" s="238"/>
      <c r="BJ5" s="238"/>
      <c r="BK5" s="238"/>
      <c r="BL5" s="238"/>
      <c r="BM5" s="238"/>
      <c r="BN5" s="238"/>
      <c r="BO5" s="238"/>
      <c r="BP5" s="238"/>
      <c r="BQ5" s="238"/>
      <c r="BR5" s="238"/>
      <c r="BS5" s="238"/>
      <c r="BT5" s="238"/>
      <c r="BU5" s="238"/>
      <c r="BV5" s="238"/>
      <c r="BW5" s="238"/>
      <c r="BX5" s="238"/>
      <c r="BY5" s="238"/>
      <c r="BZ5" s="238"/>
      <c r="CA5" s="238"/>
      <c r="CB5" s="238"/>
      <c r="CC5" s="242"/>
      <c r="CD5" s="242"/>
      <c r="CE5" s="242"/>
      <c r="CF5" s="238"/>
    </row>
    <row r="6">
      <c r="A6" s="236"/>
      <c r="B6" s="236"/>
      <c r="C6" s="244">
        <f>IFERROR(__xludf.DUMMYFUNCTION("""COMPUTED_VALUE"""),2.0)</f>
        <v>2</v>
      </c>
      <c r="D6" s="245" t="str">
        <f>IFERROR(__xludf.DUMMYFUNCTION("""COMPUTED_VALUE"""),"Team Falcons")</f>
        <v>Team Falcons</v>
      </c>
      <c r="E6" s="238"/>
      <c r="F6" s="23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8"/>
      <c r="AD6" s="248"/>
      <c r="AE6" s="248"/>
      <c r="AF6" s="248"/>
      <c r="AG6" s="248"/>
      <c r="AH6" s="238"/>
      <c r="AI6" s="238"/>
      <c r="AJ6" s="238"/>
      <c r="AK6" s="238"/>
      <c r="AL6" s="238"/>
      <c r="AM6" s="238"/>
      <c r="AN6" s="238"/>
      <c r="AO6" s="238"/>
      <c r="AP6" s="238"/>
      <c r="AQ6" s="238"/>
      <c r="AR6" s="238"/>
      <c r="AS6" s="238"/>
      <c r="AT6" s="238"/>
      <c r="AU6" s="238"/>
      <c r="AV6" s="238"/>
      <c r="AW6" s="238"/>
      <c r="AX6" s="238"/>
      <c r="AY6" s="238"/>
      <c r="AZ6" s="238"/>
      <c r="BA6" s="238"/>
      <c r="BB6" s="238"/>
      <c r="BC6" s="238"/>
      <c r="BD6" s="238"/>
      <c r="BE6" s="238"/>
      <c r="BF6" s="238"/>
      <c r="BG6" s="238"/>
      <c r="BH6" s="238"/>
      <c r="BI6" s="238"/>
      <c r="BJ6" s="238"/>
      <c r="BK6" s="238"/>
      <c r="BL6" s="238"/>
      <c r="BM6" s="238"/>
      <c r="BN6" s="238"/>
      <c r="BO6" s="238"/>
      <c r="BP6" s="238"/>
      <c r="BQ6" s="238"/>
      <c r="BR6" s="238"/>
      <c r="BS6" s="238"/>
      <c r="BT6" s="238"/>
      <c r="BU6" s="238"/>
      <c r="BV6" s="238"/>
      <c r="BW6" s="238"/>
      <c r="BX6" s="238"/>
      <c r="BY6" s="238"/>
      <c r="BZ6" s="238"/>
      <c r="CA6" s="238"/>
      <c r="CB6" s="238"/>
      <c r="CC6" s="242"/>
      <c r="CD6" s="242"/>
      <c r="CE6" s="242"/>
      <c r="CF6" s="238"/>
    </row>
    <row r="7">
      <c r="A7" s="236"/>
      <c r="B7" s="236"/>
      <c r="C7" s="244">
        <f>IFERROR(__xludf.DUMMYFUNCTION("""COMPUTED_VALUE"""),3.0)</f>
        <v>3</v>
      </c>
      <c r="D7" s="245" t="str">
        <f>IFERROR(__xludf.DUMMYFUNCTION("""COMPUTED_VALUE"""),"BB Team")</f>
        <v>BB Team</v>
      </c>
      <c r="E7" s="238"/>
      <c r="F7" s="238"/>
      <c r="G7" s="248"/>
      <c r="H7" s="260" t="str">
        <f>IFERROR(__xludf.DUMMYFUNCTION("""COMPUTED_VALUE"""),"Survival - R1 - Match 1")</f>
        <v>Survival - R1 - Match 1</v>
      </c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60" t="str">
        <f>IFERROR(__xludf.DUMMYFUNCTION("""COMPUTED_VALUE"""),"Quarterfinal 1")</f>
        <v>Quarterfinal 1</v>
      </c>
      <c r="U7" s="262" t="str">
        <f>IFERROR(__xludf.DUMMYFUNCTION("""COMPUTED_VALUE"""),"(loser out)")</f>
        <v>(loser out)</v>
      </c>
      <c r="V7" s="248"/>
      <c r="W7" s="248"/>
      <c r="X7" s="248"/>
      <c r="Y7" s="248"/>
      <c r="Z7" s="248"/>
      <c r="AA7" s="248"/>
      <c r="AB7" s="248"/>
      <c r="AC7" s="248"/>
      <c r="AD7" s="248"/>
      <c r="AE7" s="248"/>
      <c r="AF7" s="248"/>
      <c r="AG7" s="248"/>
      <c r="AH7" s="238"/>
      <c r="AI7" s="238"/>
      <c r="AJ7" s="238"/>
      <c r="AK7" s="238"/>
      <c r="AL7" s="238"/>
      <c r="AM7" s="238"/>
      <c r="AN7" s="238"/>
      <c r="AO7" s="238"/>
      <c r="AP7" s="238"/>
      <c r="AQ7" s="238"/>
      <c r="AR7" s="238"/>
      <c r="AS7" s="238"/>
      <c r="AT7" s="238"/>
      <c r="AU7" s="238"/>
      <c r="AV7" s="238"/>
      <c r="AW7" s="238"/>
      <c r="AX7" s="238"/>
      <c r="AY7" s="238"/>
      <c r="AZ7" s="238"/>
      <c r="BA7" s="238"/>
      <c r="BB7" s="238"/>
      <c r="BC7" s="238"/>
      <c r="BD7" s="238"/>
      <c r="BE7" s="238"/>
      <c r="BF7" s="238"/>
      <c r="BG7" s="238"/>
      <c r="BH7" s="238"/>
      <c r="BI7" s="238"/>
      <c r="BJ7" s="238"/>
      <c r="BK7" s="238"/>
      <c r="BL7" s="238"/>
      <c r="BM7" s="238"/>
      <c r="BN7" s="238"/>
      <c r="BO7" s="238"/>
      <c r="BP7" s="238"/>
      <c r="BQ7" s="238"/>
      <c r="BR7" s="238"/>
      <c r="BS7" s="238"/>
      <c r="BT7" s="238"/>
      <c r="BU7" s="238"/>
      <c r="BV7" s="238"/>
      <c r="BW7" s="238"/>
      <c r="BX7" s="238"/>
      <c r="BY7" s="238"/>
      <c r="BZ7" s="238"/>
      <c r="CA7" s="238"/>
      <c r="CB7" s="238"/>
      <c r="CC7" s="242"/>
      <c r="CD7" s="242"/>
      <c r="CE7" s="242"/>
      <c r="CF7" s="238"/>
    </row>
    <row r="8">
      <c r="A8" s="236"/>
      <c r="B8" s="236"/>
      <c r="C8" s="244">
        <f>IFERROR(__xludf.DUMMYFUNCTION("""COMPUTED_VALUE"""),4.0)</f>
        <v>4</v>
      </c>
      <c r="D8" s="245" t="str">
        <f>IFERROR(__xludf.DUMMYFUNCTION("""COMPUTED_VALUE"""),"GamerLegion")</f>
        <v>GamerLegion</v>
      </c>
      <c r="E8" s="238"/>
      <c r="F8" s="238"/>
      <c r="G8" s="275"/>
      <c r="H8" s="276" t="str">
        <f>IFERROR(__xludf.DUMMYFUNCTION("""COMPUTED_VALUE"""),"LGD Gaming")</f>
        <v>LGD Gaming</v>
      </c>
      <c r="I8" s="278">
        <f>IFERROR(__xludf.DUMMYFUNCTION("""COMPUTED_VALUE"""),2.0)</f>
        <v>2</v>
      </c>
      <c r="J8" s="248"/>
      <c r="K8" s="248"/>
      <c r="L8" s="248"/>
      <c r="M8" s="248"/>
      <c r="N8" s="248"/>
      <c r="O8" s="248"/>
      <c r="P8" s="248"/>
      <c r="Q8" s="248"/>
      <c r="R8" s="248"/>
      <c r="S8" s="282"/>
      <c r="T8" s="284" t="str">
        <f>IFERROR(__xludf.DUMMYFUNCTION("""COMPUTED_VALUE"""),"Nigma Galaxy")</f>
        <v>Nigma Galaxy</v>
      </c>
      <c r="U8" s="286">
        <f>IFERROR(__xludf.DUMMYFUNCTION("""COMPUTED_VALUE"""),0.0)</f>
        <v>0</v>
      </c>
      <c r="V8" s="248"/>
      <c r="W8" s="248"/>
      <c r="X8" s="248"/>
      <c r="Y8" s="248"/>
      <c r="Z8" s="248"/>
      <c r="AA8" s="248"/>
      <c r="AB8" s="248"/>
      <c r="AC8" s="248"/>
      <c r="AD8" s="248"/>
      <c r="AE8" s="248"/>
      <c r="AF8" s="248"/>
      <c r="AG8" s="248"/>
      <c r="AH8" s="238"/>
      <c r="AI8" s="238"/>
      <c r="AJ8" s="238"/>
      <c r="AK8" s="238"/>
      <c r="AL8" s="238"/>
      <c r="AM8" s="238"/>
      <c r="AN8" s="238"/>
      <c r="AO8" s="238"/>
      <c r="AP8" s="238"/>
      <c r="AQ8" s="238"/>
      <c r="AR8" s="238"/>
      <c r="AS8" s="238"/>
      <c r="AT8" s="238"/>
      <c r="AU8" s="238"/>
      <c r="AV8" s="238"/>
      <c r="AW8" s="238"/>
      <c r="AX8" s="238"/>
      <c r="AY8" s="238"/>
      <c r="AZ8" s="238"/>
      <c r="BA8" s="238"/>
      <c r="BB8" s="238"/>
      <c r="BC8" s="238"/>
      <c r="BD8" s="238"/>
      <c r="BE8" s="238"/>
      <c r="BF8" s="238"/>
      <c r="BG8" s="238"/>
      <c r="BH8" s="238"/>
      <c r="BI8" s="238"/>
      <c r="BJ8" s="238"/>
      <c r="BK8" s="238"/>
      <c r="BL8" s="238"/>
      <c r="BM8" s="238"/>
      <c r="BN8" s="238"/>
      <c r="BO8" s="238"/>
      <c r="BP8" s="238"/>
      <c r="BQ8" s="238"/>
      <c r="BR8" s="238"/>
      <c r="BS8" s="238"/>
      <c r="BT8" s="238"/>
      <c r="BU8" s="238"/>
      <c r="BV8" s="238"/>
      <c r="BW8" s="238"/>
      <c r="BX8" s="238"/>
      <c r="BY8" s="238"/>
      <c r="BZ8" s="238"/>
      <c r="CA8" s="238"/>
      <c r="CB8" s="238"/>
      <c r="CC8" s="242"/>
      <c r="CD8" s="242"/>
      <c r="CE8" s="242"/>
      <c r="CF8" s="238"/>
    </row>
    <row r="9">
      <c r="A9" s="236"/>
      <c r="B9" s="236"/>
      <c r="C9" s="289">
        <f>IFERROR(__xludf.DUMMYFUNCTION("""COMPUTED_VALUE"""),5.0)</f>
        <v>5</v>
      </c>
      <c r="D9" s="245" t="str">
        <f>IFERROR(__xludf.DUMMYFUNCTION("""COMPUTED_VALUE"""),"Poor Rangers")</f>
        <v>Poor Rangers</v>
      </c>
      <c r="E9" s="238"/>
      <c r="F9" s="238"/>
      <c r="G9" s="282"/>
      <c r="H9" s="276" t="str">
        <f>IFERROR(__xludf.DUMMYFUNCTION("""COMPUTED_VALUE"""),"MOUZ")</f>
        <v>MOUZ</v>
      </c>
      <c r="I9" s="278">
        <f>IFERROR(__xludf.DUMMYFUNCTION("""COMPUTED_VALUE"""),0.0)</f>
        <v>0</v>
      </c>
      <c r="J9" s="290"/>
      <c r="K9" s="248"/>
      <c r="L9" s="260" t="str">
        <f>IFERROR(__xludf.DUMMYFUNCTION("""COMPUTED_VALUE"""),"Survival - R2 - Match 1")</f>
        <v>Survival - R2 - Match 1</v>
      </c>
      <c r="M9" s="248"/>
      <c r="N9" s="248"/>
      <c r="O9" s="248"/>
      <c r="P9" s="248"/>
      <c r="Q9" s="248"/>
      <c r="R9" s="248"/>
      <c r="S9" s="282"/>
      <c r="T9" s="284" t="str">
        <f>IFERROR(__xludf.DUMMYFUNCTION("""COMPUTED_VALUE"""),"BB Team")</f>
        <v>BB Team</v>
      </c>
      <c r="U9" s="286">
        <f>IFERROR(__xludf.DUMMYFUNCTION("""COMPUTED_VALUE"""),2.0)</f>
        <v>2</v>
      </c>
      <c r="V9" s="290"/>
      <c r="W9" s="248"/>
      <c r="X9" s="260" t="str">
        <f>IFERROR(__xludf.DUMMYFUNCTION("""COMPUTED_VALUE"""),"Semifinal 1")</f>
        <v>Semifinal 1</v>
      </c>
      <c r="Y9" s="262" t="str">
        <f>IFERROR(__xludf.DUMMYFUNCTION("""COMPUTED_VALUE"""),"(loser out)")</f>
        <v>(loser out)</v>
      </c>
      <c r="Z9" s="248"/>
      <c r="AA9" s="248"/>
      <c r="AB9" s="248"/>
      <c r="AC9" s="248"/>
      <c r="AD9" s="248"/>
      <c r="AE9" s="248"/>
      <c r="AF9" s="248"/>
      <c r="AG9" s="248"/>
      <c r="AH9" s="238"/>
      <c r="AI9" s="238"/>
      <c r="AJ9" s="238"/>
      <c r="AK9" s="238"/>
      <c r="AL9" s="238"/>
      <c r="AM9" s="238"/>
      <c r="AN9" s="238"/>
      <c r="AO9" s="238"/>
      <c r="AP9" s="238"/>
      <c r="AQ9" s="238"/>
      <c r="AR9" s="238"/>
      <c r="AS9" s="238"/>
      <c r="AT9" s="238"/>
      <c r="AU9" s="238"/>
      <c r="AV9" s="238"/>
      <c r="AW9" s="238"/>
      <c r="AX9" s="238"/>
      <c r="AY9" s="238"/>
      <c r="AZ9" s="238"/>
      <c r="BA9" s="238"/>
      <c r="BB9" s="238"/>
      <c r="BC9" s="238"/>
      <c r="BD9" s="238"/>
      <c r="BE9" s="238"/>
      <c r="BF9" s="238"/>
      <c r="BG9" s="238"/>
      <c r="BH9" s="238"/>
      <c r="BI9" s="238"/>
      <c r="BJ9" s="238"/>
      <c r="BK9" s="238"/>
      <c r="BL9" s="238"/>
      <c r="BM9" s="238"/>
      <c r="BN9" s="238"/>
      <c r="BO9" s="238"/>
      <c r="BP9" s="238"/>
      <c r="BQ9" s="238"/>
      <c r="BR9" s="238"/>
      <c r="BS9" s="238"/>
      <c r="BT9" s="238"/>
      <c r="BU9" s="238"/>
      <c r="BV9" s="238"/>
      <c r="BW9" s="238"/>
      <c r="BX9" s="238"/>
      <c r="BY9" s="238"/>
      <c r="BZ9" s="238"/>
      <c r="CA9" s="238"/>
      <c r="CB9" s="238"/>
      <c r="CC9" s="242"/>
      <c r="CD9" s="242"/>
      <c r="CE9" s="242"/>
      <c r="CF9" s="238"/>
    </row>
    <row r="10">
      <c r="A10" s="236"/>
      <c r="B10" s="236"/>
      <c r="C10" s="289">
        <f>IFERROR(__xludf.DUMMYFUNCTION("""COMPUTED_VALUE"""),6.0)</f>
        <v>6</v>
      </c>
      <c r="D10" s="245" t="str">
        <f>IFERROR(__xludf.DUMMYFUNCTION("""COMPUTED_VALUE"""),"Rune Eaters")</f>
        <v>Rune Eaters</v>
      </c>
      <c r="E10" s="238"/>
      <c r="F10" s="238"/>
      <c r="G10" s="248"/>
      <c r="H10" s="260" t="str">
        <f>IFERROR(__xludf.DUMMYFUNCTION("""COMPUTED_VALUE"""),"(loser out)")</f>
        <v>(loser out)</v>
      </c>
      <c r="I10" s="248"/>
      <c r="J10" s="291"/>
      <c r="K10" s="292"/>
      <c r="L10" s="293" t="str">
        <f>IFERROR(__xludf.DUMMYFUNCTION("""COMPUTED_VALUE"""),"BB Team")</f>
        <v>BB Team</v>
      </c>
      <c r="M10" s="278">
        <f>IFERROR(__xludf.DUMMYFUNCTION("""COMPUTED_VALUE"""),2.0)</f>
        <v>2</v>
      </c>
      <c r="N10" s="294"/>
      <c r="O10" s="295" t="str">
        <f>IFERROR(__xludf.DUMMYFUNCTION("""COMPUTED_VALUE"""),"BB Team")</f>
        <v>BB Team</v>
      </c>
      <c r="P10" s="296" t="str">
        <f>IFERROR(__xludf.DUMMYFUNCTION("""COMPUTED_VALUE"""),"Q")</f>
        <v>Q</v>
      </c>
      <c r="Q10" s="248"/>
      <c r="R10" s="248"/>
      <c r="S10" s="248"/>
      <c r="T10" s="248"/>
      <c r="U10" s="248"/>
      <c r="V10" s="291"/>
      <c r="W10" s="292"/>
      <c r="X10" s="293" t="str">
        <f>IFERROR(__xludf.DUMMYFUNCTION("""COMPUTED_VALUE"""),"BB Team")</f>
        <v>BB Team</v>
      </c>
      <c r="Y10" s="286" t="str">
        <f>IFERROR(__xludf.DUMMYFUNCTION("""COMPUTED_VALUE"""),"")</f>
        <v/>
      </c>
      <c r="Z10" s="249"/>
      <c r="AA10" s="249"/>
      <c r="AB10" s="248"/>
      <c r="AC10" s="248"/>
      <c r="AD10" s="248"/>
      <c r="AE10" s="248"/>
      <c r="AF10" s="248"/>
      <c r="AG10" s="24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  <c r="BX10" s="238"/>
      <c r="BY10" s="238"/>
      <c r="BZ10" s="238"/>
      <c r="CA10" s="238"/>
      <c r="CB10" s="238"/>
      <c r="CC10" s="242"/>
      <c r="CD10" s="242"/>
      <c r="CE10" s="242"/>
      <c r="CF10" s="238"/>
    </row>
    <row r="11">
      <c r="A11" s="236"/>
      <c r="B11" s="236"/>
      <c r="C11" s="57"/>
      <c r="D11" s="57"/>
      <c r="E11" s="238"/>
      <c r="F11" s="238"/>
      <c r="G11" s="248"/>
      <c r="H11" s="248"/>
      <c r="I11" s="248"/>
      <c r="J11" s="248"/>
      <c r="K11" s="248"/>
      <c r="L11" s="276" t="str">
        <f>IFERROR(__xludf.DUMMYFUNCTION("""COMPUTED_VALUE"""),"LGD Gaming")</f>
        <v>LGD Gaming</v>
      </c>
      <c r="M11" s="278">
        <f>IFERROR(__xludf.DUMMYFUNCTION("""COMPUTED_VALUE"""),0.0)</f>
        <v>0</v>
      </c>
      <c r="N11" s="248"/>
      <c r="O11" s="298"/>
      <c r="Q11" s="248"/>
      <c r="R11" s="248"/>
      <c r="S11" s="248"/>
      <c r="T11" s="260" t="str">
        <f>IFERROR(__xludf.DUMMYFUNCTION("""COMPUTED_VALUE"""),"Quarterfinal 2")</f>
        <v>Quarterfinal 2</v>
      </c>
      <c r="U11" s="262" t="str">
        <f>IFERROR(__xludf.DUMMYFUNCTION("""COMPUTED_VALUE"""),"(loser out)")</f>
        <v>(loser out)</v>
      </c>
      <c r="V11" s="291"/>
      <c r="W11" s="248"/>
      <c r="X11" s="293" t="str">
        <f>IFERROR(__xludf.DUMMYFUNCTION("""COMPUTED_VALUE"""),"Vici Gaming")</f>
        <v>Vici Gaming</v>
      </c>
      <c r="Y11" s="286" t="str">
        <f>IFERROR(__xludf.DUMMYFUNCTION("""COMPUTED_VALUE"""),"")</f>
        <v/>
      </c>
      <c r="Z11" s="301"/>
      <c r="AA11" s="301"/>
      <c r="AB11" s="290"/>
      <c r="AC11" s="248"/>
      <c r="AD11" s="248"/>
      <c r="AE11" s="248"/>
      <c r="AF11" s="248"/>
      <c r="AG11" s="24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  <c r="BX11" s="238"/>
      <c r="BY11" s="238"/>
      <c r="BZ11" s="238"/>
      <c r="CA11" s="238"/>
      <c r="CB11" s="238"/>
      <c r="CC11" s="242"/>
      <c r="CD11" s="242"/>
      <c r="CE11" s="242"/>
      <c r="CF11" s="238"/>
    </row>
    <row r="12">
      <c r="A12" s="236"/>
      <c r="B12" s="236"/>
      <c r="C12" s="237" t="str">
        <f>IFERROR(__xludf.DUMMYFUNCTION("""COMPUTED_VALUE"""),"Group B")</f>
        <v>Group B</v>
      </c>
      <c r="D12" s="77"/>
      <c r="E12" s="238"/>
      <c r="F12" s="238"/>
      <c r="G12" s="248"/>
      <c r="H12" s="305" t="str">
        <f>IFERROR(__xludf.DUMMYFUNCTION("""COMPUTED_VALUE"""),"Survival - R1 - Match 2")</f>
        <v>Survival - R1 - Match 2</v>
      </c>
      <c r="I12" s="248"/>
      <c r="J12" s="248"/>
      <c r="K12" s="248"/>
      <c r="L12" s="260" t="str">
        <f>IFERROR(__xludf.DUMMYFUNCTION("""COMPUTED_VALUE"""),"(loser out)")</f>
        <v>(loser out)</v>
      </c>
      <c r="M12" s="248"/>
      <c r="N12" s="248"/>
      <c r="O12" s="248"/>
      <c r="P12" s="248"/>
      <c r="Q12" s="248"/>
      <c r="R12" s="248"/>
      <c r="S12" s="282"/>
      <c r="T12" s="284" t="str">
        <f>IFERROR(__xludf.DUMMYFUNCTION("""COMPUTED_VALUE"""),"Team Falcons")</f>
        <v>Team Falcons</v>
      </c>
      <c r="U12" s="286">
        <f>IFERROR(__xludf.DUMMYFUNCTION("""COMPUTED_VALUE"""),0.0)</f>
        <v>0</v>
      </c>
      <c r="V12" s="306"/>
      <c r="W12" s="248"/>
      <c r="X12" s="248"/>
      <c r="Y12" s="248"/>
      <c r="Z12" s="248"/>
      <c r="AA12" s="248"/>
      <c r="AB12" s="291"/>
      <c r="AC12" s="248"/>
      <c r="AD12" s="248"/>
      <c r="AE12" s="248"/>
      <c r="AF12" s="248"/>
      <c r="AG12" s="24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  <c r="BW12" s="238"/>
      <c r="BX12" s="238"/>
      <c r="BY12" s="238"/>
      <c r="BZ12" s="238"/>
      <c r="CA12" s="238"/>
      <c r="CB12" s="238"/>
      <c r="CC12" s="242"/>
      <c r="CD12" s="242"/>
      <c r="CE12" s="242"/>
      <c r="CF12" s="238"/>
    </row>
    <row r="13">
      <c r="A13" s="236"/>
      <c r="B13" s="236"/>
      <c r="C13" s="244">
        <f>IFERROR(__xludf.DUMMYFUNCTION("""COMPUTED_VALUE"""),1.0)</f>
        <v>1</v>
      </c>
      <c r="D13" s="245" t="str">
        <f>IFERROR(__xludf.DUMMYFUNCTION("""COMPUTED_VALUE"""),"Aurora Gaming")</f>
        <v>Aurora Gaming</v>
      </c>
      <c r="E13" s="238"/>
      <c r="F13" s="238"/>
      <c r="G13" s="282"/>
      <c r="H13" s="276" t="str">
        <f>IFERROR(__xludf.DUMMYFUNCTION("""COMPUTED_VALUE"""),"Vici Gaming")</f>
        <v>Vici Gaming</v>
      </c>
      <c r="I13" s="278">
        <f>IFERROR(__xludf.DUMMYFUNCTION("""COMPUTED_VALUE"""),2.0)</f>
        <v>2</v>
      </c>
      <c r="J13" s="248"/>
      <c r="K13" s="248"/>
      <c r="L13" s="248"/>
      <c r="M13" s="248"/>
      <c r="N13" s="248"/>
      <c r="O13" s="248"/>
      <c r="P13" s="248"/>
      <c r="Q13" s="248"/>
      <c r="R13" s="248"/>
      <c r="S13" s="282"/>
      <c r="T13" s="284" t="str">
        <f>IFERROR(__xludf.DUMMYFUNCTION("""COMPUTED_VALUE"""),"Vici Gaming")</f>
        <v>Vici Gaming</v>
      </c>
      <c r="U13" s="286">
        <f>IFERROR(__xludf.DUMMYFUNCTION("""COMPUTED_VALUE"""),2.0)</f>
        <v>2</v>
      </c>
      <c r="V13" s="248"/>
      <c r="W13" s="248"/>
      <c r="X13" s="248"/>
      <c r="Y13" s="248"/>
      <c r="Z13" s="248"/>
      <c r="AA13" s="248"/>
      <c r="AB13" s="291"/>
      <c r="AC13" s="248"/>
      <c r="AD13" s="248"/>
      <c r="AE13" s="248"/>
      <c r="AF13" s="248"/>
      <c r="AG13" s="24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  <c r="BW13" s="238"/>
      <c r="BX13" s="238"/>
      <c r="BY13" s="238"/>
      <c r="BZ13" s="238"/>
      <c r="CA13" s="238"/>
      <c r="CB13" s="238"/>
      <c r="CC13" s="242"/>
      <c r="CD13" s="242"/>
      <c r="CE13" s="242"/>
      <c r="CF13" s="238"/>
    </row>
    <row r="14">
      <c r="A14" s="236"/>
      <c r="B14" s="236"/>
      <c r="C14" s="244">
        <f>IFERROR(__xludf.DUMMYFUNCTION("""COMPUTED_VALUE"""),2.0)</f>
        <v>2</v>
      </c>
      <c r="D14" s="245" t="str">
        <f>IFERROR(__xludf.DUMMYFUNCTION("""COMPUTED_VALUE"""),"Team Liquid")</f>
        <v>Team Liquid</v>
      </c>
      <c r="E14" s="238"/>
      <c r="F14" s="238"/>
      <c r="G14" s="282"/>
      <c r="H14" s="276" t="str">
        <f>IFERROR(__xludf.DUMMYFUNCTION("""COMPUTED_VALUE"""),"PTime")</f>
        <v>PTime</v>
      </c>
      <c r="I14" s="278">
        <f>IFERROR(__xludf.DUMMYFUNCTION("""COMPUTED_VALUE"""),0.0)</f>
        <v>0</v>
      </c>
      <c r="J14" s="290"/>
      <c r="K14" s="248"/>
      <c r="L14" s="260" t="str">
        <f>IFERROR(__xludf.DUMMYFUNCTION("""COMPUTED_VALUE"""),"Survival - R2 - Match 2")</f>
        <v>Survival - R2 - Match 2</v>
      </c>
      <c r="M14" s="248"/>
      <c r="N14" s="248"/>
      <c r="O14" s="248"/>
      <c r="P14" s="248"/>
      <c r="Q14" s="248"/>
      <c r="R14" s="248"/>
      <c r="S14" s="248"/>
      <c r="T14" s="248"/>
      <c r="U14" s="248"/>
      <c r="V14" s="248"/>
      <c r="W14" s="248"/>
      <c r="X14" s="248"/>
      <c r="Y14" s="248"/>
      <c r="Z14" s="248"/>
      <c r="AA14" s="248"/>
      <c r="AB14" s="291"/>
      <c r="AC14" s="292"/>
      <c r="AD14" s="316" t="str">
        <f>IFERROR(__xludf.DUMMYFUNCTION("""COMPUTED_VALUE"""),"Winner of SF 1")</f>
        <v>Winner of SF 1</v>
      </c>
      <c r="AE14" s="286" t="str">
        <f>IFERROR(__xludf.DUMMYFUNCTION("""COMPUTED_VALUE"""),"")</f>
        <v/>
      </c>
      <c r="AF14" s="294"/>
      <c r="AG14" s="295" t="str">
        <f>IFERROR(__xludf.DUMMYFUNCTION("""COMPUTED_VALUE"""),"Winner of Grand Final")</f>
        <v>Winner of Grand Final</v>
      </c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  <c r="BW14" s="238"/>
      <c r="BX14" s="238"/>
      <c r="BY14" s="238"/>
      <c r="BZ14" s="238"/>
      <c r="CA14" s="238"/>
      <c r="CB14" s="238"/>
      <c r="CC14" s="242"/>
      <c r="CD14" s="242"/>
      <c r="CE14" s="242"/>
      <c r="CF14" s="238"/>
    </row>
    <row r="15">
      <c r="A15" s="236"/>
      <c r="B15" s="236"/>
      <c r="C15" s="244">
        <f>IFERROR(__xludf.DUMMYFUNCTION("""COMPUTED_VALUE"""),3.0)</f>
        <v>3</v>
      </c>
      <c r="D15" s="245" t="str">
        <f>IFERROR(__xludf.DUMMYFUNCTION("""COMPUTED_VALUE"""),"PTime")</f>
        <v>PTime</v>
      </c>
      <c r="E15" s="238"/>
      <c r="F15" s="238"/>
      <c r="G15" s="248"/>
      <c r="H15" s="260" t="str">
        <f>IFERROR(__xludf.DUMMYFUNCTION("""COMPUTED_VALUE"""),"(loser out)")</f>
        <v>(loser out)</v>
      </c>
      <c r="I15" s="248"/>
      <c r="J15" s="291"/>
      <c r="K15" s="292"/>
      <c r="L15" s="293" t="str">
        <f>IFERROR(__xludf.DUMMYFUNCTION("""COMPUTED_VALUE"""),"1W")</f>
        <v>1W</v>
      </c>
      <c r="M15" s="278">
        <f>IFERROR(__xludf.DUMMYFUNCTION("""COMPUTED_VALUE"""),1.0)</f>
        <v>1</v>
      </c>
      <c r="N15" s="294"/>
      <c r="O15" s="295" t="str">
        <f>IFERROR(__xludf.DUMMYFUNCTION("""COMPUTED_VALUE"""),"Vici Gaming")</f>
        <v>Vici Gaming</v>
      </c>
      <c r="P15" s="296" t="str">
        <f>IFERROR(__xludf.DUMMYFUNCTION("""COMPUTED_VALUE"""),"Q")</f>
        <v>Q</v>
      </c>
      <c r="Q15" s="248"/>
      <c r="R15" s="248"/>
      <c r="S15" s="248"/>
      <c r="T15" s="260" t="str">
        <f>IFERROR(__xludf.DUMMYFUNCTION("""COMPUTED_VALUE"""),"Quarterfinal 3")</f>
        <v>Quarterfinal 3</v>
      </c>
      <c r="U15" s="262" t="str">
        <f>IFERROR(__xludf.DUMMYFUNCTION("""COMPUTED_VALUE"""),"(loser out)")</f>
        <v>(loser out)</v>
      </c>
      <c r="V15" s="248"/>
      <c r="W15" s="248"/>
      <c r="X15" s="248"/>
      <c r="Y15" s="248"/>
      <c r="Z15" s="248"/>
      <c r="AA15" s="248"/>
      <c r="AB15" s="291"/>
      <c r="AC15" s="248"/>
      <c r="AD15" s="316" t="str">
        <f>IFERROR(__xludf.DUMMYFUNCTION("""COMPUTED_VALUE"""),"Winner of SF 2")</f>
        <v>Winner of SF 2</v>
      </c>
      <c r="AE15" s="286" t="str">
        <f>IFERROR(__xludf.DUMMYFUNCTION("""COMPUTED_VALUE"""),"")</f>
        <v/>
      </c>
      <c r="AF15" s="248"/>
      <c r="AG15" s="29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  <c r="BW15" s="238"/>
      <c r="BX15" s="238"/>
      <c r="BY15" s="238"/>
      <c r="BZ15" s="238"/>
      <c r="CA15" s="238"/>
      <c r="CB15" s="238"/>
      <c r="CC15" s="242"/>
      <c r="CD15" s="242"/>
      <c r="CE15" s="242"/>
      <c r="CF15" s="238"/>
    </row>
    <row r="16">
      <c r="A16" s="236"/>
      <c r="B16" s="236"/>
      <c r="C16" s="244">
        <f>IFERROR(__xludf.DUMMYFUNCTION("""COMPUTED_VALUE"""),4.0)</f>
        <v>4</v>
      </c>
      <c r="D16" s="245" t="str">
        <f>IFERROR(__xludf.DUMMYFUNCTION("""COMPUTED_VALUE"""),"Nigma Galaxy")</f>
        <v>Nigma Galaxy</v>
      </c>
      <c r="E16" s="238"/>
      <c r="F16" s="238"/>
      <c r="G16" s="248"/>
      <c r="H16" s="248"/>
      <c r="I16" s="248"/>
      <c r="J16" s="248"/>
      <c r="K16" s="248"/>
      <c r="L16" s="276" t="str">
        <f>IFERROR(__xludf.DUMMYFUNCTION("""COMPUTED_VALUE"""),"Vici Gaming")</f>
        <v>Vici Gaming</v>
      </c>
      <c r="M16" s="278">
        <f>IFERROR(__xludf.DUMMYFUNCTION("""COMPUTED_VALUE"""),2.0)</f>
        <v>2</v>
      </c>
      <c r="N16" s="248"/>
      <c r="O16" s="298"/>
      <c r="Q16" s="248"/>
      <c r="R16" s="248"/>
      <c r="S16" s="282"/>
      <c r="T16" s="284" t="str">
        <f>IFERROR(__xludf.DUMMYFUNCTION("""COMPUTED_VALUE"""),"Team Yandex")</f>
        <v>Team Yandex</v>
      </c>
      <c r="U16" s="286">
        <f>IFERROR(__xludf.DUMMYFUNCTION("""COMPUTED_VALUE"""),2.0)</f>
        <v>2</v>
      </c>
      <c r="V16" s="248"/>
      <c r="W16" s="248"/>
      <c r="X16" s="248"/>
      <c r="Y16" s="248"/>
      <c r="Z16" s="248"/>
      <c r="AA16" s="248"/>
      <c r="AB16" s="291"/>
      <c r="AC16" s="248"/>
      <c r="AD16" s="248"/>
      <c r="AE16" s="248"/>
      <c r="AF16" s="248"/>
      <c r="AG16" s="248"/>
      <c r="AH16" s="238"/>
      <c r="AI16" s="238"/>
      <c r="AJ16" s="238"/>
      <c r="AK16" s="238"/>
      <c r="AL16" s="238"/>
      <c r="AM16" s="238"/>
      <c r="AN16" s="238"/>
      <c r="AO16" s="238"/>
      <c r="AP16" s="238"/>
      <c r="AQ16" s="238"/>
      <c r="AR16" s="238"/>
      <c r="AS16" s="238"/>
      <c r="AT16" s="238"/>
      <c r="AU16" s="238"/>
      <c r="AV16" s="238"/>
      <c r="AW16" s="238"/>
      <c r="AX16" s="238"/>
      <c r="AY16" s="238"/>
      <c r="AZ16" s="238"/>
      <c r="BA16" s="238"/>
      <c r="BB16" s="238"/>
      <c r="BC16" s="238"/>
      <c r="BD16" s="238"/>
      <c r="BE16" s="238"/>
      <c r="BF16" s="238"/>
      <c r="BG16" s="238"/>
      <c r="BH16" s="238"/>
      <c r="BI16" s="238"/>
      <c r="BJ16" s="238"/>
      <c r="BK16" s="238"/>
      <c r="BL16" s="238"/>
      <c r="BM16" s="238"/>
      <c r="BN16" s="238"/>
      <c r="BO16" s="238"/>
      <c r="BP16" s="238"/>
      <c r="BQ16" s="238"/>
      <c r="BR16" s="238"/>
      <c r="BS16" s="238"/>
      <c r="BT16" s="238"/>
      <c r="BU16" s="238"/>
      <c r="BV16" s="238"/>
      <c r="BW16" s="238"/>
      <c r="BX16" s="238"/>
      <c r="BY16" s="238"/>
      <c r="BZ16" s="238"/>
      <c r="CA16" s="238"/>
      <c r="CB16" s="238"/>
      <c r="CC16" s="242"/>
      <c r="CD16" s="242"/>
      <c r="CE16" s="242"/>
      <c r="CF16" s="238"/>
    </row>
    <row r="17">
      <c r="A17" s="236"/>
      <c r="B17" s="236"/>
      <c r="C17" s="289">
        <f>IFERROR(__xludf.DUMMYFUNCTION("""COMPUTED_VALUE"""),5.0)</f>
        <v>5</v>
      </c>
      <c r="D17" s="245" t="str">
        <f>IFERROR(__xludf.DUMMYFUNCTION("""COMPUTED_VALUE"""),"L1 TEAM")</f>
        <v>L1 TEAM</v>
      </c>
      <c r="E17" s="238"/>
      <c r="F17" s="238"/>
      <c r="G17" s="248"/>
      <c r="H17" s="305" t="str">
        <f>IFERROR(__xludf.DUMMYFUNCTION("""COMPUTED_VALUE"""),"Survival - R1 - Match 3")</f>
        <v>Survival - R1 - Match 3</v>
      </c>
      <c r="I17" s="248"/>
      <c r="J17" s="248"/>
      <c r="K17" s="248"/>
      <c r="L17" s="260" t="str">
        <f>IFERROR(__xludf.DUMMYFUNCTION("""COMPUTED_VALUE"""),"(loser out)")</f>
        <v>(loser out)</v>
      </c>
      <c r="M17" s="248"/>
      <c r="N17" s="248"/>
      <c r="O17" s="248"/>
      <c r="P17" s="248"/>
      <c r="Q17" s="248"/>
      <c r="R17" s="248"/>
      <c r="S17" s="282"/>
      <c r="T17" s="284" t="str">
        <f>IFERROR(__xludf.DUMMYFUNCTION("""COMPUTED_VALUE"""),"Team Spirit")</f>
        <v>Team Spirit</v>
      </c>
      <c r="U17" s="286">
        <f>IFERROR(__xludf.DUMMYFUNCTION("""COMPUTED_VALUE"""),0.0)</f>
        <v>0</v>
      </c>
      <c r="V17" s="290"/>
      <c r="W17" s="248"/>
      <c r="X17" s="260" t="str">
        <f>IFERROR(__xludf.DUMMYFUNCTION("""COMPUTED_VALUE"""),"Semifinal 2")</f>
        <v>Semifinal 2</v>
      </c>
      <c r="Y17" s="262" t="str">
        <f>IFERROR(__xludf.DUMMYFUNCTION("""COMPUTED_VALUE"""),"(loser out)")</f>
        <v>(loser out)</v>
      </c>
      <c r="Z17" s="248"/>
      <c r="AA17" s="248"/>
      <c r="AB17" s="291"/>
      <c r="AC17" s="248"/>
      <c r="AD17" s="248"/>
      <c r="AE17" s="248"/>
      <c r="AF17" s="248"/>
      <c r="AG17" s="248"/>
      <c r="AH17" s="238"/>
      <c r="AI17" s="238"/>
      <c r="AJ17" s="238"/>
      <c r="AK17" s="238"/>
      <c r="AL17" s="238"/>
      <c r="AM17" s="238"/>
      <c r="AN17" s="238"/>
      <c r="AO17" s="238"/>
      <c r="AP17" s="238"/>
      <c r="AQ17" s="238"/>
      <c r="AR17" s="238"/>
      <c r="AS17" s="238"/>
      <c r="AT17" s="238"/>
      <c r="AU17" s="238"/>
      <c r="AV17" s="238"/>
      <c r="AW17" s="238"/>
      <c r="AX17" s="238"/>
      <c r="AY17" s="238"/>
      <c r="AZ17" s="238"/>
      <c r="BA17" s="238"/>
      <c r="BB17" s="238"/>
      <c r="BC17" s="238"/>
      <c r="BD17" s="238"/>
      <c r="BE17" s="238"/>
      <c r="BF17" s="238"/>
      <c r="BG17" s="238"/>
      <c r="BH17" s="238"/>
      <c r="BI17" s="238"/>
      <c r="BJ17" s="238"/>
      <c r="BK17" s="238"/>
      <c r="BL17" s="238"/>
      <c r="BM17" s="238"/>
      <c r="BN17" s="238"/>
      <c r="BO17" s="238"/>
      <c r="BP17" s="238"/>
      <c r="BQ17" s="238"/>
      <c r="BR17" s="238"/>
      <c r="BS17" s="238"/>
      <c r="BT17" s="238"/>
      <c r="BU17" s="238"/>
      <c r="BV17" s="238"/>
      <c r="BW17" s="238"/>
      <c r="BX17" s="238"/>
      <c r="BY17" s="238"/>
      <c r="BZ17" s="238"/>
      <c r="CA17" s="339"/>
      <c r="CB17" s="238"/>
      <c r="CC17" s="242"/>
      <c r="CD17" s="242"/>
      <c r="CE17" s="242"/>
      <c r="CF17" s="238"/>
    </row>
    <row r="18">
      <c r="A18" s="236"/>
      <c r="B18" s="236"/>
      <c r="C18" s="289">
        <f>IFERROR(__xludf.DUMMYFUNCTION("""COMPUTED_VALUE"""),6.0)</f>
        <v>6</v>
      </c>
      <c r="D18" s="245" t="str">
        <f>IFERROR(__xludf.DUMMYFUNCTION("""COMPUTED_VALUE"""),"Level UP")</f>
        <v>Level UP</v>
      </c>
      <c r="E18" s="238"/>
      <c r="F18" s="238"/>
      <c r="G18" s="282"/>
      <c r="H18" s="276" t="str">
        <f>IFERROR(__xludf.DUMMYFUNCTION("""COMPUTED_VALUE"""),"Team Liquid")</f>
        <v>Team Liquid</v>
      </c>
      <c r="I18" s="278">
        <f>IFERROR(__xludf.DUMMYFUNCTION("""COMPUTED_VALUE"""),2.0)</f>
        <v>2</v>
      </c>
      <c r="J18" s="248"/>
      <c r="K18" s="248"/>
      <c r="L18" s="248"/>
      <c r="M18" s="248"/>
      <c r="N18" s="248"/>
      <c r="O18" s="248"/>
      <c r="P18" s="248"/>
      <c r="Q18" s="248"/>
      <c r="R18" s="248"/>
      <c r="S18" s="248"/>
      <c r="T18" s="248"/>
      <c r="U18" s="248"/>
      <c r="V18" s="291"/>
      <c r="W18" s="292"/>
      <c r="X18" s="293" t="str">
        <f>IFERROR(__xludf.DUMMYFUNCTION("""COMPUTED_VALUE"""),"Team Yandex")</f>
        <v>Team Yandex</v>
      </c>
      <c r="Y18" s="286" t="str">
        <f>IFERROR(__xludf.DUMMYFUNCTION("""COMPUTED_VALUE"""),"")</f>
        <v/>
      </c>
      <c r="Z18" s="341"/>
      <c r="AA18" s="341"/>
      <c r="AB18" s="306"/>
      <c r="AC18" s="248"/>
      <c r="AD18" s="248"/>
      <c r="AE18" s="248"/>
      <c r="AF18" s="248"/>
      <c r="AG18" s="248"/>
      <c r="AH18" s="238"/>
      <c r="AI18" s="238"/>
      <c r="AJ18" s="238"/>
      <c r="AK18" s="238"/>
      <c r="AL18" s="238"/>
      <c r="AM18" s="238"/>
      <c r="AN18" s="238"/>
      <c r="AO18" s="238"/>
      <c r="AP18" s="238"/>
      <c r="AQ18" s="238"/>
      <c r="AR18" s="238"/>
      <c r="AS18" s="238"/>
      <c r="AT18" s="238"/>
      <c r="AU18" s="238"/>
      <c r="AV18" s="238"/>
      <c r="AW18" s="238"/>
      <c r="AX18" s="238"/>
      <c r="AY18" s="238"/>
      <c r="AZ18" s="238"/>
      <c r="BA18" s="238"/>
      <c r="BB18" s="238"/>
      <c r="BC18" s="238"/>
      <c r="BD18" s="238"/>
      <c r="BE18" s="238"/>
      <c r="BF18" s="238"/>
      <c r="BG18" s="238"/>
      <c r="BH18" s="238"/>
      <c r="BI18" s="238"/>
      <c r="BJ18" s="238"/>
      <c r="BK18" s="238"/>
      <c r="BL18" s="238"/>
      <c r="BM18" s="238"/>
      <c r="BN18" s="238"/>
      <c r="BO18" s="238"/>
      <c r="BP18" s="238"/>
      <c r="BQ18" s="238"/>
      <c r="BR18" s="238"/>
      <c r="BS18" s="238"/>
      <c r="BT18" s="238"/>
      <c r="BU18" s="238"/>
      <c r="BV18" s="238"/>
      <c r="BW18" s="238"/>
      <c r="BX18" s="238"/>
      <c r="BY18" s="238"/>
      <c r="BZ18" s="238"/>
      <c r="CA18" s="238"/>
      <c r="CB18" s="238"/>
      <c r="CC18" s="242"/>
      <c r="CD18" s="242"/>
      <c r="CE18" s="242"/>
      <c r="CF18" s="238"/>
    </row>
    <row r="19">
      <c r="A19" s="236"/>
      <c r="B19" s="236"/>
      <c r="C19" s="57"/>
      <c r="D19" s="57"/>
      <c r="E19" s="238"/>
      <c r="F19" s="238"/>
      <c r="G19" s="282"/>
      <c r="H19" s="276" t="str">
        <f>IFERROR(__xludf.DUMMYFUNCTION("""COMPUTED_VALUE"""),"Xtreme Gaming")</f>
        <v>Xtreme Gaming</v>
      </c>
      <c r="I19" s="278">
        <f>IFERROR(__xludf.DUMMYFUNCTION("""COMPUTED_VALUE"""),1.0)</f>
        <v>1</v>
      </c>
      <c r="J19" s="290"/>
      <c r="K19" s="248"/>
      <c r="L19" s="260" t="str">
        <f>IFERROR(__xludf.DUMMYFUNCTION("""COMPUTED_VALUE"""),"Survival - R2 - Match 3")</f>
        <v>Survival - R2 - Match 3</v>
      </c>
      <c r="M19" s="248"/>
      <c r="N19" s="248"/>
      <c r="O19" s="248"/>
      <c r="P19" s="248"/>
      <c r="Q19" s="248"/>
      <c r="R19" s="248"/>
      <c r="S19" s="248"/>
      <c r="T19" s="260" t="str">
        <f>IFERROR(__xludf.DUMMYFUNCTION("""COMPUTED_VALUE"""),"Quarterfinal 4")</f>
        <v>Quarterfinal 4</v>
      </c>
      <c r="U19" s="262" t="str">
        <f>IFERROR(__xludf.DUMMYFUNCTION("""COMPUTED_VALUE"""),"(loser out)")</f>
        <v>(loser out)</v>
      </c>
      <c r="V19" s="291"/>
      <c r="W19" s="248"/>
      <c r="X19" s="293" t="str">
        <f>IFERROR(__xludf.DUMMYFUNCTION("""COMPUTED_VALUE"""),"PVISION")</f>
        <v>PVISION</v>
      </c>
      <c r="Y19" s="286" t="str">
        <f>IFERROR(__xludf.DUMMYFUNCTION("""COMPUTED_VALUE"""),"")</f>
        <v/>
      </c>
      <c r="Z19" s="249"/>
      <c r="AA19" s="249"/>
      <c r="AB19" s="248"/>
      <c r="AC19" s="248"/>
      <c r="AD19" s="248"/>
      <c r="AE19" s="248"/>
      <c r="AF19" s="248"/>
      <c r="AG19" s="248"/>
      <c r="AH19" s="238"/>
      <c r="AI19" s="238"/>
      <c r="AJ19" s="238"/>
      <c r="AK19" s="238"/>
      <c r="AL19" s="238"/>
      <c r="AM19" s="238"/>
      <c r="AN19" s="238"/>
      <c r="AO19" s="238"/>
      <c r="AP19" s="238"/>
      <c r="AQ19" s="238"/>
      <c r="AR19" s="238"/>
      <c r="AS19" s="238"/>
      <c r="AT19" s="238"/>
      <c r="AU19" s="238"/>
      <c r="AV19" s="238"/>
      <c r="AW19" s="238"/>
      <c r="AX19" s="238"/>
      <c r="AY19" s="238"/>
      <c r="AZ19" s="238"/>
      <c r="BA19" s="238"/>
      <c r="BB19" s="238"/>
      <c r="BC19" s="238"/>
      <c r="BD19" s="238"/>
      <c r="BE19" s="238"/>
      <c r="BF19" s="238"/>
      <c r="BG19" s="238"/>
      <c r="BH19" s="238"/>
      <c r="BI19" s="238"/>
      <c r="BJ19" s="238"/>
      <c r="BK19" s="238"/>
      <c r="BL19" s="238"/>
      <c r="BM19" s="238"/>
      <c r="BN19" s="238"/>
      <c r="BO19" s="238"/>
      <c r="BP19" s="238"/>
      <c r="BQ19" s="238"/>
      <c r="BR19" s="238"/>
      <c r="BS19" s="238"/>
      <c r="BT19" s="238"/>
      <c r="BU19" s="238"/>
      <c r="BV19" s="238"/>
      <c r="BW19" s="238"/>
      <c r="BX19" s="238"/>
      <c r="BY19" s="238"/>
      <c r="BZ19" s="238"/>
      <c r="CA19" s="238"/>
      <c r="CB19" s="238"/>
      <c r="CC19" s="242"/>
      <c r="CD19" s="242"/>
      <c r="CE19" s="242"/>
      <c r="CF19" s="238"/>
    </row>
    <row r="20">
      <c r="A20" s="236"/>
      <c r="B20" s="236"/>
      <c r="C20" s="237" t="str">
        <f>IFERROR(__xludf.DUMMYFUNCTION("""COMPUTED_VALUE"""),"Group C")</f>
        <v>Group C</v>
      </c>
      <c r="D20" s="77"/>
      <c r="E20" s="238"/>
      <c r="F20" s="238"/>
      <c r="G20" s="248"/>
      <c r="H20" s="260" t="str">
        <f>IFERROR(__xludf.DUMMYFUNCTION("""COMPUTED_VALUE"""),"(loser out)")</f>
        <v>(loser out)</v>
      </c>
      <c r="I20" s="248"/>
      <c r="J20" s="291"/>
      <c r="K20" s="292"/>
      <c r="L20" s="293" t="str">
        <f>IFERROR(__xludf.DUMMYFUNCTION("""COMPUTED_VALUE"""),"Team Spirit")</f>
        <v>Team Spirit</v>
      </c>
      <c r="M20" s="278">
        <f>IFERROR(__xludf.DUMMYFUNCTION("""COMPUTED_VALUE"""),2.0)</f>
        <v>2</v>
      </c>
      <c r="N20" s="294"/>
      <c r="O20" s="295" t="str">
        <f>IFERROR(__xludf.DUMMYFUNCTION("""COMPUTED_VALUE"""),"Team Spirit")</f>
        <v>Team Spirit</v>
      </c>
      <c r="P20" s="296" t="str">
        <f>IFERROR(__xludf.DUMMYFUNCTION("""COMPUTED_VALUE"""),"Q")</f>
        <v>Q</v>
      </c>
      <c r="Q20" s="248"/>
      <c r="R20" s="248"/>
      <c r="S20" s="282"/>
      <c r="T20" s="284" t="str">
        <f>IFERROR(__xludf.DUMMYFUNCTION("""COMPUTED_VALUE"""),"PVISION")</f>
        <v>PVISION</v>
      </c>
      <c r="U20" s="286">
        <f>IFERROR(__xludf.DUMMYFUNCTION("""COMPUTED_VALUE"""),2.0)</f>
        <v>2</v>
      </c>
      <c r="V20" s="306"/>
      <c r="W20" s="248"/>
      <c r="X20" s="248"/>
      <c r="Y20" s="248"/>
      <c r="Z20" s="248"/>
      <c r="AA20" s="248"/>
      <c r="AB20" s="248"/>
      <c r="AC20" s="248"/>
      <c r="AD20" s="248"/>
      <c r="AE20" s="248"/>
      <c r="AF20" s="248"/>
      <c r="AG20" s="248"/>
      <c r="AH20" s="238"/>
      <c r="AI20" s="238"/>
      <c r="AJ20" s="238"/>
      <c r="AK20" s="238"/>
      <c r="AL20" s="238"/>
      <c r="AM20" s="238"/>
      <c r="AN20" s="238"/>
      <c r="AO20" s="238"/>
      <c r="AP20" s="238"/>
      <c r="AQ20" s="238"/>
      <c r="AR20" s="238"/>
      <c r="AS20" s="238"/>
      <c r="AT20" s="238"/>
      <c r="AU20" s="238"/>
      <c r="AV20" s="238"/>
      <c r="AW20" s="238"/>
      <c r="AX20" s="238"/>
      <c r="AY20" s="238"/>
      <c r="AZ20" s="238"/>
      <c r="BA20" s="238"/>
      <c r="BB20" s="238"/>
      <c r="BC20" s="238"/>
      <c r="BD20" s="238"/>
      <c r="BE20" s="238"/>
      <c r="BF20" s="238"/>
      <c r="BG20" s="238"/>
      <c r="BH20" s="238"/>
      <c r="BI20" s="238"/>
      <c r="BJ20" s="238"/>
      <c r="BK20" s="238"/>
      <c r="BL20" s="238"/>
      <c r="BM20" s="238"/>
      <c r="BN20" s="238"/>
      <c r="BO20" s="238"/>
      <c r="BP20" s="238"/>
      <c r="BQ20" s="238"/>
      <c r="BR20" s="238"/>
      <c r="BS20" s="238"/>
      <c r="BT20" s="238"/>
      <c r="BU20" s="238"/>
      <c r="BV20" s="238"/>
      <c r="BW20" s="238"/>
      <c r="BX20" s="238"/>
      <c r="BY20" s="238"/>
      <c r="BZ20" s="238"/>
      <c r="CA20" s="238"/>
      <c r="CB20" s="238"/>
      <c r="CC20" s="238"/>
      <c r="CD20" s="238"/>
      <c r="CE20" s="238"/>
      <c r="CF20" s="238"/>
    </row>
    <row r="21">
      <c r="A21" s="236"/>
      <c r="B21" s="236"/>
      <c r="C21" s="244">
        <f>IFERROR(__xludf.DUMMYFUNCTION("""COMPUTED_VALUE"""),1.0)</f>
        <v>1</v>
      </c>
      <c r="D21" s="245" t="str">
        <f>IFERROR(__xludf.DUMMYFUNCTION("""COMPUTED_VALUE"""),"PVISION")</f>
        <v>PVISION</v>
      </c>
      <c r="E21" s="238"/>
      <c r="F21" s="238"/>
      <c r="G21" s="248"/>
      <c r="H21" s="248"/>
      <c r="I21" s="248"/>
      <c r="J21" s="248"/>
      <c r="K21" s="248"/>
      <c r="L21" s="276" t="str">
        <f>IFERROR(__xludf.DUMMYFUNCTION("""COMPUTED_VALUE"""),"Team Liquid")</f>
        <v>Team Liquid</v>
      </c>
      <c r="M21" s="278">
        <f>IFERROR(__xludf.DUMMYFUNCTION("""COMPUTED_VALUE"""),1.0)</f>
        <v>1</v>
      </c>
      <c r="N21" s="248"/>
      <c r="O21" s="298"/>
      <c r="Q21" s="248"/>
      <c r="R21" s="248"/>
      <c r="S21" s="282"/>
      <c r="T21" s="284" t="str">
        <f>IFERROR(__xludf.DUMMYFUNCTION("""COMPUTED_VALUE"""),"Rune Eaters")</f>
        <v>Rune Eaters</v>
      </c>
      <c r="U21" s="286">
        <f>IFERROR(__xludf.DUMMYFUNCTION("""COMPUTED_VALUE"""),0.0)</f>
        <v>0</v>
      </c>
      <c r="V21" s="248"/>
      <c r="W21" s="248"/>
      <c r="X21" s="305" t="str">
        <f>IFERROR(__xludf.DUMMYFUNCTION("""COMPUTED_VALUE"""),"3rd Place")</f>
        <v>3rd Place</v>
      </c>
      <c r="Y21" s="248"/>
      <c r="Z21" s="248"/>
      <c r="AA21" s="248"/>
      <c r="AB21" s="248"/>
      <c r="AC21" s="248"/>
      <c r="AD21" s="248"/>
      <c r="AE21" s="248"/>
      <c r="AF21" s="248"/>
      <c r="AG21" s="248"/>
      <c r="AH21" s="240"/>
      <c r="AI21" s="240"/>
      <c r="AJ21" s="240"/>
      <c r="AK21" s="240"/>
      <c r="AL21" s="240"/>
      <c r="AM21" s="240"/>
      <c r="AN21" s="240"/>
      <c r="AO21" s="240"/>
      <c r="AP21" s="240"/>
      <c r="AQ21" s="240"/>
      <c r="AR21" s="240"/>
      <c r="AS21" s="240"/>
      <c r="AT21" s="240"/>
      <c r="AU21" s="240"/>
      <c r="AV21" s="240"/>
      <c r="AW21" s="240"/>
      <c r="AX21" s="240"/>
      <c r="AY21" s="240"/>
      <c r="AZ21" s="240"/>
      <c r="BA21" s="240"/>
      <c r="BB21" s="240"/>
      <c r="BC21" s="240"/>
      <c r="BD21" s="240"/>
      <c r="BE21" s="240"/>
      <c r="BF21" s="240"/>
      <c r="BG21" s="240"/>
      <c r="BH21" s="240"/>
      <c r="BI21" s="240"/>
      <c r="BJ21" s="240"/>
      <c r="BK21" s="240"/>
      <c r="BL21" s="240"/>
      <c r="BM21" s="240"/>
      <c r="BN21" s="240"/>
      <c r="BO21" s="240"/>
      <c r="BP21" s="240"/>
      <c r="BQ21" s="240"/>
      <c r="BR21" s="240"/>
      <c r="BS21" s="240"/>
      <c r="BT21" s="240"/>
      <c r="BU21" s="240"/>
      <c r="BV21" s="240"/>
      <c r="BW21" s="240"/>
      <c r="BX21" s="240"/>
      <c r="BY21" s="240"/>
      <c r="BZ21" s="240"/>
      <c r="CA21" s="238"/>
      <c r="CB21" s="238"/>
      <c r="CC21" s="238"/>
      <c r="CD21" s="238"/>
      <c r="CE21" s="238"/>
      <c r="CF21" s="240"/>
    </row>
    <row r="22">
      <c r="A22" s="236"/>
      <c r="B22" s="236"/>
      <c r="C22" s="244">
        <f>IFERROR(__xludf.DUMMYFUNCTION("""COMPUTED_VALUE"""),2.0)</f>
        <v>2</v>
      </c>
      <c r="D22" s="245" t="str">
        <f>IFERROR(__xludf.DUMMYFUNCTION("""COMPUTED_VALUE"""),"Team Spirit")</f>
        <v>Team Spirit</v>
      </c>
      <c r="E22" s="238"/>
      <c r="F22" s="238"/>
      <c r="G22" s="248"/>
      <c r="H22" s="305" t="str">
        <f>IFERROR(__xludf.DUMMYFUNCTION("""COMPUTED_VALUE"""),"Survival - R1 - Match 4")</f>
        <v>Survival - R1 - Match 4</v>
      </c>
      <c r="I22" s="248"/>
      <c r="J22" s="248"/>
      <c r="K22" s="248"/>
      <c r="L22" s="260" t="str">
        <f>IFERROR(__xludf.DUMMYFUNCTION("""COMPUTED_VALUE"""),"(loser out)")</f>
        <v>(loser out)</v>
      </c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93" t="str">
        <f>IFERROR(__xludf.DUMMYFUNCTION("""COMPUTED_VALUE"""),"Loser of SF 1")</f>
        <v>Loser of SF 1</v>
      </c>
      <c r="Y22" s="286" t="str">
        <f>IFERROR(__xludf.DUMMYFUNCTION("""COMPUTED_VALUE"""),"")</f>
        <v/>
      </c>
      <c r="Z22" s="294"/>
      <c r="AA22" s="352" t="str">
        <f>IFERROR(__xludf.DUMMYFUNCTION("""COMPUTED_VALUE"""),"Winner of 3rd Place")</f>
        <v>Winner of 3rd Place</v>
      </c>
      <c r="AB22" s="248"/>
      <c r="AC22" s="248"/>
      <c r="AD22" s="248"/>
      <c r="AE22" s="248"/>
      <c r="AF22" s="248"/>
      <c r="AG22" s="248"/>
      <c r="AH22" s="236"/>
      <c r="AI22" s="236"/>
      <c r="AJ22" s="236"/>
      <c r="AK22" s="236"/>
      <c r="AL22" s="236"/>
      <c r="AM22" s="236"/>
      <c r="AN22" s="236"/>
      <c r="AO22" s="236"/>
      <c r="AP22" s="236"/>
      <c r="AQ22" s="236"/>
      <c r="AR22" s="236"/>
      <c r="AS22" s="236"/>
      <c r="AT22" s="236"/>
      <c r="AU22" s="236"/>
      <c r="AV22" s="236"/>
      <c r="AW22" s="236"/>
      <c r="AX22" s="236"/>
      <c r="AY22" s="236"/>
      <c r="AZ22" s="236"/>
      <c r="BA22" s="236"/>
      <c r="BB22" s="236"/>
      <c r="BC22" s="236"/>
      <c r="BD22" s="236"/>
      <c r="BE22" s="236"/>
      <c r="BF22" s="236"/>
      <c r="BG22" s="236"/>
      <c r="BH22" s="236"/>
      <c r="BI22" s="236"/>
      <c r="BJ22" s="236"/>
      <c r="BK22" s="236"/>
      <c r="BL22" s="236"/>
      <c r="BM22" s="236"/>
      <c r="BN22" s="236"/>
      <c r="BO22" s="236"/>
      <c r="BP22" s="236"/>
      <c r="BQ22" s="236"/>
      <c r="BR22" s="236"/>
      <c r="BS22" s="236"/>
      <c r="BT22" s="236"/>
      <c r="BU22" s="236"/>
      <c r="BV22" s="236"/>
      <c r="BW22" s="236"/>
      <c r="BX22" s="236"/>
      <c r="BY22" s="236"/>
      <c r="BZ22" s="236"/>
      <c r="CA22" s="238"/>
      <c r="CB22" s="238"/>
      <c r="CC22" s="238"/>
      <c r="CD22" s="238"/>
      <c r="CE22" s="238"/>
      <c r="CF22" s="236"/>
    </row>
    <row r="23">
      <c r="A23" s="236"/>
      <c r="B23" s="236"/>
      <c r="C23" s="244">
        <f>IFERROR(__xludf.DUMMYFUNCTION("""COMPUTED_VALUE"""),3.0)</f>
        <v>3</v>
      </c>
      <c r="D23" s="245" t="str">
        <f>IFERROR(__xludf.DUMMYFUNCTION("""COMPUTED_VALUE"""),"MOUZ")</f>
        <v>MOUZ</v>
      </c>
      <c r="E23" s="238"/>
      <c r="F23" s="238"/>
      <c r="G23" s="282"/>
      <c r="H23" s="276" t="str">
        <f>IFERROR(__xludf.DUMMYFUNCTION("""COMPUTED_VALUE"""),"Rune Eaters")</f>
        <v>Rune Eaters</v>
      </c>
      <c r="I23" s="278">
        <f>IFERROR(__xludf.DUMMYFUNCTION("""COMPUTED_VALUE"""),2.0)</f>
        <v>2</v>
      </c>
      <c r="J23" s="248"/>
      <c r="K23" s="248"/>
      <c r="L23" s="248"/>
      <c r="M23" s="248"/>
      <c r="N23" s="248"/>
      <c r="O23" s="248"/>
      <c r="P23" s="248"/>
      <c r="Q23" s="248"/>
      <c r="R23" s="248"/>
      <c r="S23" s="248"/>
      <c r="T23" s="248"/>
      <c r="U23" s="248"/>
      <c r="V23" s="248"/>
      <c r="W23" s="248"/>
      <c r="X23" s="293" t="str">
        <f>IFERROR(__xludf.DUMMYFUNCTION("""COMPUTED_VALUE"""),"Loser of SF 2")</f>
        <v>Loser of SF 2</v>
      </c>
      <c r="Y23" s="286" t="str">
        <f>IFERROR(__xludf.DUMMYFUNCTION("""COMPUTED_VALUE"""),"")</f>
        <v/>
      </c>
      <c r="Z23" s="248"/>
      <c r="AA23" s="298"/>
      <c r="AB23" s="248"/>
      <c r="AC23" s="248"/>
      <c r="AD23" s="248"/>
      <c r="AE23" s="248"/>
      <c r="AF23" s="248"/>
      <c r="AG23" s="248"/>
      <c r="AH23" s="236"/>
      <c r="AI23" s="236"/>
      <c r="AJ23" s="236"/>
      <c r="AK23" s="236"/>
      <c r="AL23" s="236"/>
      <c r="AM23" s="236"/>
      <c r="AN23" s="236"/>
      <c r="AO23" s="236"/>
      <c r="AP23" s="236"/>
      <c r="AQ23" s="236"/>
      <c r="AR23" s="236"/>
      <c r="AS23" s="236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6"/>
      <c r="BH23" s="236"/>
      <c r="BI23" s="236"/>
      <c r="BJ23" s="236"/>
      <c r="BK23" s="236"/>
      <c r="BL23" s="236"/>
      <c r="BM23" s="236"/>
      <c r="BN23" s="236"/>
      <c r="BO23" s="236"/>
      <c r="BP23" s="236"/>
      <c r="BQ23" s="236"/>
      <c r="BR23" s="236"/>
      <c r="BS23" s="236"/>
      <c r="BT23" s="236"/>
      <c r="BU23" s="236"/>
      <c r="BV23" s="236"/>
      <c r="BW23" s="236"/>
      <c r="BX23" s="236"/>
      <c r="BY23" s="236"/>
      <c r="BZ23" s="236"/>
      <c r="CA23" s="238"/>
      <c r="CB23" s="238"/>
      <c r="CC23" s="238"/>
      <c r="CD23" s="238"/>
      <c r="CE23" s="238"/>
      <c r="CF23" s="236"/>
    </row>
    <row r="24">
      <c r="A24" s="236"/>
      <c r="B24" s="236"/>
      <c r="C24" s="244">
        <f>IFERROR(__xludf.DUMMYFUNCTION("""COMPUTED_VALUE"""),4.0)</f>
        <v>4</v>
      </c>
      <c r="D24" s="245" t="str">
        <f>IFERROR(__xludf.DUMMYFUNCTION("""COMPUTED_VALUE"""),"Vici Gaming")</f>
        <v>Vici Gaming</v>
      </c>
      <c r="E24" s="238"/>
      <c r="F24" s="238"/>
      <c r="G24" s="282"/>
      <c r="H24" s="360" t="str">
        <f>IFERROR(__xludf.DUMMYFUNCTION("""COMPUTED_VALUE"""),"Virtus.pro")</f>
        <v>Virtus.pro</v>
      </c>
      <c r="I24" s="278">
        <f>IFERROR(__xludf.DUMMYFUNCTION("""COMPUTED_VALUE"""),1.0)</f>
        <v>1</v>
      </c>
      <c r="J24" s="290"/>
      <c r="K24" s="248"/>
      <c r="L24" s="260" t="str">
        <f>IFERROR(__xludf.DUMMYFUNCTION("""COMPUTED_VALUE"""),"Survival - R2 - Match 4")</f>
        <v>Survival - R2 - Match 4</v>
      </c>
      <c r="M24" s="248"/>
      <c r="N24" s="248"/>
      <c r="O24" s="248"/>
      <c r="P24" s="248"/>
      <c r="Q24" s="248"/>
      <c r="R24" s="248"/>
      <c r="S24" s="248"/>
      <c r="T24" s="248"/>
      <c r="U24" s="248"/>
      <c r="V24" s="248"/>
      <c r="W24" s="248"/>
      <c r="X24" s="248"/>
      <c r="Y24" s="248"/>
      <c r="Z24" s="248"/>
      <c r="AA24" s="248"/>
      <c r="AB24" s="248"/>
      <c r="AC24" s="248"/>
      <c r="AD24" s="248"/>
      <c r="AE24" s="248"/>
      <c r="AF24" s="248"/>
      <c r="AG24" s="248"/>
      <c r="AH24" s="236"/>
      <c r="AI24" s="236"/>
      <c r="AJ24" s="236"/>
      <c r="AK24" s="236"/>
      <c r="AL24" s="236"/>
      <c r="AM24" s="236"/>
      <c r="AN24" s="236"/>
      <c r="AO24" s="236"/>
      <c r="AP24" s="236"/>
      <c r="AQ24" s="236"/>
      <c r="AR24" s="236"/>
      <c r="AS24" s="236"/>
      <c r="AT24" s="236"/>
      <c r="AU24" s="236"/>
      <c r="AV24" s="236"/>
      <c r="AW24" s="236"/>
      <c r="AX24" s="236"/>
      <c r="AY24" s="236"/>
      <c r="AZ24" s="236"/>
      <c r="BA24" s="236"/>
      <c r="BB24" s="236"/>
      <c r="BC24" s="236"/>
      <c r="BD24" s="236"/>
      <c r="BE24" s="236"/>
      <c r="BF24" s="236"/>
      <c r="BG24" s="236"/>
      <c r="BH24" s="236"/>
      <c r="BI24" s="236"/>
      <c r="BJ24" s="236"/>
      <c r="BK24" s="236"/>
      <c r="BL24" s="236"/>
      <c r="BM24" s="236"/>
      <c r="BN24" s="236"/>
      <c r="BO24" s="236"/>
      <c r="BP24" s="236"/>
      <c r="BQ24" s="236"/>
      <c r="BR24" s="236"/>
      <c r="BS24" s="236"/>
      <c r="BT24" s="236"/>
      <c r="BU24" s="236"/>
      <c r="BV24" s="236"/>
      <c r="BW24" s="236"/>
      <c r="BX24" s="236"/>
      <c r="BY24" s="236"/>
      <c r="BZ24" s="236"/>
      <c r="CA24" s="238"/>
      <c r="CB24" s="238"/>
      <c r="CC24" s="238"/>
      <c r="CD24" s="238"/>
      <c r="CE24" s="238"/>
      <c r="CF24" s="236"/>
    </row>
    <row r="25">
      <c r="A25" s="236"/>
      <c r="B25" s="236"/>
      <c r="C25" s="289">
        <f>IFERROR(__xludf.DUMMYFUNCTION("""COMPUTED_VALUE"""),5.0)</f>
        <v>5</v>
      </c>
      <c r="D25" s="245" t="str">
        <f>IFERROR(__xludf.DUMMYFUNCTION("""COMPUTED_VALUE"""),"REKONIX")</f>
        <v>REKONIX</v>
      </c>
      <c r="E25" s="238"/>
      <c r="F25" s="238"/>
      <c r="G25" s="248"/>
      <c r="H25" s="260" t="str">
        <f>IFERROR(__xludf.DUMMYFUNCTION("""COMPUTED_VALUE"""),"(loser out)")</f>
        <v>(loser out)</v>
      </c>
      <c r="I25" s="248"/>
      <c r="J25" s="291"/>
      <c r="K25" s="292"/>
      <c r="L25" s="293" t="str">
        <f>IFERROR(__xludf.DUMMYFUNCTION("""COMPUTED_VALUE"""),"Aurora Gaming")</f>
        <v>Aurora Gaming</v>
      </c>
      <c r="M25" s="278">
        <f>IFERROR(__xludf.DUMMYFUNCTION("""COMPUTED_VALUE"""),0.0)</f>
        <v>0</v>
      </c>
      <c r="N25" s="294"/>
      <c r="O25" s="295" t="str">
        <f>IFERROR(__xludf.DUMMYFUNCTION("""COMPUTED_VALUE"""),"Rune Eaters")</f>
        <v>Rune Eaters</v>
      </c>
      <c r="P25" s="296" t="str">
        <f>IFERROR(__xludf.DUMMYFUNCTION("""COMPUTED_VALUE"""),"Q")</f>
        <v>Q</v>
      </c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48"/>
      <c r="AE25" s="248"/>
      <c r="AF25" s="248"/>
      <c r="AG25" s="248"/>
      <c r="AH25" s="236"/>
      <c r="AI25" s="236"/>
      <c r="AJ25" s="236"/>
      <c r="AK25" s="236"/>
      <c r="AL25" s="236"/>
      <c r="AM25" s="236"/>
      <c r="AN25" s="236"/>
      <c r="AO25" s="236"/>
      <c r="AP25" s="236"/>
      <c r="AQ25" s="236"/>
      <c r="AR25" s="236"/>
      <c r="AS25" s="236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6"/>
      <c r="BH25" s="236"/>
      <c r="BI25" s="236"/>
      <c r="BJ25" s="236"/>
      <c r="BK25" s="236"/>
      <c r="BL25" s="236"/>
      <c r="BM25" s="236"/>
      <c r="BN25" s="236"/>
      <c r="BO25" s="236"/>
      <c r="BP25" s="236"/>
      <c r="BQ25" s="236"/>
      <c r="BR25" s="236"/>
      <c r="BS25" s="236"/>
      <c r="BT25" s="236"/>
      <c r="BU25" s="236"/>
      <c r="BV25" s="236"/>
      <c r="BW25" s="236"/>
      <c r="BX25" s="236"/>
      <c r="BY25" s="236"/>
      <c r="BZ25" s="236"/>
      <c r="CA25" s="238"/>
      <c r="CB25" s="238"/>
      <c r="CC25" s="238"/>
      <c r="CD25" s="238"/>
      <c r="CE25" s="238"/>
      <c r="CF25" s="236"/>
    </row>
    <row r="26">
      <c r="A26" s="236"/>
      <c r="B26" s="236"/>
      <c r="C26" s="289">
        <f>IFERROR(__xludf.DUMMYFUNCTION("""COMPUTED_VALUE"""),6.0)</f>
        <v>6</v>
      </c>
      <c r="D26" s="245" t="str">
        <f>IFERROR(__xludf.DUMMYFUNCTION("""COMPUTED_VALUE"""),"Team Nemesis")</f>
        <v>Team Nemesis</v>
      </c>
      <c r="E26" s="238"/>
      <c r="F26" s="238"/>
      <c r="G26" s="248"/>
      <c r="H26" s="248"/>
      <c r="I26" s="248"/>
      <c r="J26" s="248"/>
      <c r="K26" s="248"/>
      <c r="L26" s="276" t="str">
        <f>IFERROR(__xludf.DUMMYFUNCTION("""COMPUTED_VALUE"""),"Rune Eaters")</f>
        <v>Rune Eaters</v>
      </c>
      <c r="M26" s="278">
        <f>IFERROR(__xludf.DUMMYFUNCTION("""COMPUTED_VALUE"""),2.0)</f>
        <v>2</v>
      </c>
      <c r="N26" s="248"/>
      <c r="O26" s="298"/>
      <c r="Q26" s="248"/>
      <c r="R26" s="248"/>
      <c r="S26" s="248"/>
      <c r="T26" s="248"/>
      <c r="U26" s="248"/>
      <c r="V26" s="248"/>
      <c r="W26" s="248"/>
      <c r="X26" s="248"/>
      <c r="Y26" s="248"/>
      <c r="Z26" s="248"/>
      <c r="AA26" s="248"/>
      <c r="AB26" s="248"/>
      <c r="AC26" s="248"/>
      <c r="AD26" s="248"/>
      <c r="AE26" s="248"/>
      <c r="AF26" s="248"/>
      <c r="AG26" s="248"/>
      <c r="AH26" s="236"/>
      <c r="AI26" s="236"/>
      <c r="AJ26" s="236"/>
      <c r="AK26" s="236"/>
      <c r="AL26" s="236"/>
      <c r="AM26" s="236"/>
      <c r="AN26" s="236"/>
      <c r="AO26" s="236"/>
      <c r="AP26" s="236"/>
      <c r="AQ26" s="236"/>
      <c r="AR26" s="236"/>
      <c r="AS26" s="236"/>
      <c r="AT26" s="236"/>
      <c r="AU26" s="236"/>
      <c r="AV26" s="236"/>
      <c r="AW26" s="236"/>
      <c r="AX26" s="236"/>
      <c r="AY26" s="236"/>
      <c r="AZ26" s="236"/>
      <c r="BA26" s="236"/>
      <c r="BB26" s="236"/>
      <c r="BC26" s="236"/>
      <c r="BD26" s="236"/>
      <c r="BE26" s="236"/>
      <c r="BF26" s="236"/>
      <c r="BG26" s="236"/>
      <c r="BH26" s="236"/>
      <c r="BI26" s="236"/>
      <c r="BJ26" s="236"/>
      <c r="BK26" s="236"/>
      <c r="BL26" s="236"/>
      <c r="BM26" s="236"/>
      <c r="BN26" s="236"/>
      <c r="BO26" s="236"/>
      <c r="BP26" s="236"/>
      <c r="BQ26" s="236"/>
      <c r="BR26" s="236"/>
      <c r="BS26" s="236"/>
      <c r="BT26" s="236"/>
      <c r="BU26" s="236"/>
      <c r="BV26" s="236"/>
      <c r="BW26" s="236"/>
      <c r="BX26" s="236"/>
      <c r="BY26" s="236"/>
      <c r="BZ26" s="236"/>
      <c r="CA26" s="238"/>
      <c r="CB26" s="238"/>
      <c r="CC26" s="238"/>
      <c r="CD26" s="238"/>
      <c r="CE26" s="238"/>
      <c r="CF26" s="236"/>
    </row>
    <row r="27">
      <c r="A27" s="236"/>
      <c r="B27" s="236"/>
      <c r="C27" s="57"/>
      <c r="D27" s="57"/>
      <c r="E27" s="238"/>
      <c r="F27" s="238"/>
      <c r="G27" s="248"/>
      <c r="H27" s="248"/>
      <c r="I27" s="248"/>
      <c r="J27" s="248"/>
      <c r="K27" s="248"/>
      <c r="L27" s="260" t="str">
        <f>IFERROR(__xludf.DUMMYFUNCTION("""COMPUTED_VALUE"""),"(loser out)")</f>
        <v>(loser out)</v>
      </c>
      <c r="M27" s="248"/>
      <c r="N27" s="248"/>
      <c r="O27" s="248"/>
      <c r="P27" s="248"/>
      <c r="Q27" s="248"/>
      <c r="R27" s="248"/>
      <c r="S27" s="248"/>
      <c r="T27" s="248"/>
      <c r="U27" s="248"/>
      <c r="V27" s="248"/>
      <c r="W27" s="248"/>
      <c r="X27" s="248"/>
      <c r="Y27" s="248"/>
      <c r="Z27" s="248"/>
      <c r="AA27" s="248"/>
      <c r="AB27" s="248"/>
      <c r="AC27" s="248"/>
      <c r="AD27" s="248"/>
      <c r="AE27" s="248"/>
      <c r="AF27" s="248"/>
      <c r="AG27" s="248"/>
      <c r="AH27" s="236"/>
      <c r="AI27" s="236"/>
      <c r="AJ27" s="236"/>
      <c r="AK27" s="236"/>
      <c r="AL27" s="236"/>
      <c r="AM27" s="236"/>
      <c r="AN27" s="236"/>
      <c r="AO27" s="236"/>
      <c r="AP27" s="236"/>
      <c r="AQ27" s="236"/>
      <c r="AR27" s="236"/>
      <c r="AS27" s="236"/>
      <c r="AT27" s="236"/>
      <c r="AU27" s="236"/>
      <c r="AV27" s="236"/>
      <c r="AW27" s="236"/>
      <c r="AX27" s="236"/>
      <c r="AY27" s="236"/>
      <c r="AZ27" s="236"/>
      <c r="BA27" s="236"/>
      <c r="BB27" s="236"/>
      <c r="BC27" s="236"/>
      <c r="BD27" s="236"/>
      <c r="BE27" s="236"/>
      <c r="BF27" s="236"/>
      <c r="BG27" s="236"/>
      <c r="BH27" s="236"/>
      <c r="BI27" s="236"/>
      <c r="BJ27" s="236"/>
      <c r="BK27" s="236"/>
      <c r="BL27" s="236"/>
      <c r="BM27" s="236"/>
      <c r="BN27" s="236"/>
      <c r="BO27" s="236"/>
      <c r="BP27" s="236"/>
      <c r="BQ27" s="236"/>
      <c r="BR27" s="236"/>
      <c r="BS27" s="236"/>
      <c r="BT27" s="236"/>
      <c r="BU27" s="236"/>
      <c r="BV27" s="236"/>
      <c r="BW27" s="236"/>
      <c r="BX27" s="236"/>
      <c r="BY27" s="236"/>
      <c r="BZ27" s="236"/>
      <c r="CA27" s="238"/>
      <c r="CB27" s="238"/>
      <c r="CC27" s="238"/>
      <c r="CD27" s="238"/>
      <c r="CE27" s="238"/>
      <c r="CF27" s="236"/>
    </row>
    <row r="28">
      <c r="A28" s="236"/>
      <c r="B28" s="236"/>
      <c r="C28" s="237" t="str">
        <f>IFERROR(__xludf.DUMMYFUNCTION("""COMPUTED_VALUE"""),"Group D")</f>
        <v>Group D</v>
      </c>
      <c r="D28" s="77"/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363" t="str">
        <f>IFERROR(__xludf.DUMMYFUNCTION("""COMPUTED_VALUE"""),"Group Winners")</f>
        <v>Group Winners</v>
      </c>
      <c r="P28" s="238"/>
      <c r="Q28" s="236"/>
      <c r="R28" s="236"/>
      <c r="S28" s="236"/>
      <c r="T28" s="236"/>
      <c r="U28" s="236"/>
      <c r="V28" s="236"/>
      <c r="W28" s="236"/>
      <c r="X28" s="236"/>
      <c r="Y28" s="236"/>
      <c r="Z28" s="236"/>
      <c r="AA28" s="236"/>
      <c r="AB28" s="236"/>
      <c r="AC28" s="236"/>
      <c r="AD28" s="236"/>
      <c r="AE28" s="236"/>
      <c r="AF28" s="236"/>
      <c r="AG28" s="236"/>
      <c r="AH28" s="236"/>
      <c r="AI28" s="236"/>
      <c r="AJ28" s="236"/>
      <c r="AK28" s="236"/>
      <c r="AL28" s="236"/>
      <c r="AM28" s="236"/>
      <c r="AN28" s="236"/>
      <c r="AO28" s="236"/>
      <c r="AP28" s="236"/>
      <c r="AQ28" s="236"/>
      <c r="AR28" s="236"/>
      <c r="AS28" s="236"/>
      <c r="AT28" s="236"/>
      <c r="AU28" s="236"/>
      <c r="AV28" s="236"/>
      <c r="AW28" s="236"/>
      <c r="AX28" s="236"/>
      <c r="AY28" s="236"/>
      <c r="AZ28" s="236"/>
      <c r="BA28" s="236"/>
      <c r="BB28" s="236"/>
      <c r="BC28" s="236"/>
      <c r="BD28" s="236"/>
      <c r="BE28" s="236"/>
      <c r="BF28" s="236"/>
      <c r="BG28" s="236"/>
      <c r="BH28" s="236"/>
      <c r="BI28" s="236"/>
      <c r="BJ28" s="236"/>
      <c r="BK28" s="236"/>
      <c r="BL28" s="236"/>
      <c r="BM28" s="236"/>
      <c r="BN28" s="236"/>
      <c r="BO28" s="236"/>
      <c r="BP28" s="236"/>
      <c r="BQ28" s="236"/>
      <c r="BR28" s="236"/>
      <c r="BS28" s="236"/>
      <c r="BT28" s="236"/>
      <c r="BU28" s="236"/>
      <c r="BV28" s="236"/>
      <c r="BW28" s="236"/>
      <c r="BX28" s="236"/>
      <c r="BY28" s="236"/>
      <c r="BZ28" s="236"/>
      <c r="CA28" s="238"/>
      <c r="CB28" s="238"/>
      <c r="CC28" s="238"/>
      <c r="CD28" s="238"/>
      <c r="CE28" s="238"/>
      <c r="CF28" s="236"/>
    </row>
    <row r="29">
      <c r="A29" s="236"/>
      <c r="B29" s="236"/>
      <c r="C29" s="244">
        <f>IFERROR(__xludf.DUMMYFUNCTION("""COMPUTED_VALUE"""),1.0)</f>
        <v>1</v>
      </c>
      <c r="D29" s="245" t="str">
        <f>IFERROR(__xludf.DUMMYFUNCTION("""COMPUTED_VALUE"""),"1W")</f>
        <v>1W</v>
      </c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365" t="str">
        <f>IFERROR(__xludf.DUMMYFUNCTION("""COMPUTED_VALUE"""),"BB Team")</f>
        <v>BB Team</v>
      </c>
      <c r="P29" s="366" t="str">
        <f>IFERROR(__xludf.DUMMYFUNCTION("""COMPUTED_VALUE"""),"Q")</f>
        <v>Q</v>
      </c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  <c r="AC29" s="236"/>
      <c r="AD29" s="236"/>
      <c r="AE29" s="236"/>
      <c r="AF29" s="236"/>
      <c r="AG29" s="236"/>
      <c r="AH29" s="236"/>
      <c r="AI29" s="236"/>
      <c r="AJ29" s="236"/>
      <c r="AK29" s="236"/>
      <c r="AL29" s="236"/>
      <c r="AM29" s="236"/>
      <c r="AN29" s="236"/>
      <c r="AO29" s="236"/>
      <c r="AP29" s="236"/>
      <c r="AQ29" s="236"/>
      <c r="AR29" s="236"/>
      <c r="AS29" s="236"/>
      <c r="AT29" s="236"/>
      <c r="AU29" s="236"/>
      <c r="AV29" s="236"/>
      <c r="AW29" s="236"/>
      <c r="AX29" s="236"/>
      <c r="AY29" s="236"/>
      <c r="AZ29" s="236"/>
      <c r="BA29" s="236"/>
      <c r="BB29" s="236"/>
      <c r="BC29" s="236"/>
      <c r="BD29" s="236"/>
      <c r="BE29" s="236"/>
      <c r="BF29" s="236"/>
      <c r="BG29" s="236"/>
      <c r="BH29" s="236"/>
      <c r="BI29" s="236"/>
      <c r="BJ29" s="236"/>
      <c r="BK29" s="236"/>
      <c r="BL29" s="236"/>
      <c r="BM29" s="236"/>
      <c r="BN29" s="236"/>
      <c r="BO29" s="236"/>
      <c r="BP29" s="236"/>
      <c r="BQ29" s="236"/>
      <c r="BR29" s="236"/>
      <c r="BS29" s="236"/>
      <c r="BT29" s="236"/>
      <c r="BU29" s="236"/>
      <c r="BV29" s="236"/>
      <c r="BW29" s="236"/>
      <c r="BX29" s="236"/>
      <c r="BY29" s="236"/>
      <c r="BZ29" s="236"/>
      <c r="CA29" s="238"/>
      <c r="CB29" s="238"/>
      <c r="CC29" s="238"/>
      <c r="CD29" s="238"/>
      <c r="CE29" s="238"/>
      <c r="CF29" s="236"/>
    </row>
    <row r="30">
      <c r="A30" s="236"/>
      <c r="B30" s="236"/>
      <c r="C30" s="244">
        <f>IFERROR(__xludf.DUMMYFUNCTION("""COMPUTED_VALUE"""),2.0)</f>
        <v>2</v>
      </c>
      <c r="D30" s="245" t="str">
        <f>IFERROR(__xludf.DUMMYFUNCTION("""COMPUTED_VALUE"""),"Team Yandex")</f>
        <v>Team Yandex</v>
      </c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365" t="str">
        <f>IFERROR(__xludf.DUMMYFUNCTION("""COMPUTED_VALUE"""),"Vici Gaming")</f>
        <v>Vici Gaming</v>
      </c>
      <c r="P30" s="366" t="str">
        <f>IFERROR(__xludf.DUMMYFUNCTION("""COMPUTED_VALUE"""),"Q")</f>
        <v>Q</v>
      </c>
      <c r="Q30" s="236"/>
      <c r="R30" s="236"/>
      <c r="S30" s="236"/>
      <c r="T30" s="236"/>
      <c r="U30" s="236"/>
      <c r="V30" s="236"/>
      <c r="W30" s="236"/>
      <c r="X30" s="236"/>
      <c r="Y30" s="236"/>
      <c r="Z30" s="236"/>
      <c r="AA30" s="236"/>
      <c r="AB30" s="236"/>
      <c r="AC30" s="236"/>
      <c r="AD30" s="236"/>
      <c r="AE30" s="236"/>
      <c r="AF30" s="236"/>
      <c r="AG30" s="236"/>
      <c r="AH30" s="236"/>
      <c r="AI30" s="236"/>
      <c r="AJ30" s="236"/>
      <c r="AK30" s="236"/>
      <c r="AL30" s="236"/>
      <c r="AM30" s="236"/>
      <c r="AN30" s="236"/>
      <c r="AO30" s="236"/>
      <c r="AP30" s="236"/>
      <c r="AQ30" s="236"/>
      <c r="AR30" s="236"/>
      <c r="AS30" s="236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6"/>
      <c r="BH30" s="236"/>
      <c r="BI30" s="236"/>
      <c r="BJ30" s="236"/>
      <c r="BK30" s="236"/>
      <c r="BL30" s="236"/>
      <c r="BM30" s="236"/>
      <c r="BN30" s="236"/>
      <c r="BO30" s="236"/>
      <c r="BP30" s="236"/>
      <c r="BQ30" s="236"/>
      <c r="BR30" s="236"/>
      <c r="BS30" s="236"/>
      <c r="BT30" s="236"/>
      <c r="BU30" s="236"/>
      <c r="BV30" s="236"/>
      <c r="BW30" s="236"/>
      <c r="BX30" s="236"/>
      <c r="BY30" s="236"/>
      <c r="BZ30" s="236"/>
      <c r="CA30" s="238"/>
      <c r="CB30" s="238"/>
      <c r="CC30" s="238"/>
      <c r="CD30" s="238"/>
      <c r="CE30" s="238"/>
      <c r="CF30" s="236"/>
    </row>
    <row r="31">
      <c r="A31" s="236"/>
      <c r="B31" s="236"/>
      <c r="C31" s="244">
        <f>IFERROR(__xludf.DUMMYFUNCTION("""COMPUTED_VALUE"""),3.0)</f>
        <v>3</v>
      </c>
      <c r="D31" s="245" t="str">
        <f>IFERROR(__xludf.DUMMYFUNCTION("""COMPUTED_VALUE"""),"OG Esports")</f>
        <v>OG Esports</v>
      </c>
      <c r="E31" s="238"/>
      <c r="F31" s="238"/>
      <c r="G31" s="238"/>
      <c r="H31" s="238"/>
      <c r="I31" s="238"/>
      <c r="J31" s="238"/>
      <c r="K31" s="238"/>
      <c r="L31" s="238"/>
      <c r="M31" s="238"/>
      <c r="N31" s="238"/>
      <c r="O31" s="365" t="str">
        <f>IFERROR(__xludf.DUMMYFUNCTION("""COMPUTED_VALUE"""),"Team Spirit")</f>
        <v>Team Spirit</v>
      </c>
      <c r="P31" s="366" t="str">
        <f>IFERROR(__xludf.DUMMYFUNCTION("""COMPUTED_VALUE"""),"Q")</f>
        <v>Q</v>
      </c>
      <c r="Q31" s="236"/>
      <c r="R31" s="236"/>
      <c r="S31" s="236"/>
      <c r="T31" s="236"/>
      <c r="U31" s="236"/>
      <c r="V31" s="236"/>
      <c r="W31" s="236"/>
      <c r="X31" s="236"/>
      <c r="Y31" s="236"/>
      <c r="Z31" s="236"/>
      <c r="AA31" s="236"/>
      <c r="AB31" s="236"/>
      <c r="AC31" s="236"/>
      <c r="AD31" s="236"/>
      <c r="AE31" s="236"/>
      <c r="AF31" s="236"/>
      <c r="AG31" s="236"/>
      <c r="AH31" s="236"/>
      <c r="AI31" s="236"/>
      <c r="AJ31" s="236"/>
      <c r="AK31" s="236"/>
      <c r="AL31" s="236"/>
      <c r="AM31" s="236"/>
      <c r="AN31" s="236"/>
      <c r="AO31" s="236"/>
      <c r="AP31" s="236"/>
      <c r="AQ31" s="236"/>
      <c r="AR31" s="236"/>
      <c r="AS31" s="236"/>
      <c r="AT31" s="236"/>
      <c r="AU31" s="236"/>
      <c r="AV31" s="236"/>
      <c r="AW31" s="236"/>
      <c r="AX31" s="236"/>
      <c r="AY31" s="236"/>
      <c r="AZ31" s="236"/>
      <c r="BA31" s="236"/>
      <c r="BB31" s="236"/>
      <c r="BC31" s="236"/>
      <c r="BD31" s="236"/>
      <c r="BE31" s="236"/>
      <c r="BF31" s="236"/>
      <c r="BG31" s="236"/>
      <c r="BH31" s="236"/>
      <c r="BI31" s="236"/>
      <c r="BJ31" s="236"/>
      <c r="BK31" s="236"/>
      <c r="BL31" s="236"/>
      <c r="BM31" s="236"/>
      <c r="BN31" s="236"/>
      <c r="BO31" s="236"/>
      <c r="BP31" s="236"/>
      <c r="BQ31" s="236"/>
      <c r="BR31" s="236"/>
      <c r="BS31" s="236"/>
      <c r="BT31" s="236"/>
      <c r="BU31" s="236"/>
      <c r="BV31" s="236"/>
      <c r="BW31" s="236"/>
      <c r="BX31" s="236"/>
      <c r="BY31" s="236"/>
      <c r="BZ31" s="236"/>
      <c r="CA31" s="238"/>
      <c r="CB31" s="238"/>
      <c r="CC31" s="238"/>
      <c r="CD31" s="238"/>
      <c r="CE31" s="238"/>
      <c r="CF31" s="236"/>
    </row>
    <row r="32">
      <c r="A32" s="236"/>
      <c r="B32" s="236"/>
      <c r="C32" s="244">
        <f>IFERROR(__xludf.DUMMYFUNCTION("""COMPUTED_VALUE"""),4.0)</f>
        <v>4</v>
      </c>
      <c r="D32" s="376" t="str">
        <f>IFERROR(__xludf.DUMMYFUNCTION("""COMPUTED_VALUE"""),"Virtus.pro")</f>
        <v>Virtus.pro</v>
      </c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368" t="str">
        <f>IFERROR(__xludf.DUMMYFUNCTION("""COMPUTED_VALUE"""),"Rune Eaters")</f>
        <v>Rune Eaters</v>
      </c>
      <c r="P32" s="366" t="str">
        <f>IFERROR(__xludf.DUMMYFUNCTION("""COMPUTED_VALUE"""),"Q")</f>
        <v>Q</v>
      </c>
      <c r="Q32" s="236"/>
      <c r="R32" s="240"/>
      <c r="S32" s="240"/>
      <c r="T32" s="240"/>
      <c r="U32" s="240"/>
      <c r="V32" s="240"/>
      <c r="W32" s="240"/>
      <c r="X32" s="240"/>
      <c r="Y32" s="240"/>
      <c r="Z32" s="240"/>
      <c r="AA32" s="240"/>
      <c r="AB32" s="240"/>
      <c r="AC32" s="240"/>
      <c r="AD32" s="240"/>
      <c r="AE32" s="240"/>
      <c r="AF32" s="240"/>
      <c r="AG32" s="240"/>
      <c r="AH32" s="240"/>
      <c r="AI32" s="240"/>
      <c r="AJ32" s="240"/>
      <c r="AK32" s="240"/>
      <c r="AL32" s="240"/>
      <c r="AM32" s="240"/>
      <c r="AN32" s="240"/>
      <c r="AO32" s="240"/>
      <c r="AP32" s="240"/>
      <c r="AQ32" s="240"/>
      <c r="AR32" s="240"/>
      <c r="AS32" s="240"/>
      <c r="AT32" s="240"/>
      <c r="AU32" s="240"/>
      <c r="AV32" s="240"/>
      <c r="AW32" s="240"/>
      <c r="AX32" s="240"/>
      <c r="AY32" s="240"/>
      <c r="AZ32" s="240"/>
      <c r="BA32" s="240"/>
      <c r="BB32" s="240"/>
      <c r="BC32" s="240"/>
      <c r="BD32" s="240"/>
      <c r="BE32" s="240"/>
      <c r="BF32" s="240"/>
      <c r="BG32" s="240"/>
      <c r="BH32" s="240"/>
      <c r="BI32" s="240"/>
      <c r="BJ32" s="240"/>
      <c r="BK32" s="240"/>
      <c r="BL32" s="240"/>
      <c r="BM32" s="240"/>
      <c r="BN32" s="240"/>
      <c r="BO32" s="240"/>
      <c r="BP32" s="240"/>
      <c r="BQ32" s="240"/>
      <c r="BR32" s="240"/>
      <c r="BS32" s="240"/>
      <c r="BT32" s="240"/>
      <c r="BU32" s="240"/>
      <c r="BV32" s="240"/>
      <c r="BW32" s="240"/>
      <c r="BX32" s="240"/>
      <c r="BY32" s="240"/>
      <c r="BZ32" s="240"/>
      <c r="CA32" s="238"/>
      <c r="CB32" s="238"/>
      <c r="CC32" s="238"/>
      <c r="CD32" s="238"/>
      <c r="CE32" s="238"/>
      <c r="CF32" s="240"/>
    </row>
    <row r="33">
      <c r="A33" s="236"/>
      <c r="B33" s="236"/>
      <c r="C33" s="289">
        <f>IFERROR(__xludf.DUMMYFUNCTION("""COMPUTED_VALUE"""),5.0)</f>
        <v>5</v>
      </c>
      <c r="D33" s="245" t="str">
        <f>IFERROR(__xludf.DUMMYFUNCTION("""COMPUTED_VALUE"""),"LGD Gaming")</f>
        <v>LGD Gaming</v>
      </c>
      <c r="E33" s="238"/>
      <c r="F33" s="238"/>
      <c r="G33" s="238"/>
      <c r="H33" s="238"/>
      <c r="I33" s="238"/>
      <c r="J33" s="238"/>
      <c r="K33" s="238"/>
      <c r="L33" s="238"/>
      <c r="M33" s="238"/>
      <c r="N33" s="238"/>
      <c r="O33" s="238" t="str">
        <f>IFERROR(__xludf.DUMMYFUNCTION("""COMPUTED_VALUE"""),"Team Falcons")</f>
        <v>Team Falcons</v>
      </c>
      <c r="P33" s="238" t="str">
        <f>IFERROR(__xludf.DUMMYFUNCTION("""COMPUTED_VALUE"""),"Q")</f>
        <v>Q</v>
      </c>
      <c r="Q33" s="236"/>
      <c r="R33" s="236"/>
      <c r="S33" s="236"/>
      <c r="T33" s="236"/>
      <c r="U33" s="236"/>
      <c r="V33" s="236"/>
      <c r="W33" s="236"/>
      <c r="X33" s="236"/>
      <c r="Y33" s="236"/>
      <c r="Z33" s="236"/>
      <c r="AA33" s="236"/>
      <c r="AB33" s="236"/>
      <c r="AC33" s="236"/>
      <c r="AD33" s="236"/>
      <c r="AE33" s="236"/>
      <c r="AF33" s="236"/>
      <c r="AG33" s="236"/>
      <c r="AH33" s="236"/>
      <c r="AI33" s="236"/>
      <c r="AJ33" s="236"/>
      <c r="AK33" s="236"/>
      <c r="AL33" s="236"/>
      <c r="AM33" s="236"/>
      <c r="AN33" s="236"/>
      <c r="AO33" s="236"/>
      <c r="AP33" s="236"/>
      <c r="AQ33" s="236"/>
      <c r="AR33" s="236"/>
      <c r="AS33" s="236"/>
      <c r="AT33" s="236"/>
      <c r="AU33" s="236"/>
      <c r="AV33" s="236"/>
      <c r="AW33" s="236"/>
      <c r="AX33" s="236"/>
      <c r="AY33" s="236"/>
      <c r="AZ33" s="236"/>
      <c r="BA33" s="236"/>
      <c r="BB33" s="236"/>
      <c r="BC33" s="236"/>
      <c r="BD33" s="236"/>
      <c r="BE33" s="236"/>
      <c r="BF33" s="236"/>
      <c r="BG33" s="236"/>
      <c r="BH33" s="236"/>
      <c r="BI33" s="236"/>
      <c r="BJ33" s="236"/>
      <c r="BK33" s="236"/>
      <c r="BL33" s="236"/>
      <c r="BM33" s="236"/>
      <c r="BN33" s="236"/>
      <c r="BO33" s="236"/>
      <c r="BP33" s="236"/>
      <c r="BQ33" s="236"/>
      <c r="BR33" s="236"/>
      <c r="BS33" s="236"/>
      <c r="BT33" s="236"/>
      <c r="BU33" s="236"/>
      <c r="BV33" s="236"/>
      <c r="BW33" s="236"/>
      <c r="BX33" s="236"/>
      <c r="BY33" s="236"/>
      <c r="BZ33" s="236"/>
      <c r="CA33" s="238"/>
      <c r="CB33" s="238"/>
      <c r="CC33" s="238"/>
      <c r="CD33" s="238"/>
      <c r="CE33" s="238"/>
      <c r="CF33" s="236"/>
    </row>
    <row r="34">
      <c r="A34" s="236"/>
      <c r="B34" s="236"/>
      <c r="C34" s="289">
        <f>IFERROR(__xludf.DUMMYFUNCTION("""COMPUTED_VALUE"""),6.0)</f>
        <v>6</v>
      </c>
      <c r="D34" s="245" t="str">
        <f>IFERROR(__xludf.DUMMYFUNCTION("""COMPUTED_VALUE"""),"IC  x Insanity")</f>
        <v>IC  x Insanity</v>
      </c>
      <c r="E34" s="238"/>
      <c r="F34" s="374"/>
      <c r="G34" s="374"/>
      <c r="H34" s="374"/>
      <c r="I34" s="374"/>
      <c r="J34" s="374"/>
      <c r="K34" s="374"/>
      <c r="L34" s="374"/>
      <c r="M34" s="374"/>
      <c r="N34" s="374"/>
      <c r="O34" s="374" t="str">
        <f>IFERROR(__xludf.DUMMYFUNCTION("""COMPUTED_VALUE"""),"Nigma Galaxy")</f>
        <v>Nigma Galaxy</v>
      </c>
      <c r="P34" s="375" t="str">
        <f>IFERROR(__xludf.DUMMYFUNCTION("""COMPUTED_VALUE"""),"Q")</f>
        <v>Q</v>
      </c>
      <c r="Q34" s="236"/>
      <c r="R34" s="225"/>
      <c r="S34" s="225"/>
      <c r="T34" s="225"/>
      <c r="U34" s="225"/>
      <c r="V34" s="225"/>
      <c r="W34" s="225"/>
      <c r="X34" s="225"/>
      <c r="Y34" s="225"/>
      <c r="Z34" s="225"/>
      <c r="AA34" s="225"/>
      <c r="AB34" s="225"/>
      <c r="AC34" s="225"/>
      <c r="AD34" s="225"/>
      <c r="AE34" s="225"/>
      <c r="AF34" s="225"/>
      <c r="AG34" s="225"/>
      <c r="AH34" s="225"/>
      <c r="AI34" s="225"/>
      <c r="AJ34" s="225"/>
      <c r="AK34" s="225"/>
      <c r="AL34" s="225"/>
      <c r="AM34" s="225"/>
      <c r="AN34" s="225"/>
      <c r="AO34" s="225"/>
      <c r="AP34" s="225"/>
      <c r="AQ34" s="225"/>
      <c r="AR34" s="225"/>
      <c r="AS34" s="225"/>
      <c r="AT34" s="225"/>
      <c r="AU34" s="225"/>
      <c r="AV34" s="225"/>
      <c r="AW34" s="225"/>
      <c r="AX34" s="225"/>
      <c r="AY34" s="225"/>
      <c r="AZ34" s="225"/>
      <c r="BA34" s="225"/>
      <c r="BB34" s="225"/>
      <c r="BC34" s="225"/>
      <c r="BD34" s="225"/>
      <c r="BE34" s="225"/>
      <c r="BF34" s="225"/>
      <c r="BG34" s="225"/>
      <c r="BH34" s="225"/>
      <c r="BI34" s="225"/>
      <c r="BJ34" s="225"/>
      <c r="BK34" s="225"/>
      <c r="BL34" s="225"/>
      <c r="BM34" s="225"/>
      <c r="BN34" s="225"/>
      <c r="BO34" s="225"/>
      <c r="BP34" s="225"/>
      <c r="BQ34" s="225"/>
      <c r="BR34" s="225"/>
      <c r="BS34" s="225"/>
      <c r="BT34" s="225"/>
      <c r="BU34" s="225"/>
      <c r="BV34" s="225"/>
      <c r="BW34" s="225"/>
      <c r="BX34" s="225"/>
      <c r="BY34" s="225"/>
      <c r="BZ34" s="225"/>
      <c r="CA34" s="148"/>
      <c r="CB34" s="148"/>
      <c r="CC34" s="148"/>
      <c r="CD34" s="148"/>
      <c r="CE34" s="148"/>
      <c r="CF34" s="225"/>
    </row>
    <row r="35">
      <c r="A35" s="236"/>
      <c r="B35" s="236"/>
      <c r="C35" s="236"/>
      <c r="D35" s="238"/>
      <c r="E35" s="238"/>
      <c r="F35" s="374"/>
      <c r="G35" s="374"/>
      <c r="H35" s="374"/>
      <c r="I35" s="374"/>
      <c r="J35" s="374"/>
      <c r="K35" s="374"/>
      <c r="L35" s="374"/>
      <c r="M35" s="374"/>
      <c r="N35" s="374"/>
      <c r="O35" s="374" t="str">
        <f>IFERROR(__xludf.DUMMYFUNCTION("""COMPUTED_VALUE"""),"PVISION")</f>
        <v>PVISION</v>
      </c>
      <c r="P35" s="374" t="str">
        <f>IFERROR(__xludf.DUMMYFUNCTION("""COMPUTED_VALUE"""),"Q")</f>
        <v>Q</v>
      </c>
      <c r="Q35" s="236"/>
      <c r="R35" s="225"/>
      <c r="S35" s="225"/>
      <c r="T35" s="225"/>
      <c r="U35" s="225"/>
      <c r="V35" s="225"/>
      <c r="W35" s="225"/>
      <c r="X35" s="225"/>
      <c r="Y35" s="225"/>
      <c r="Z35" s="225"/>
      <c r="AA35" s="225"/>
      <c r="AB35" s="225"/>
      <c r="AC35" s="225"/>
      <c r="AD35" s="225"/>
      <c r="AE35" s="225"/>
      <c r="AF35" s="225"/>
      <c r="AG35" s="225"/>
      <c r="AH35" s="225"/>
      <c r="AI35" s="225"/>
      <c r="AJ35" s="225"/>
      <c r="AK35" s="225"/>
      <c r="AL35" s="225"/>
      <c r="AM35" s="225"/>
      <c r="AN35" s="225"/>
      <c r="AO35" s="225"/>
      <c r="AP35" s="225"/>
      <c r="AQ35" s="225"/>
      <c r="AR35" s="225"/>
      <c r="AS35" s="225"/>
      <c r="AT35" s="225"/>
      <c r="AU35" s="225"/>
      <c r="AV35" s="225"/>
      <c r="AW35" s="225"/>
      <c r="AX35" s="225"/>
      <c r="AY35" s="225"/>
      <c r="AZ35" s="225"/>
      <c r="BA35" s="225"/>
      <c r="BB35" s="225"/>
      <c r="BC35" s="225"/>
      <c r="BD35" s="225"/>
      <c r="BE35" s="225"/>
      <c r="BF35" s="225"/>
      <c r="BG35" s="225"/>
      <c r="BH35" s="225"/>
      <c r="BI35" s="225"/>
      <c r="BJ35" s="225"/>
      <c r="BK35" s="225"/>
      <c r="BL35" s="225"/>
      <c r="BM35" s="225"/>
      <c r="BN35" s="225"/>
      <c r="BO35" s="225"/>
      <c r="BP35" s="225"/>
      <c r="BQ35" s="225"/>
      <c r="BR35" s="225"/>
      <c r="BS35" s="225"/>
      <c r="BT35" s="225"/>
      <c r="BU35" s="225"/>
      <c r="BV35" s="225"/>
      <c r="BW35" s="225"/>
      <c r="BX35" s="225"/>
      <c r="BY35" s="225"/>
      <c r="BZ35" s="225"/>
      <c r="CA35" s="148"/>
      <c r="CB35" s="148"/>
      <c r="CC35" s="148"/>
      <c r="CD35" s="148"/>
      <c r="CE35" s="148"/>
      <c r="CF35" s="225"/>
    </row>
    <row r="36">
      <c r="A36" s="236"/>
      <c r="B36" s="236"/>
      <c r="C36" s="236"/>
      <c r="D36" s="238"/>
      <c r="E36" s="238"/>
      <c r="F36" s="374"/>
      <c r="G36" s="374"/>
      <c r="H36" s="374"/>
      <c r="I36" s="374"/>
      <c r="J36" s="374"/>
      <c r="K36" s="374"/>
      <c r="L36" s="374"/>
      <c r="M36" s="374"/>
      <c r="N36" s="374"/>
      <c r="O36" s="374" t="str">
        <f>IFERROR(__xludf.DUMMYFUNCTION("""COMPUTED_VALUE"""),"Team Yandex")</f>
        <v>Team Yandex</v>
      </c>
      <c r="P36" s="374" t="str">
        <f>IFERROR(__xludf.DUMMYFUNCTION("""COMPUTED_VALUE"""),"Q")</f>
        <v>Q</v>
      </c>
      <c r="Q36" s="236"/>
      <c r="R36" s="225"/>
      <c r="S36" s="225"/>
      <c r="T36" s="225"/>
      <c r="U36" s="225"/>
      <c r="V36" s="225"/>
      <c r="W36" s="225"/>
      <c r="X36" s="225"/>
      <c r="Y36" s="225"/>
      <c r="Z36" s="225"/>
      <c r="AA36" s="225"/>
      <c r="AB36" s="225"/>
      <c r="AC36" s="225"/>
      <c r="AD36" s="225"/>
      <c r="AE36" s="225"/>
      <c r="AF36" s="225"/>
      <c r="AG36" s="225"/>
      <c r="AH36" s="225"/>
      <c r="AI36" s="225"/>
      <c r="AJ36" s="225"/>
      <c r="AK36" s="225"/>
      <c r="AL36" s="225"/>
      <c r="AM36" s="225"/>
      <c r="AN36" s="225"/>
      <c r="AO36" s="225"/>
      <c r="AP36" s="225"/>
      <c r="AQ36" s="225"/>
      <c r="AR36" s="225"/>
      <c r="AS36" s="225"/>
      <c r="AT36" s="225"/>
      <c r="AU36" s="225"/>
      <c r="AV36" s="225"/>
      <c r="AW36" s="225"/>
      <c r="AX36" s="225"/>
      <c r="AY36" s="225"/>
      <c r="AZ36" s="225"/>
      <c r="BA36" s="225"/>
      <c r="BB36" s="225"/>
      <c r="BC36" s="225"/>
      <c r="BD36" s="225"/>
      <c r="BE36" s="225"/>
      <c r="BF36" s="225"/>
      <c r="BG36" s="225"/>
      <c r="BH36" s="225"/>
      <c r="BI36" s="225"/>
      <c r="BJ36" s="225"/>
      <c r="BK36" s="225"/>
      <c r="BL36" s="225"/>
      <c r="BM36" s="225"/>
      <c r="BN36" s="225"/>
      <c r="BO36" s="225"/>
      <c r="BP36" s="225"/>
      <c r="BQ36" s="225"/>
      <c r="BR36" s="225"/>
      <c r="BS36" s="225"/>
      <c r="BT36" s="225"/>
      <c r="BU36" s="225"/>
      <c r="BV36" s="225"/>
      <c r="BW36" s="225"/>
      <c r="BX36" s="225"/>
      <c r="BY36" s="225"/>
      <c r="BZ36" s="225"/>
      <c r="CA36" s="148"/>
      <c r="CB36" s="148"/>
      <c r="CC36" s="148"/>
      <c r="CD36" s="148"/>
      <c r="CE36" s="148"/>
      <c r="CF36" s="225"/>
    </row>
    <row r="37">
      <c r="A37" s="236"/>
      <c r="B37" s="236"/>
      <c r="C37" s="236"/>
      <c r="D37" s="238"/>
      <c r="E37" s="238"/>
      <c r="F37" s="238"/>
      <c r="G37" s="238"/>
      <c r="H37" s="238"/>
      <c r="I37" s="238"/>
      <c r="J37" s="238"/>
      <c r="K37" s="238"/>
      <c r="L37" s="238"/>
      <c r="M37" s="238"/>
      <c r="N37" s="238"/>
      <c r="O37" s="238"/>
      <c r="P37" s="238"/>
      <c r="Q37" s="236"/>
      <c r="R37" s="236"/>
      <c r="S37" s="236"/>
      <c r="T37" s="236"/>
      <c r="U37" s="236"/>
      <c r="V37" s="236"/>
      <c r="W37" s="236"/>
      <c r="X37" s="236"/>
      <c r="Y37" s="236"/>
      <c r="Z37" s="236"/>
      <c r="AA37" s="236"/>
      <c r="AB37" s="236"/>
      <c r="AC37" s="236"/>
      <c r="AD37" s="236"/>
      <c r="AE37" s="236"/>
      <c r="AF37" s="236"/>
      <c r="AG37" s="236"/>
      <c r="AH37" s="236"/>
      <c r="AI37" s="236"/>
      <c r="AJ37" s="236"/>
      <c r="AK37" s="236"/>
      <c r="AL37" s="236"/>
      <c r="AM37" s="236"/>
      <c r="AN37" s="236"/>
      <c r="AO37" s="236"/>
      <c r="AP37" s="236"/>
      <c r="AQ37" s="236"/>
      <c r="AR37" s="236"/>
      <c r="AS37" s="236"/>
      <c r="AT37" s="236"/>
      <c r="AU37" s="236"/>
      <c r="AV37" s="236"/>
      <c r="AW37" s="236"/>
      <c r="AX37" s="236"/>
      <c r="AY37" s="236"/>
      <c r="AZ37" s="236"/>
      <c r="BA37" s="236"/>
      <c r="BB37" s="236"/>
      <c r="BC37" s="236"/>
      <c r="BD37" s="236"/>
      <c r="BE37" s="236"/>
      <c r="BF37" s="236"/>
      <c r="BG37" s="236"/>
      <c r="BH37" s="236"/>
      <c r="BI37" s="236"/>
      <c r="BJ37" s="236"/>
      <c r="BK37" s="236"/>
      <c r="BL37" s="236"/>
      <c r="BM37" s="236"/>
      <c r="BN37" s="236"/>
      <c r="BO37" s="236"/>
      <c r="BP37" s="236"/>
      <c r="BQ37" s="236"/>
      <c r="BR37" s="236"/>
      <c r="BS37" s="236"/>
      <c r="BT37" s="236"/>
      <c r="BU37" s="236"/>
      <c r="BV37" s="236"/>
      <c r="BW37" s="236"/>
      <c r="BX37" s="236"/>
      <c r="BY37" s="236"/>
      <c r="BZ37" s="236"/>
      <c r="CA37" s="238"/>
      <c r="CB37" s="238"/>
      <c r="CC37" s="238"/>
      <c r="CD37" s="238"/>
      <c r="CE37" s="238"/>
      <c r="CF37" s="236"/>
    </row>
    <row r="38">
      <c r="A38" s="236"/>
      <c r="B38" s="236"/>
      <c r="C38" s="236"/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38"/>
      <c r="O38" s="238"/>
      <c r="P38" s="238"/>
      <c r="Q38" s="236"/>
      <c r="R38" s="236"/>
      <c r="S38" s="236"/>
      <c r="T38" s="236"/>
      <c r="U38" s="236"/>
      <c r="V38" s="236"/>
      <c r="W38" s="236"/>
      <c r="X38" s="236"/>
      <c r="Y38" s="236"/>
      <c r="Z38" s="236"/>
      <c r="AA38" s="236"/>
      <c r="AB38" s="236"/>
      <c r="AC38" s="236"/>
      <c r="AD38" s="236"/>
      <c r="AE38" s="236"/>
      <c r="AF38" s="236"/>
      <c r="AG38" s="236"/>
      <c r="AH38" s="236"/>
      <c r="AI38" s="236"/>
      <c r="AJ38" s="236"/>
      <c r="AK38" s="236"/>
      <c r="AL38" s="236"/>
      <c r="AM38" s="236"/>
      <c r="AN38" s="236"/>
      <c r="AO38" s="236"/>
      <c r="AP38" s="236"/>
      <c r="AQ38" s="236"/>
      <c r="AR38" s="236"/>
      <c r="AS38" s="236"/>
      <c r="AT38" s="236"/>
      <c r="AU38" s="236"/>
      <c r="AV38" s="236"/>
      <c r="AW38" s="236"/>
      <c r="AX38" s="236"/>
      <c r="AY38" s="236"/>
      <c r="AZ38" s="236"/>
      <c r="BA38" s="236"/>
      <c r="BB38" s="236"/>
      <c r="BC38" s="236"/>
      <c r="BD38" s="236"/>
      <c r="BE38" s="236"/>
      <c r="BF38" s="236"/>
      <c r="BG38" s="236"/>
      <c r="BH38" s="236"/>
      <c r="BI38" s="236"/>
      <c r="BJ38" s="236"/>
      <c r="BK38" s="236"/>
      <c r="BL38" s="236"/>
      <c r="BM38" s="236"/>
      <c r="BN38" s="236"/>
      <c r="BO38" s="236"/>
      <c r="BP38" s="236"/>
      <c r="BQ38" s="236"/>
      <c r="BR38" s="236"/>
      <c r="BS38" s="236"/>
      <c r="BT38" s="236"/>
      <c r="BU38" s="236"/>
      <c r="BV38" s="236"/>
      <c r="BW38" s="236"/>
      <c r="BX38" s="236"/>
      <c r="BY38" s="236"/>
      <c r="BZ38" s="236"/>
      <c r="CA38" s="238"/>
      <c r="CB38" s="238"/>
      <c r="CC38" s="238"/>
      <c r="CD38" s="238"/>
      <c r="CE38" s="238"/>
      <c r="CF38" s="236"/>
    </row>
    <row r="39">
      <c r="A39" s="236"/>
      <c r="B39" s="236"/>
      <c r="C39" s="236"/>
      <c r="D39" s="238"/>
      <c r="E39" s="238"/>
      <c r="F39" s="238"/>
      <c r="G39" s="238"/>
      <c r="H39" s="238"/>
      <c r="I39" s="238"/>
      <c r="J39" s="238"/>
      <c r="K39" s="238"/>
      <c r="L39" s="238"/>
      <c r="M39" s="238"/>
      <c r="N39" s="238"/>
      <c r="O39" s="238"/>
      <c r="P39" s="238"/>
      <c r="Q39" s="236"/>
      <c r="R39" s="236"/>
      <c r="S39" s="236"/>
      <c r="T39" s="236"/>
      <c r="U39" s="236"/>
      <c r="V39" s="236"/>
      <c r="W39" s="236"/>
      <c r="X39" s="236"/>
      <c r="Y39" s="236"/>
      <c r="Z39" s="236"/>
      <c r="AA39" s="236"/>
      <c r="AB39" s="236"/>
      <c r="AC39" s="236"/>
      <c r="AD39" s="236"/>
      <c r="AE39" s="236"/>
      <c r="AF39" s="236"/>
      <c r="AG39" s="236"/>
      <c r="AH39" s="236"/>
      <c r="AI39" s="236"/>
      <c r="AJ39" s="236"/>
      <c r="AK39" s="236"/>
      <c r="AL39" s="236"/>
      <c r="AM39" s="236"/>
      <c r="AN39" s="236"/>
      <c r="AO39" s="236"/>
      <c r="AP39" s="236"/>
      <c r="AQ39" s="236"/>
      <c r="AR39" s="236"/>
      <c r="AS39" s="236"/>
      <c r="AT39" s="236"/>
      <c r="AU39" s="236"/>
      <c r="AV39" s="236"/>
      <c r="AW39" s="236"/>
      <c r="AX39" s="236"/>
      <c r="AY39" s="236"/>
      <c r="AZ39" s="236"/>
      <c r="BA39" s="236"/>
      <c r="BB39" s="236"/>
      <c r="BC39" s="236"/>
      <c r="BD39" s="236"/>
      <c r="BE39" s="236"/>
      <c r="BF39" s="236"/>
      <c r="BG39" s="236"/>
      <c r="BH39" s="236"/>
      <c r="BI39" s="236"/>
      <c r="BJ39" s="236"/>
      <c r="BK39" s="236"/>
      <c r="BL39" s="236"/>
      <c r="BM39" s="236"/>
      <c r="BN39" s="236"/>
      <c r="BO39" s="236"/>
      <c r="BP39" s="236"/>
      <c r="BQ39" s="236"/>
      <c r="BR39" s="236"/>
      <c r="BS39" s="236"/>
      <c r="BT39" s="236"/>
      <c r="BU39" s="236"/>
      <c r="BV39" s="236"/>
      <c r="BW39" s="236"/>
      <c r="BX39" s="236"/>
      <c r="BY39" s="236"/>
      <c r="BZ39" s="236"/>
      <c r="CA39" s="238"/>
      <c r="CB39" s="238"/>
      <c r="CC39" s="238"/>
      <c r="CD39" s="238"/>
      <c r="CE39" s="238"/>
      <c r="CF39" s="236"/>
    </row>
    <row r="40">
      <c r="A40" s="236"/>
      <c r="B40" s="236"/>
      <c r="C40" s="236"/>
      <c r="D40" s="238"/>
      <c r="E40" s="238"/>
      <c r="F40" s="238"/>
      <c r="G40" s="238"/>
      <c r="H40" s="238"/>
      <c r="I40" s="238"/>
      <c r="J40" s="238"/>
      <c r="K40" s="238"/>
      <c r="L40" s="238"/>
      <c r="M40" s="238"/>
      <c r="N40" s="238"/>
      <c r="O40" s="238"/>
      <c r="P40" s="238"/>
      <c r="Q40" s="236"/>
      <c r="R40" s="236"/>
      <c r="S40" s="236"/>
      <c r="T40" s="236"/>
      <c r="U40" s="236"/>
      <c r="V40" s="236"/>
      <c r="W40" s="236"/>
      <c r="X40" s="236"/>
      <c r="Y40" s="236"/>
      <c r="Z40" s="236"/>
      <c r="AA40" s="236"/>
      <c r="AB40" s="236"/>
      <c r="AC40" s="236"/>
      <c r="AD40" s="236"/>
      <c r="AE40" s="236"/>
      <c r="AF40" s="236"/>
      <c r="AG40" s="236"/>
      <c r="AH40" s="236"/>
      <c r="AI40" s="236"/>
      <c r="AJ40" s="236"/>
      <c r="AK40" s="236"/>
      <c r="AL40" s="236"/>
      <c r="AM40" s="236"/>
      <c r="AN40" s="236"/>
      <c r="AO40" s="236"/>
      <c r="AP40" s="236"/>
      <c r="AQ40" s="236"/>
      <c r="AR40" s="236"/>
      <c r="AS40" s="236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6"/>
      <c r="BH40" s="236"/>
      <c r="BI40" s="236"/>
      <c r="BJ40" s="236"/>
      <c r="BK40" s="236"/>
      <c r="BL40" s="236"/>
      <c r="BM40" s="236"/>
      <c r="BN40" s="236"/>
      <c r="BO40" s="236"/>
      <c r="BP40" s="236"/>
      <c r="BQ40" s="236"/>
      <c r="BR40" s="236"/>
      <c r="BS40" s="236"/>
      <c r="BT40" s="236"/>
      <c r="BU40" s="236"/>
      <c r="BV40" s="236"/>
      <c r="BW40" s="236"/>
      <c r="BX40" s="236"/>
      <c r="BY40" s="236"/>
      <c r="BZ40" s="236"/>
      <c r="CA40" s="238"/>
      <c r="CB40" s="238"/>
      <c r="CC40" s="238"/>
      <c r="CD40" s="238"/>
      <c r="CE40" s="238"/>
      <c r="CF40" s="236"/>
    </row>
    <row r="41">
      <c r="A41" s="236"/>
      <c r="B41" s="236"/>
      <c r="C41" s="236"/>
      <c r="D41" s="238"/>
      <c r="E41" s="238"/>
      <c r="F41" s="238"/>
      <c r="G41" s="238"/>
      <c r="H41" s="238"/>
      <c r="I41" s="238"/>
      <c r="J41" s="238"/>
      <c r="K41" s="238"/>
      <c r="L41" s="238"/>
      <c r="M41" s="238"/>
      <c r="N41" s="238"/>
      <c r="O41" s="238"/>
      <c r="P41" s="238"/>
      <c r="Q41" s="236"/>
      <c r="R41" s="236"/>
      <c r="S41" s="236"/>
      <c r="T41" s="236"/>
      <c r="U41" s="236"/>
      <c r="V41" s="236"/>
      <c r="W41" s="236"/>
      <c r="X41" s="236"/>
      <c r="Y41" s="236"/>
      <c r="Z41" s="236"/>
      <c r="AA41" s="236"/>
      <c r="AB41" s="236"/>
      <c r="AC41" s="236"/>
      <c r="AD41" s="236"/>
      <c r="AE41" s="236"/>
      <c r="AF41" s="236"/>
      <c r="AG41" s="236"/>
      <c r="AH41" s="236"/>
      <c r="AI41" s="236"/>
      <c r="AJ41" s="236"/>
      <c r="AK41" s="236"/>
      <c r="AL41" s="236"/>
      <c r="AM41" s="236"/>
      <c r="AN41" s="236"/>
      <c r="AO41" s="236"/>
      <c r="AP41" s="236"/>
      <c r="AQ41" s="236"/>
      <c r="AR41" s="236"/>
      <c r="AS41" s="236"/>
      <c r="AT41" s="236"/>
      <c r="AU41" s="236"/>
      <c r="AV41" s="236"/>
      <c r="AW41" s="236"/>
      <c r="AX41" s="236"/>
      <c r="AY41" s="236"/>
      <c r="AZ41" s="236"/>
      <c r="BA41" s="236"/>
      <c r="BB41" s="236"/>
      <c r="BC41" s="236"/>
      <c r="BD41" s="236"/>
      <c r="BE41" s="236"/>
      <c r="BF41" s="236"/>
      <c r="BG41" s="236"/>
      <c r="BH41" s="236"/>
      <c r="BI41" s="236"/>
      <c r="BJ41" s="236"/>
      <c r="BK41" s="236"/>
      <c r="BL41" s="236"/>
      <c r="BM41" s="236"/>
      <c r="BN41" s="236"/>
      <c r="BO41" s="236"/>
      <c r="BP41" s="236"/>
      <c r="BQ41" s="236"/>
      <c r="BR41" s="236"/>
      <c r="BS41" s="236"/>
      <c r="BT41" s="236"/>
      <c r="BU41" s="236"/>
      <c r="BV41" s="236"/>
      <c r="BW41" s="236"/>
      <c r="BX41" s="236"/>
      <c r="BY41" s="236"/>
      <c r="BZ41" s="236"/>
      <c r="CA41" s="238"/>
      <c r="CB41" s="238"/>
      <c r="CC41" s="238"/>
      <c r="CD41" s="238"/>
      <c r="CE41" s="238"/>
      <c r="CF41" s="236"/>
    </row>
    <row r="42">
      <c r="A42" s="236"/>
      <c r="B42" s="236"/>
      <c r="C42" s="236"/>
      <c r="D42" s="238"/>
      <c r="E42" s="238"/>
      <c r="F42" s="238"/>
      <c r="G42" s="238"/>
      <c r="H42" s="238"/>
      <c r="I42" s="238"/>
      <c r="J42" s="238"/>
      <c r="K42" s="238"/>
      <c r="L42" s="238"/>
      <c r="M42" s="238"/>
      <c r="N42" s="238"/>
      <c r="O42" s="238"/>
      <c r="P42" s="238"/>
      <c r="Q42" s="236"/>
      <c r="R42" s="236"/>
      <c r="S42" s="236"/>
      <c r="T42" s="236"/>
      <c r="U42" s="236"/>
      <c r="V42" s="236"/>
      <c r="W42" s="236"/>
      <c r="X42" s="236"/>
      <c r="Y42" s="236"/>
      <c r="Z42" s="236"/>
      <c r="AA42" s="236"/>
      <c r="AB42" s="236"/>
      <c r="AC42" s="236"/>
      <c r="AD42" s="236"/>
      <c r="AE42" s="236"/>
      <c r="AF42" s="236"/>
      <c r="AG42" s="236"/>
      <c r="AH42" s="236"/>
      <c r="AI42" s="236"/>
      <c r="AJ42" s="236"/>
      <c r="AK42" s="236"/>
      <c r="AL42" s="236"/>
      <c r="AM42" s="236"/>
      <c r="AN42" s="236"/>
      <c r="AO42" s="236"/>
      <c r="AP42" s="236"/>
      <c r="AQ42" s="236"/>
      <c r="AR42" s="236"/>
      <c r="AS42" s="236"/>
      <c r="AT42" s="236"/>
      <c r="AU42" s="236"/>
      <c r="AV42" s="236"/>
      <c r="AW42" s="236"/>
      <c r="AX42" s="236"/>
      <c r="AY42" s="236"/>
      <c r="AZ42" s="236"/>
      <c r="BA42" s="236"/>
      <c r="BB42" s="236"/>
      <c r="BC42" s="236"/>
      <c r="BD42" s="236"/>
      <c r="BE42" s="236"/>
      <c r="BF42" s="236"/>
      <c r="BG42" s="236"/>
      <c r="BH42" s="236"/>
      <c r="BI42" s="236"/>
      <c r="BJ42" s="236"/>
      <c r="BK42" s="236"/>
      <c r="BL42" s="236"/>
      <c r="BM42" s="236"/>
      <c r="BN42" s="236"/>
      <c r="BO42" s="236"/>
      <c r="BP42" s="236"/>
      <c r="BQ42" s="236"/>
      <c r="BR42" s="236"/>
      <c r="BS42" s="236"/>
      <c r="BT42" s="236"/>
      <c r="BU42" s="236"/>
      <c r="BV42" s="236"/>
      <c r="BW42" s="236"/>
      <c r="BX42" s="236"/>
      <c r="BY42" s="236"/>
      <c r="BZ42" s="236"/>
      <c r="CA42" s="238"/>
      <c r="CB42" s="238"/>
      <c r="CC42" s="238"/>
      <c r="CD42" s="238"/>
      <c r="CE42" s="238"/>
      <c r="CF42" s="236"/>
    </row>
    <row r="43">
      <c r="A43" s="236"/>
      <c r="B43" s="236"/>
      <c r="C43" s="236"/>
      <c r="D43" s="238"/>
      <c r="E43" s="238"/>
      <c r="F43" s="238"/>
      <c r="G43" s="238"/>
      <c r="H43" s="238"/>
      <c r="I43" s="238"/>
      <c r="J43" s="238"/>
      <c r="K43" s="238"/>
      <c r="L43" s="238"/>
      <c r="M43" s="238"/>
      <c r="N43" s="238"/>
      <c r="O43" s="238"/>
      <c r="P43" s="238"/>
      <c r="Q43" s="236"/>
      <c r="R43" s="236"/>
      <c r="S43" s="236"/>
      <c r="T43" s="236"/>
      <c r="U43" s="236"/>
      <c r="V43" s="236"/>
      <c r="W43" s="236"/>
      <c r="X43" s="236"/>
      <c r="Y43" s="236"/>
      <c r="Z43" s="236"/>
      <c r="AA43" s="236"/>
      <c r="AB43" s="236"/>
      <c r="AC43" s="236"/>
      <c r="AD43" s="236"/>
      <c r="AE43" s="236"/>
      <c r="AF43" s="236"/>
      <c r="AG43" s="236"/>
      <c r="AH43" s="236"/>
      <c r="AI43" s="236"/>
      <c r="AJ43" s="236"/>
      <c r="AK43" s="236"/>
      <c r="AL43" s="236"/>
      <c r="AM43" s="236"/>
      <c r="AN43" s="236"/>
      <c r="AO43" s="236"/>
      <c r="AP43" s="236"/>
      <c r="AQ43" s="236"/>
      <c r="AR43" s="236"/>
      <c r="AS43" s="236"/>
      <c r="AT43" s="236"/>
      <c r="AU43" s="236"/>
      <c r="AV43" s="236"/>
      <c r="AW43" s="236"/>
      <c r="AX43" s="236"/>
      <c r="AY43" s="236"/>
      <c r="AZ43" s="236"/>
      <c r="BA43" s="236"/>
      <c r="BB43" s="236"/>
      <c r="BC43" s="236"/>
      <c r="BD43" s="236"/>
      <c r="BE43" s="236"/>
      <c r="BF43" s="236"/>
      <c r="BG43" s="236"/>
      <c r="BH43" s="236"/>
      <c r="BI43" s="236"/>
      <c r="BJ43" s="236"/>
      <c r="BK43" s="236"/>
      <c r="BL43" s="236"/>
      <c r="BM43" s="236"/>
      <c r="BN43" s="236"/>
      <c r="BO43" s="236"/>
      <c r="BP43" s="236"/>
      <c r="BQ43" s="236"/>
      <c r="BR43" s="236"/>
      <c r="BS43" s="236"/>
      <c r="BT43" s="236"/>
      <c r="BU43" s="236"/>
      <c r="BV43" s="236"/>
      <c r="BW43" s="236"/>
      <c r="BX43" s="236"/>
      <c r="BY43" s="236"/>
      <c r="BZ43" s="236"/>
      <c r="CA43" s="238"/>
      <c r="CB43" s="238"/>
      <c r="CC43" s="238"/>
      <c r="CD43" s="238"/>
      <c r="CE43" s="238"/>
      <c r="CF43" s="236"/>
    </row>
    <row r="44">
      <c r="A44" s="236"/>
      <c r="B44" s="236"/>
      <c r="C44" s="236"/>
      <c r="D44" s="238"/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8"/>
      <c r="P44" s="238"/>
      <c r="Q44" s="236"/>
      <c r="R44" s="236"/>
      <c r="S44" s="236"/>
      <c r="T44" s="236"/>
      <c r="U44" s="236"/>
      <c r="V44" s="236"/>
      <c r="W44" s="236"/>
      <c r="X44" s="236"/>
      <c r="Y44" s="236"/>
      <c r="Z44" s="236"/>
      <c r="AA44" s="236"/>
      <c r="AB44" s="236"/>
      <c r="AC44" s="236"/>
      <c r="AD44" s="236"/>
      <c r="AE44" s="236"/>
      <c r="AF44" s="236"/>
      <c r="AG44" s="236"/>
      <c r="AH44" s="236"/>
      <c r="AI44" s="236"/>
      <c r="AJ44" s="236"/>
      <c r="AK44" s="236"/>
      <c r="AL44" s="236"/>
      <c r="AM44" s="236"/>
      <c r="AN44" s="236"/>
      <c r="AO44" s="236"/>
      <c r="AP44" s="236"/>
      <c r="AQ44" s="236"/>
      <c r="AR44" s="236"/>
      <c r="AS44" s="236"/>
      <c r="AT44" s="236"/>
      <c r="AU44" s="236"/>
      <c r="AV44" s="236"/>
      <c r="AW44" s="236"/>
      <c r="AX44" s="236"/>
      <c r="AY44" s="236"/>
      <c r="AZ44" s="236"/>
      <c r="BA44" s="236"/>
      <c r="BB44" s="236"/>
      <c r="BC44" s="236"/>
      <c r="BD44" s="236"/>
      <c r="BE44" s="236"/>
      <c r="BF44" s="236"/>
      <c r="BG44" s="236"/>
      <c r="BH44" s="236"/>
      <c r="BI44" s="236"/>
      <c r="BJ44" s="236"/>
      <c r="BK44" s="236"/>
      <c r="BL44" s="236"/>
      <c r="BM44" s="236"/>
      <c r="BN44" s="236"/>
      <c r="BO44" s="236"/>
      <c r="BP44" s="236"/>
      <c r="BQ44" s="236"/>
      <c r="BR44" s="236"/>
      <c r="BS44" s="236"/>
      <c r="BT44" s="236"/>
      <c r="BU44" s="236"/>
      <c r="BV44" s="236"/>
      <c r="BW44" s="236"/>
      <c r="BX44" s="236"/>
      <c r="BY44" s="236"/>
      <c r="BZ44" s="236"/>
      <c r="CA44" s="238"/>
      <c r="CB44" s="238"/>
      <c r="CC44" s="238"/>
      <c r="CD44" s="238"/>
      <c r="CE44" s="238"/>
      <c r="CF44" s="236"/>
    </row>
    <row r="45">
      <c r="A45" s="236"/>
      <c r="B45" s="236"/>
      <c r="C45" s="236"/>
      <c r="D45" s="238"/>
      <c r="E45" s="238"/>
      <c r="F45" s="238"/>
      <c r="G45" s="238"/>
      <c r="H45" s="238"/>
      <c r="I45" s="238"/>
      <c r="J45" s="238"/>
      <c r="K45" s="238"/>
      <c r="L45" s="238"/>
      <c r="M45" s="238"/>
      <c r="N45" s="238"/>
      <c r="O45" s="238"/>
      <c r="P45" s="238"/>
      <c r="Q45" s="236"/>
      <c r="R45" s="236"/>
      <c r="S45" s="236"/>
      <c r="T45" s="236"/>
      <c r="U45" s="236"/>
      <c r="V45" s="236"/>
      <c r="W45" s="236"/>
      <c r="X45" s="236"/>
      <c r="Y45" s="236"/>
      <c r="Z45" s="236"/>
      <c r="AA45" s="236"/>
      <c r="AB45" s="236"/>
      <c r="AC45" s="236"/>
      <c r="AD45" s="236"/>
      <c r="AE45" s="236"/>
      <c r="AF45" s="236"/>
      <c r="AG45" s="236"/>
      <c r="AH45" s="236"/>
      <c r="AI45" s="236"/>
      <c r="AJ45" s="236"/>
      <c r="AK45" s="236"/>
      <c r="AL45" s="236"/>
      <c r="AM45" s="236"/>
      <c r="AN45" s="236"/>
      <c r="AO45" s="236"/>
      <c r="AP45" s="236"/>
      <c r="AQ45" s="236"/>
      <c r="AR45" s="236"/>
      <c r="AS45" s="236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36"/>
      <c r="BG45" s="236"/>
      <c r="BH45" s="236"/>
      <c r="BI45" s="236"/>
      <c r="BJ45" s="236"/>
      <c r="BK45" s="236"/>
      <c r="BL45" s="236"/>
      <c r="BM45" s="236"/>
      <c r="BN45" s="236"/>
      <c r="BO45" s="236"/>
      <c r="BP45" s="236"/>
      <c r="BQ45" s="236"/>
      <c r="BR45" s="236"/>
      <c r="BS45" s="236"/>
      <c r="BT45" s="236"/>
      <c r="BU45" s="236"/>
      <c r="BV45" s="236"/>
      <c r="BW45" s="236"/>
      <c r="BX45" s="236"/>
      <c r="BY45" s="236"/>
      <c r="BZ45" s="236"/>
      <c r="CA45" s="238"/>
      <c r="CB45" s="238"/>
      <c r="CC45" s="238"/>
      <c r="CD45" s="238"/>
      <c r="CE45" s="238"/>
      <c r="CF45" s="236"/>
    </row>
    <row r="46">
      <c r="A46" s="236"/>
      <c r="B46" s="236"/>
      <c r="C46" s="236"/>
      <c r="D46" s="238"/>
      <c r="E46" s="238"/>
      <c r="F46" s="238"/>
      <c r="G46" s="238"/>
      <c r="H46" s="238"/>
      <c r="I46" s="238"/>
      <c r="J46" s="238"/>
      <c r="K46" s="238"/>
      <c r="L46" s="238"/>
      <c r="M46" s="238"/>
      <c r="N46" s="238"/>
      <c r="O46" s="238"/>
      <c r="P46" s="238"/>
      <c r="Q46" s="236"/>
      <c r="R46" s="236"/>
      <c r="S46" s="236"/>
      <c r="T46" s="236"/>
      <c r="U46" s="236"/>
      <c r="V46" s="236"/>
      <c r="W46" s="236"/>
      <c r="X46" s="236"/>
      <c r="Y46" s="236"/>
      <c r="Z46" s="236"/>
      <c r="AA46" s="236"/>
      <c r="AB46" s="236"/>
      <c r="AC46" s="236"/>
      <c r="AD46" s="236"/>
      <c r="AE46" s="236"/>
      <c r="AF46" s="236"/>
      <c r="AG46" s="236"/>
      <c r="AH46" s="236"/>
      <c r="AI46" s="236"/>
      <c r="AJ46" s="236"/>
      <c r="AK46" s="236"/>
      <c r="AL46" s="236"/>
      <c r="AM46" s="236"/>
      <c r="AN46" s="236"/>
      <c r="AO46" s="236"/>
      <c r="AP46" s="236"/>
      <c r="AQ46" s="236"/>
      <c r="AR46" s="236"/>
      <c r="AS46" s="236"/>
      <c r="AT46" s="236"/>
      <c r="AU46" s="236"/>
      <c r="AV46" s="236"/>
      <c r="AW46" s="236"/>
      <c r="AX46" s="236"/>
      <c r="AY46" s="236"/>
      <c r="AZ46" s="236"/>
      <c r="BA46" s="236"/>
      <c r="BB46" s="236"/>
      <c r="BC46" s="236"/>
      <c r="BD46" s="236"/>
      <c r="BE46" s="236"/>
      <c r="BF46" s="236"/>
      <c r="BG46" s="236"/>
      <c r="BH46" s="236"/>
      <c r="BI46" s="236"/>
      <c r="BJ46" s="236"/>
      <c r="BK46" s="236"/>
      <c r="BL46" s="236"/>
      <c r="BM46" s="236"/>
      <c r="BN46" s="236"/>
      <c r="BO46" s="236"/>
      <c r="BP46" s="236"/>
      <c r="BQ46" s="236"/>
      <c r="BR46" s="236"/>
      <c r="BS46" s="236"/>
      <c r="BT46" s="236"/>
      <c r="BU46" s="236"/>
      <c r="BV46" s="236"/>
      <c r="BW46" s="236"/>
      <c r="BX46" s="236"/>
      <c r="BY46" s="236"/>
      <c r="BZ46" s="236"/>
      <c r="CA46" s="238"/>
      <c r="CB46" s="238"/>
      <c r="CC46" s="238"/>
      <c r="CD46" s="238"/>
      <c r="CE46" s="238"/>
      <c r="CF46" s="236"/>
    </row>
    <row r="47">
      <c r="A47" s="236"/>
      <c r="B47" s="236"/>
      <c r="C47" s="236"/>
      <c r="D47" s="238"/>
      <c r="E47" s="238"/>
      <c r="F47" s="238"/>
      <c r="G47" s="238"/>
      <c r="H47" s="238"/>
      <c r="I47" s="238"/>
      <c r="J47" s="238"/>
      <c r="K47" s="238"/>
      <c r="L47" s="238"/>
      <c r="M47" s="238"/>
      <c r="N47" s="238"/>
      <c r="O47" s="238"/>
      <c r="P47" s="238"/>
      <c r="Q47" s="236"/>
      <c r="R47" s="236"/>
      <c r="S47" s="236"/>
      <c r="T47" s="236"/>
      <c r="U47" s="236"/>
      <c r="V47" s="236"/>
      <c r="W47" s="236"/>
      <c r="X47" s="236"/>
      <c r="Y47" s="236"/>
      <c r="Z47" s="236"/>
      <c r="AA47" s="236"/>
      <c r="AB47" s="236"/>
      <c r="AC47" s="236"/>
      <c r="AD47" s="236"/>
      <c r="AE47" s="236"/>
      <c r="AF47" s="236"/>
      <c r="AG47" s="236"/>
      <c r="AH47" s="236"/>
      <c r="AI47" s="236"/>
      <c r="AJ47" s="236"/>
      <c r="AK47" s="236"/>
      <c r="AL47" s="236"/>
      <c r="AM47" s="236"/>
      <c r="AN47" s="236"/>
      <c r="AO47" s="236"/>
      <c r="AP47" s="236"/>
      <c r="AQ47" s="236"/>
      <c r="AR47" s="236"/>
      <c r="AS47" s="236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6"/>
      <c r="BH47" s="236"/>
      <c r="BI47" s="236"/>
      <c r="BJ47" s="236"/>
      <c r="BK47" s="236"/>
      <c r="BL47" s="236"/>
      <c r="BM47" s="236"/>
      <c r="BN47" s="236"/>
      <c r="BO47" s="236"/>
      <c r="BP47" s="236"/>
      <c r="BQ47" s="236"/>
      <c r="BR47" s="236"/>
      <c r="BS47" s="236"/>
      <c r="BT47" s="236"/>
      <c r="BU47" s="236"/>
      <c r="BV47" s="236"/>
      <c r="BW47" s="236"/>
      <c r="BX47" s="236"/>
      <c r="BY47" s="236"/>
      <c r="BZ47" s="236"/>
      <c r="CA47" s="238"/>
      <c r="CB47" s="238"/>
      <c r="CC47" s="238"/>
      <c r="CD47" s="238"/>
      <c r="CE47" s="238"/>
      <c r="CF47" s="236"/>
    </row>
    <row r="48">
      <c r="A48" s="236"/>
      <c r="B48" s="236"/>
      <c r="C48" s="236"/>
      <c r="D48" s="238"/>
      <c r="E48" s="238"/>
      <c r="F48" s="238"/>
      <c r="G48" s="238"/>
      <c r="H48" s="238"/>
      <c r="I48" s="238"/>
      <c r="J48" s="238"/>
      <c r="K48" s="238"/>
      <c r="L48" s="238"/>
      <c r="M48" s="238"/>
      <c r="N48" s="238"/>
      <c r="O48" s="238"/>
      <c r="P48" s="238"/>
      <c r="Q48" s="236"/>
      <c r="R48" s="240"/>
      <c r="S48" s="240"/>
      <c r="T48" s="240"/>
      <c r="U48" s="240"/>
      <c r="V48" s="240"/>
      <c r="W48" s="240"/>
      <c r="X48" s="240"/>
      <c r="Y48" s="240"/>
      <c r="Z48" s="240"/>
      <c r="AA48" s="240"/>
      <c r="AB48" s="240"/>
      <c r="AC48" s="240"/>
      <c r="AD48" s="240"/>
      <c r="AE48" s="240"/>
      <c r="AF48" s="240"/>
      <c r="AG48" s="240"/>
      <c r="AH48" s="240"/>
      <c r="AI48" s="240"/>
      <c r="AJ48" s="240"/>
      <c r="AK48" s="240"/>
      <c r="AL48" s="240"/>
      <c r="AM48" s="240"/>
      <c r="AN48" s="240"/>
      <c r="AO48" s="240"/>
      <c r="AP48" s="240"/>
      <c r="AQ48" s="240"/>
      <c r="AR48" s="240"/>
      <c r="AS48" s="240"/>
      <c r="AT48" s="240"/>
      <c r="AU48" s="240"/>
      <c r="AV48" s="240"/>
      <c r="AW48" s="240"/>
      <c r="AX48" s="240"/>
      <c r="AY48" s="240"/>
      <c r="AZ48" s="240"/>
      <c r="BA48" s="240"/>
      <c r="BB48" s="240"/>
      <c r="BC48" s="240"/>
      <c r="BD48" s="240"/>
      <c r="BE48" s="240"/>
      <c r="BF48" s="240"/>
      <c r="BG48" s="240"/>
      <c r="BH48" s="240"/>
      <c r="BI48" s="240"/>
      <c r="BJ48" s="240"/>
      <c r="BK48" s="240"/>
      <c r="BL48" s="240"/>
      <c r="BM48" s="240"/>
      <c r="BN48" s="240"/>
      <c r="BO48" s="240"/>
      <c r="BP48" s="240"/>
      <c r="BQ48" s="240"/>
      <c r="BR48" s="240"/>
      <c r="BS48" s="240"/>
      <c r="BT48" s="240"/>
      <c r="BU48" s="240"/>
      <c r="BV48" s="240"/>
      <c r="BW48" s="240"/>
      <c r="BX48" s="240"/>
      <c r="BY48" s="240"/>
      <c r="BZ48" s="240"/>
      <c r="CA48" s="238"/>
      <c r="CB48" s="238"/>
      <c r="CC48" s="238"/>
      <c r="CD48" s="238"/>
      <c r="CE48" s="238"/>
      <c r="CF48" s="240"/>
    </row>
    <row r="49">
      <c r="A49" s="236"/>
      <c r="B49" s="236"/>
      <c r="C49" s="236"/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8"/>
      <c r="P49" s="238"/>
      <c r="Q49" s="236"/>
      <c r="R49" s="240"/>
      <c r="S49" s="240"/>
      <c r="T49" s="240"/>
      <c r="U49" s="240"/>
      <c r="V49" s="240"/>
      <c r="W49" s="240"/>
      <c r="X49" s="240"/>
      <c r="Y49" s="240"/>
      <c r="Z49" s="240"/>
      <c r="AA49" s="240"/>
      <c r="AB49" s="240"/>
      <c r="AC49" s="240"/>
      <c r="AD49" s="240"/>
      <c r="AE49" s="240"/>
      <c r="AF49" s="240"/>
      <c r="AG49" s="240"/>
      <c r="AH49" s="240"/>
      <c r="AI49" s="240"/>
      <c r="AJ49" s="240"/>
      <c r="AK49" s="240"/>
      <c r="AL49" s="240"/>
      <c r="AM49" s="240"/>
      <c r="AN49" s="240"/>
      <c r="AO49" s="240"/>
      <c r="AP49" s="240"/>
      <c r="AQ49" s="240"/>
      <c r="AR49" s="240"/>
      <c r="AS49" s="240"/>
      <c r="AT49" s="240"/>
      <c r="AU49" s="240"/>
      <c r="AV49" s="240"/>
      <c r="AW49" s="240"/>
      <c r="AX49" s="240"/>
      <c r="AY49" s="240"/>
      <c r="AZ49" s="240"/>
      <c r="BA49" s="240"/>
      <c r="BB49" s="240"/>
      <c r="BC49" s="240"/>
      <c r="BD49" s="240"/>
      <c r="BE49" s="240"/>
      <c r="BF49" s="240"/>
      <c r="BG49" s="240"/>
      <c r="BH49" s="240"/>
      <c r="BI49" s="240"/>
      <c r="BJ49" s="240"/>
      <c r="BK49" s="240"/>
      <c r="BL49" s="240"/>
      <c r="BM49" s="240"/>
      <c r="BN49" s="240"/>
      <c r="BO49" s="240"/>
      <c r="BP49" s="240"/>
      <c r="BQ49" s="240"/>
      <c r="BR49" s="240"/>
      <c r="BS49" s="240"/>
      <c r="BT49" s="240"/>
      <c r="BU49" s="240"/>
      <c r="BV49" s="240"/>
      <c r="BW49" s="240"/>
      <c r="BX49" s="240"/>
      <c r="BY49" s="240"/>
      <c r="BZ49" s="240"/>
      <c r="CA49" s="238"/>
      <c r="CB49" s="238"/>
      <c r="CC49" s="238"/>
      <c r="CD49" s="238"/>
      <c r="CE49" s="238"/>
      <c r="CF49" s="240"/>
    </row>
    <row r="50">
      <c r="A50" s="236"/>
      <c r="B50" s="236"/>
      <c r="C50" s="236"/>
      <c r="D50" s="238"/>
      <c r="E50" s="238"/>
      <c r="F50" s="238"/>
      <c r="G50" s="238"/>
      <c r="H50" s="238"/>
      <c r="I50" s="238"/>
      <c r="J50" s="238"/>
      <c r="K50" s="238"/>
      <c r="L50" s="238"/>
      <c r="M50" s="238"/>
      <c r="N50" s="238"/>
      <c r="O50" s="238"/>
      <c r="P50" s="238"/>
      <c r="Q50" s="236"/>
      <c r="R50" s="240"/>
      <c r="S50" s="240"/>
      <c r="T50" s="240"/>
      <c r="U50" s="240"/>
      <c r="V50" s="240"/>
      <c r="W50" s="240"/>
      <c r="X50" s="240"/>
      <c r="Y50" s="240"/>
      <c r="Z50" s="240"/>
      <c r="AA50" s="240"/>
      <c r="AB50" s="240"/>
      <c r="AC50" s="240"/>
      <c r="AD50" s="240"/>
      <c r="AE50" s="240"/>
      <c r="AF50" s="240"/>
      <c r="AG50" s="240"/>
      <c r="AH50" s="240"/>
      <c r="AI50" s="240"/>
      <c r="AJ50" s="240"/>
      <c r="AK50" s="240"/>
      <c r="AL50" s="240"/>
      <c r="AM50" s="240"/>
      <c r="AN50" s="240"/>
      <c r="AO50" s="240"/>
      <c r="AP50" s="240"/>
      <c r="AQ50" s="240"/>
      <c r="AR50" s="240"/>
      <c r="AS50" s="240"/>
      <c r="AT50" s="240"/>
      <c r="AU50" s="240"/>
      <c r="AV50" s="240"/>
      <c r="AW50" s="240"/>
      <c r="AX50" s="240"/>
      <c r="AY50" s="240"/>
      <c r="AZ50" s="240"/>
      <c r="BA50" s="240"/>
      <c r="BB50" s="240"/>
      <c r="BC50" s="240"/>
      <c r="BD50" s="240"/>
      <c r="BE50" s="240"/>
      <c r="BF50" s="240"/>
      <c r="BG50" s="240"/>
      <c r="BH50" s="240"/>
      <c r="BI50" s="240"/>
      <c r="BJ50" s="240"/>
      <c r="BK50" s="240"/>
      <c r="BL50" s="240"/>
      <c r="BM50" s="240"/>
      <c r="BN50" s="240"/>
      <c r="BO50" s="240"/>
      <c r="BP50" s="240"/>
      <c r="BQ50" s="240"/>
      <c r="BR50" s="240"/>
      <c r="BS50" s="240"/>
      <c r="BT50" s="240"/>
      <c r="BU50" s="240"/>
      <c r="BV50" s="240"/>
      <c r="BW50" s="240"/>
      <c r="BX50" s="240"/>
      <c r="BY50" s="240"/>
      <c r="BZ50" s="240"/>
      <c r="CA50" s="238"/>
      <c r="CB50" s="238"/>
      <c r="CC50" s="238"/>
      <c r="CD50" s="238"/>
      <c r="CE50" s="238"/>
      <c r="CF50" s="240"/>
    </row>
    <row r="51">
      <c r="A51" s="236"/>
      <c r="B51" s="236"/>
      <c r="C51" s="236"/>
      <c r="D51" s="238"/>
      <c r="E51" s="238"/>
      <c r="F51" s="238"/>
      <c r="G51" s="238"/>
      <c r="H51" s="238"/>
      <c r="I51" s="238"/>
      <c r="J51" s="238"/>
      <c r="K51" s="238"/>
      <c r="L51" s="238"/>
      <c r="M51" s="238"/>
      <c r="N51" s="238"/>
      <c r="O51" s="238"/>
      <c r="P51" s="238"/>
      <c r="Q51" s="236"/>
      <c r="R51" s="240"/>
      <c r="S51" s="240"/>
      <c r="T51" s="240"/>
      <c r="U51" s="240"/>
      <c r="V51" s="240"/>
      <c r="W51" s="240"/>
      <c r="X51" s="240"/>
      <c r="Y51" s="240"/>
      <c r="Z51" s="240"/>
      <c r="AA51" s="240"/>
      <c r="AB51" s="240"/>
      <c r="AC51" s="240"/>
      <c r="AD51" s="240"/>
      <c r="AE51" s="240"/>
      <c r="AF51" s="240"/>
      <c r="AG51" s="240"/>
      <c r="AH51" s="240"/>
      <c r="AI51" s="240"/>
      <c r="AJ51" s="240"/>
      <c r="AK51" s="240"/>
      <c r="AL51" s="240"/>
      <c r="AM51" s="240"/>
      <c r="AN51" s="240"/>
      <c r="AO51" s="240"/>
      <c r="AP51" s="240"/>
      <c r="AQ51" s="240"/>
      <c r="AR51" s="240"/>
      <c r="AS51" s="240"/>
      <c r="AT51" s="240"/>
      <c r="AU51" s="240"/>
      <c r="AV51" s="240"/>
      <c r="AW51" s="240"/>
      <c r="AX51" s="240"/>
      <c r="AY51" s="240"/>
      <c r="AZ51" s="240"/>
      <c r="BA51" s="240"/>
      <c r="BB51" s="240"/>
      <c r="BC51" s="240"/>
      <c r="BD51" s="240"/>
      <c r="BE51" s="240"/>
      <c r="BF51" s="240"/>
      <c r="BG51" s="240"/>
      <c r="BH51" s="240"/>
      <c r="BI51" s="240"/>
      <c r="BJ51" s="240"/>
      <c r="BK51" s="240"/>
      <c r="BL51" s="240"/>
      <c r="BM51" s="240"/>
      <c r="BN51" s="240"/>
      <c r="BO51" s="240"/>
      <c r="BP51" s="240"/>
      <c r="BQ51" s="240"/>
      <c r="BR51" s="240"/>
      <c r="BS51" s="240"/>
      <c r="BT51" s="240"/>
      <c r="BU51" s="240"/>
      <c r="BV51" s="240"/>
      <c r="BW51" s="240"/>
      <c r="BX51" s="240"/>
      <c r="BY51" s="240"/>
      <c r="BZ51" s="240"/>
      <c r="CA51" s="238"/>
      <c r="CB51" s="238"/>
      <c r="CC51" s="238"/>
      <c r="CD51" s="238"/>
      <c r="CE51" s="238"/>
      <c r="CF51" s="240"/>
    </row>
    <row r="52">
      <c r="A52" s="236"/>
      <c r="B52" s="236"/>
      <c r="C52" s="236"/>
      <c r="D52" s="238"/>
      <c r="E52" s="238"/>
      <c r="F52" s="238"/>
      <c r="G52" s="238"/>
      <c r="H52" s="238"/>
      <c r="I52" s="238"/>
      <c r="J52" s="238"/>
      <c r="K52" s="238"/>
      <c r="L52" s="238"/>
      <c r="M52" s="238"/>
      <c r="N52" s="238"/>
      <c r="O52" s="238"/>
      <c r="P52" s="238"/>
      <c r="Q52" s="236"/>
      <c r="R52" s="240"/>
      <c r="S52" s="240"/>
      <c r="T52" s="240"/>
      <c r="U52" s="240"/>
      <c r="V52" s="240"/>
      <c r="W52" s="240"/>
      <c r="X52" s="240"/>
      <c r="Y52" s="240"/>
      <c r="Z52" s="240"/>
      <c r="AA52" s="240"/>
      <c r="AB52" s="240"/>
      <c r="AC52" s="240"/>
      <c r="AD52" s="240"/>
      <c r="AE52" s="240"/>
      <c r="AF52" s="240"/>
      <c r="AG52" s="240"/>
      <c r="AH52" s="240"/>
      <c r="AI52" s="240"/>
      <c r="AJ52" s="240"/>
      <c r="AK52" s="240"/>
      <c r="AL52" s="240"/>
      <c r="AM52" s="240"/>
      <c r="AN52" s="240"/>
      <c r="AO52" s="240"/>
      <c r="AP52" s="240"/>
      <c r="AQ52" s="240"/>
      <c r="AR52" s="240"/>
      <c r="AS52" s="240"/>
      <c r="AT52" s="240"/>
      <c r="AU52" s="240"/>
      <c r="AV52" s="240"/>
      <c r="AW52" s="240"/>
      <c r="AX52" s="240"/>
      <c r="AY52" s="240"/>
      <c r="AZ52" s="240"/>
      <c r="BA52" s="240"/>
      <c r="BB52" s="240"/>
      <c r="BC52" s="240"/>
      <c r="BD52" s="240"/>
      <c r="BE52" s="240"/>
      <c r="BF52" s="240"/>
      <c r="BG52" s="240"/>
      <c r="BH52" s="240"/>
      <c r="BI52" s="240"/>
      <c r="BJ52" s="240"/>
      <c r="BK52" s="240"/>
      <c r="BL52" s="240"/>
      <c r="BM52" s="240"/>
      <c r="BN52" s="240"/>
      <c r="BO52" s="240"/>
      <c r="BP52" s="240"/>
      <c r="BQ52" s="240"/>
      <c r="BR52" s="240"/>
      <c r="BS52" s="240"/>
      <c r="BT52" s="240"/>
      <c r="BU52" s="240"/>
      <c r="BV52" s="240"/>
      <c r="BW52" s="240"/>
      <c r="BX52" s="240"/>
      <c r="BY52" s="240"/>
      <c r="BZ52" s="240"/>
      <c r="CA52" s="238"/>
      <c r="CB52" s="238"/>
      <c r="CC52" s="238"/>
      <c r="CD52" s="238"/>
      <c r="CE52" s="238"/>
      <c r="CF52" s="240"/>
    </row>
    <row r="53">
      <c r="A53" s="236"/>
      <c r="B53" s="236"/>
      <c r="C53" s="236"/>
      <c r="D53" s="238"/>
      <c r="E53" s="238"/>
      <c r="F53" s="238"/>
      <c r="G53" s="238"/>
      <c r="H53" s="238"/>
      <c r="I53" s="238"/>
      <c r="J53" s="238"/>
      <c r="K53" s="238"/>
      <c r="L53" s="238"/>
      <c r="M53" s="238"/>
      <c r="N53" s="238"/>
      <c r="O53" s="238"/>
      <c r="P53" s="238"/>
      <c r="Q53" s="236"/>
      <c r="R53" s="240"/>
      <c r="S53" s="240"/>
      <c r="T53" s="240"/>
      <c r="U53" s="240"/>
      <c r="V53" s="240"/>
      <c r="W53" s="240"/>
      <c r="X53" s="240"/>
      <c r="Y53" s="240"/>
      <c r="Z53" s="240"/>
      <c r="AA53" s="240"/>
      <c r="AB53" s="240"/>
      <c r="AC53" s="240"/>
      <c r="AD53" s="240"/>
      <c r="AE53" s="240"/>
      <c r="AF53" s="240"/>
      <c r="AG53" s="240"/>
      <c r="AH53" s="240"/>
      <c r="AI53" s="240"/>
      <c r="AJ53" s="240"/>
      <c r="AK53" s="240"/>
      <c r="AL53" s="240"/>
      <c r="AM53" s="240"/>
      <c r="AN53" s="240"/>
      <c r="AO53" s="240"/>
      <c r="AP53" s="240"/>
      <c r="AQ53" s="240"/>
      <c r="AR53" s="240"/>
      <c r="AS53" s="240"/>
      <c r="AT53" s="240"/>
      <c r="AU53" s="240"/>
      <c r="AV53" s="240"/>
      <c r="AW53" s="240"/>
      <c r="AX53" s="240"/>
      <c r="AY53" s="240"/>
      <c r="AZ53" s="240"/>
      <c r="BA53" s="240"/>
      <c r="BB53" s="240"/>
      <c r="BC53" s="240"/>
      <c r="BD53" s="240"/>
      <c r="BE53" s="240"/>
      <c r="BF53" s="240"/>
      <c r="BG53" s="240"/>
      <c r="BH53" s="240"/>
      <c r="BI53" s="240"/>
      <c r="BJ53" s="240"/>
      <c r="BK53" s="240"/>
      <c r="BL53" s="240"/>
      <c r="BM53" s="240"/>
      <c r="BN53" s="240"/>
      <c r="BO53" s="240"/>
      <c r="BP53" s="240"/>
      <c r="BQ53" s="240"/>
      <c r="BR53" s="240"/>
      <c r="BS53" s="240"/>
      <c r="BT53" s="240"/>
      <c r="BU53" s="240"/>
      <c r="BV53" s="240"/>
      <c r="BW53" s="240"/>
      <c r="BX53" s="240"/>
      <c r="BY53" s="240"/>
      <c r="BZ53" s="240"/>
      <c r="CA53" s="238"/>
      <c r="CB53" s="238"/>
      <c r="CC53" s="238"/>
      <c r="CD53" s="238"/>
      <c r="CE53" s="238"/>
      <c r="CF53" s="240"/>
    </row>
    <row r="54">
      <c r="A54" s="236"/>
      <c r="B54" s="236"/>
      <c r="C54" s="236"/>
      <c r="D54" s="238"/>
      <c r="E54" s="238"/>
      <c r="F54" s="238"/>
      <c r="G54" s="238"/>
      <c r="H54" s="238"/>
      <c r="I54" s="238"/>
      <c r="J54" s="238"/>
      <c r="K54" s="238"/>
      <c r="L54" s="238"/>
      <c r="M54" s="238"/>
      <c r="N54" s="238"/>
      <c r="O54" s="238"/>
      <c r="P54" s="238"/>
      <c r="Q54" s="236"/>
      <c r="R54" s="240"/>
      <c r="S54" s="240"/>
      <c r="T54" s="240"/>
      <c r="U54" s="240"/>
      <c r="V54" s="240"/>
      <c r="W54" s="240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0"/>
      <c r="AI54" s="240"/>
      <c r="AJ54" s="240"/>
      <c r="AK54" s="240"/>
      <c r="AL54" s="240"/>
      <c r="AM54" s="240"/>
      <c r="AN54" s="240"/>
      <c r="AO54" s="240"/>
      <c r="AP54" s="240"/>
      <c r="AQ54" s="240"/>
      <c r="AR54" s="240"/>
      <c r="AS54" s="240"/>
      <c r="AT54" s="240"/>
      <c r="AU54" s="240"/>
      <c r="AV54" s="240"/>
      <c r="AW54" s="240"/>
      <c r="AX54" s="240"/>
      <c r="AY54" s="240"/>
      <c r="AZ54" s="240"/>
      <c r="BA54" s="240"/>
      <c r="BB54" s="240"/>
      <c r="BC54" s="240"/>
      <c r="BD54" s="240"/>
      <c r="BE54" s="240"/>
      <c r="BF54" s="240"/>
      <c r="BG54" s="240"/>
      <c r="BH54" s="240"/>
      <c r="BI54" s="240"/>
      <c r="BJ54" s="240"/>
      <c r="BK54" s="240"/>
      <c r="BL54" s="240"/>
      <c r="BM54" s="240"/>
      <c r="BN54" s="240"/>
      <c r="BO54" s="240"/>
      <c r="BP54" s="240"/>
      <c r="BQ54" s="240"/>
      <c r="BR54" s="240"/>
      <c r="BS54" s="240"/>
      <c r="BT54" s="240"/>
      <c r="BU54" s="240"/>
      <c r="BV54" s="240"/>
      <c r="BW54" s="240"/>
      <c r="BX54" s="240"/>
      <c r="BY54" s="240"/>
      <c r="BZ54" s="240"/>
      <c r="CA54" s="238"/>
      <c r="CB54" s="238"/>
      <c r="CC54" s="238"/>
      <c r="CD54" s="238"/>
      <c r="CE54" s="238"/>
      <c r="CF54" s="240"/>
    </row>
    <row r="55">
      <c r="A55" s="236"/>
      <c r="B55" s="236"/>
      <c r="C55" s="236"/>
      <c r="D55" s="238"/>
      <c r="E55" s="238"/>
      <c r="F55" s="238"/>
      <c r="G55" s="238"/>
      <c r="H55" s="238"/>
      <c r="I55" s="238"/>
      <c r="J55" s="238"/>
      <c r="K55" s="238"/>
      <c r="L55" s="238"/>
      <c r="M55" s="238"/>
      <c r="N55" s="238"/>
      <c r="O55" s="238"/>
      <c r="P55" s="238"/>
      <c r="Q55" s="236"/>
      <c r="R55" s="236"/>
      <c r="S55" s="236"/>
      <c r="T55" s="236"/>
      <c r="U55" s="236"/>
      <c r="V55" s="236"/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  <c r="AH55" s="236"/>
      <c r="AI55" s="236"/>
      <c r="AJ55" s="236"/>
      <c r="AK55" s="236"/>
      <c r="AL55" s="236"/>
      <c r="AM55" s="236"/>
      <c r="AN55" s="236"/>
      <c r="AO55" s="236"/>
      <c r="AP55" s="236"/>
      <c r="AQ55" s="236"/>
      <c r="AR55" s="236"/>
      <c r="AS55" s="236"/>
      <c r="AT55" s="236"/>
      <c r="AU55" s="236"/>
      <c r="AV55" s="236"/>
      <c r="AW55" s="236"/>
      <c r="AX55" s="236"/>
      <c r="AY55" s="236"/>
      <c r="AZ55" s="236"/>
      <c r="BA55" s="236"/>
      <c r="BB55" s="236"/>
      <c r="BC55" s="236"/>
      <c r="BD55" s="236"/>
      <c r="BE55" s="236"/>
      <c r="BF55" s="236"/>
      <c r="BG55" s="236"/>
      <c r="BH55" s="236"/>
      <c r="BI55" s="236"/>
      <c r="BJ55" s="236"/>
      <c r="BK55" s="236"/>
      <c r="BL55" s="236"/>
      <c r="BM55" s="236"/>
      <c r="BN55" s="236"/>
      <c r="BO55" s="236"/>
      <c r="BP55" s="236"/>
      <c r="BQ55" s="236"/>
      <c r="BR55" s="236"/>
      <c r="BS55" s="236"/>
      <c r="BT55" s="236"/>
      <c r="BU55" s="236"/>
      <c r="BV55" s="236"/>
      <c r="BW55" s="236"/>
      <c r="BX55" s="236"/>
      <c r="BY55" s="236"/>
      <c r="BZ55" s="236"/>
      <c r="CA55" s="238"/>
      <c r="CB55" s="238"/>
      <c r="CC55" s="238"/>
      <c r="CD55" s="238"/>
      <c r="CE55" s="238"/>
      <c r="CF55" s="236"/>
    </row>
    <row r="56">
      <c r="A56" s="236"/>
      <c r="B56" s="236"/>
      <c r="C56" s="236"/>
      <c r="D56" s="238"/>
      <c r="E56" s="238"/>
      <c r="F56" s="238"/>
      <c r="G56" s="238"/>
      <c r="H56" s="238"/>
      <c r="I56" s="238"/>
      <c r="J56" s="238"/>
      <c r="K56" s="238"/>
      <c r="L56" s="238"/>
      <c r="M56" s="238"/>
      <c r="N56" s="238"/>
      <c r="O56" s="238"/>
      <c r="P56" s="238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  <c r="AH56" s="236"/>
      <c r="AI56" s="236"/>
      <c r="AJ56" s="236"/>
      <c r="AK56" s="236"/>
      <c r="AL56" s="236"/>
      <c r="AM56" s="236"/>
      <c r="AN56" s="236"/>
      <c r="AO56" s="236"/>
      <c r="AP56" s="236"/>
      <c r="AQ56" s="236"/>
      <c r="AR56" s="236"/>
      <c r="AS56" s="236"/>
      <c r="AT56" s="236"/>
      <c r="AU56" s="236"/>
      <c r="AV56" s="236"/>
      <c r="AW56" s="236"/>
      <c r="AX56" s="236"/>
      <c r="AY56" s="236"/>
      <c r="AZ56" s="236"/>
      <c r="BA56" s="236"/>
      <c r="BB56" s="236"/>
      <c r="BC56" s="236"/>
      <c r="BD56" s="236"/>
      <c r="BE56" s="236"/>
      <c r="BF56" s="236"/>
      <c r="BG56" s="236"/>
      <c r="BH56" s="236"/>
      <c r="BI56" s="236"/>
      <c r="BJ56" s="236"/>
      <c r="BK56" s="236"/>
      <c r="BL56" s="236"/>
      <c r="BM56" s="236"/>
      <c r="BN56" s="236"/>
      <c r="BO56" s="236"/>
      <c r="BP56" s="236"/>
      <c r="BQ56" s="236"/>
      <c r="BR56" s="236"/>
      <c r="BS56" s="236"/>
      <c r="BT56" s="236"/>
      <c r="BU56" s="236"/>
      <c r="BV56" s="236"/>
      <c r="BW56" s="236"/>
      <c r="BX56" s="236"/>
      <c r="BY56" s="236"/>
      <c r="BZ56" s="236"/>
      <c r="CA56" s="238"/>
      <c r="CB56" s="238"/>
      <c r="CC56" s="238"/>
      <c r="CD56" s="238"/>
      <c r="CE56" s="238"/>
      <c r="CF56" s="236"/>
    </row>
    <row r="57">
      <c r="A57" s="236"/>
      <c r="B57" s="236"/>
      <c r="C57" s="236"/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8"/>
      <c r="P57" s="238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  <c r="AH57" s="236"/>
      <c r="AI57" s="236"/>
      <c r="AJ57" s="236"/>
      <c r="AK57" s="236"/>
      <c r="AL57" s="236"/>
      <c r="AM57" s="236"/>
      <c r="AN57" s="236"/>
      <c r="AO57" s="236"/>
      <c r="AP57" s="236"/>
      <c r="AQ57" s="236"/>
      <c r="AR57" s="236"/>
      <c r="AS57" s="236"/>
      <c r="AT57" s="236"/>
      <c r="AU57" s="236"/>
      <c r="AV57" s="236"/>
      <c r="AW57" s="236"/>
      <c r="AX57" s="236"/>
      <c r="AY57" s="236"/>
      <c r="AZ57" s="236"/>
      <c r="BA57" s="236"/>
      <c r="BB57" s="236"/>
      <c r="BC57" s="236"/>
      <c r="BD57" s="236"/>
      <c r="BE57" s="236"/>
      <c r="BF57" s="236"/>
      <c r="BG57" s="236"/>
      <c r="BH57" s="236"/>
      <c r="BI57" s="236"/>
      <c r="BJ57" s="236"/>
      <c r="BK57" s="236"/>
      <c r="BL57" s="236"/>
      <c r="BM57" s="236"/>
      <c r="BN57" s="236"/>
      <c r="BO57" s="236"/>
      <c r="BP57" s="236"/>
      <c r="BQ57" s="236"/>
      <c r="BR57" s="236"/>
      <c r="BS57" s="236"/>
      <c r="BT57" s="236"/>
      <c r="BU57" s="236"/>
      <c r="BV57" s="236"/>
      <c r="BW57" s="236"/>
      <c r="BX57" s="236"/>
      <c r="BY57" s="236"/>
      <c r="BZ57" s="236"/>
      <c r="CA57" s="238"/>
      <c r="CB57" s="238"/>
      <c r="CC57" s="238"/>
      <c r="CD57" s="238"/>
      <c r="CE57" s="238"/>
      <c r="CF57" s="236"/>
    </row>
    <row r="58">
      <c r="A58" s="236"/>
      <c r="B58" s="236"/>
      <c r="C58" s="236"/>
      <c r="D58" s="238"/>
      <c r="E58" s="238"/>
      <c r="F58" s="238"/>
      <c r="G58" s="238"/>
      <c r="H58" s="238"/>
      <c r="I58" s="238"/>
      <c r="J58" s="238"/>
      <c r="K58" s="238"/>
      <c r="L58" s="238"/>
      <c r="M58" s="238"/>
      <c r="N58" s="238"/>
      <c r="O58" s="238"/>
      <c r="P58" s="238"/>
      <c r="Q58" s="236"/>
      <c r="R58" s="236"/>
      <c r="S58" s="236"/>
      <c r="T58" s="236"/>
      <c r="U58" s="236"/>
      <c r="V58" s="236"/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  <c r="AH58" s="236"/>
      <c r="AI58" s="236"/>
      <c r="AJ58" s="236"/>
      <c r="AK58" s="236"/>
      <c r="AL58" s="236"/>
      <c r="AM58" s="236"/>
      <c r="AN58" s="236"/>
      <c r="AO58" s="236"/>
      <c r="AP58" s="236"/>
      <c r="AQ58" s="236"/>
      <c r="AR58" s="236"/>
      <c r="AS58" s="236"/>
      <c r="AT58" s="236"/>
      <c r="AU58" s="236"/>
      <c r="AV58" s="236"/>
      <c r="AW58" s="236"/>
      <c r="AX58" s="236"/>
      <c r="AY58" s="236"/>
      <c r="AZ58" s="236"/>
      <c r="BA58" s="236"/>
      <c r="BB58" s="236"/>
      <c r="BC58" s="236"/>
      <c r="BD58" s="236"/>
      <c r="BE58" s="236"/>
      <c r="BF58" s="236"/>
      <c r="BG58" s="236"/>
      <c r="BH58" s="236"/>
      <c r="BI58" s="236"/>
      <c r="BJ58" s="236"/>
      <c r="BK58" s="236"/>
      <c r="BL58" s="236"/>
      <c r="BM58" s="236"/>
      <c r="BN58" s="236"/>
      <c r="BO58" s="236"/>
      <c r="BP58" s="236"/>
      <c r="BQ58" s="236"/>
      <c r="BR58" s="236"/>
      <c r="BS58" s="236"/>
      <c r="BT58" s="236"/>
      <c r="BU58" s="236"/>
      <c r="BV58" s="236"/>
      <c r="BW58" s="236"/>
      <c r="BX58" s="236"/>
      <c r="BY58" s="236"/>
      <c r="BZ58" s="236"/>
      <c r="CA58" s="238"/>
      <c r="CB58" s="238"/>
      <c r="CC58" s="238"/>
      <c r="CD58" s="238"/>
      <c r="CE58" s="238"/>
      <c r="CF58" s="236"/>
    </row>
    <row r="59">
      <c r="A59" s="236"/>
      <c r="B59" s="236"/>
      <c r="C59" s="236"/>
      <c r="D59" s="238"/>
      <c r="E59" s="238"/>
      <c r="F59" s="238"/>
      <c r="G59" s="238"/>
      <c r="H59" s="238"/>
      <c r="I59" s="238"/>
      <c r="J59" s="238"/>
      <c r="K59" s="238"/>
      <c r="L59" s="238"/>
      <c r="M59" s="238"/>
      <c r="N59" s="238"/>
      <c r="O59" s="238"/>
      <c r="P59" s="238"/>
      <c r="Q59" s="236"/>
      <c r="R59" s="236"/>
      <c r="S59" s="236"/>
      <c r="T59" s="236"/>
      <c r="U59" s="236"/>
      <c r="V59" s="236"/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  <c r="AH59" s="236"/>
      <c r="AI59" s="236"/>
      <c r="AJ59" s="236"/>
      <c r="AK59" s="236"/>
      <c r="AL59" s="236"/>
      <c r="AM59" s="236"/>
      <c r="AN59" s="236"/>
      <c r="AO59" s="236"/>
      <c r="AP59" s="236"/>
      <c r="AQ59" s="236"/>
      <c r="AR59" s="236"/>
      <c r="AS59" s="236"/>
      <c r="AT59" s="236"/>
      <c r="AU59" s="236"/>
      <c r="AV59" s="236"/>
      <c r="AW59" s="236"/>
      <c r="AX59" s="236"/>
      <c r="AY59" s="236"/>
      <c r="AZ59" s="236"/>
      <c r="BA59" s="236"/>
      <c r="BB59" s="236"/>
      <c r="BC59" s="236"/>
      <c r="BD59" s="236"/>
      <c r="BE59" s="236"/>
      <c r="BF59" s="236"/>
      <c r="BG59" s="236"/>
      <c r="BH59" s="236"/>
      <c r="BI59" s="236"/>
      <c r="BJ59" s="236"/>
      <c r="BK59" s="236"/>
      <c r="BL59" s="236"/>
      <c r="BM59" s="236"/>
      <c r="BN59" s="236"/>
      <c r="BO59" s="236"/>
      <c r="BP59" s="236"/>
      <c r="BQ59" s="236"/>
      <c r="BR59" s="236"/>
      <c r="BS59" s="236"/>
      <c r="BT59" s="236"/>
      <c r="BU59" s="236"/>
      <c r="BV59" s="236"/>
      <c r="BW59" s="236"/>
      <c r="BX59" s="236"/>
      <c r="BY59" s="236"/>
      <c r="BZ59" s="236"/>
      <c r="CA59" s="238"/>
      <c r="CB59" s="238"/>
      <c r="CC59" s="238"/>
      <c r="CD59" s="238"/>
      <c r="CE59" s="238"/>
      <c r="CF59" s="236"/>
    </row>
    <row r="60">
      <c r="A60" s="236"/>
      <c r="B60" s="236"/>
      <c r="C60" s="236"/>
      <c r="D60" s="238"/>
      <c r="E60" s="238"/>
      <c r="F60" s="238"/>
      <c r="G60" s="238"/>
      <c r="H60" s="238"/>
      <c r="I60" s="238"/>
      <c r="J60" s="238"/>
      <c r="K60" s="238"/>
      <c r="L60" s="238"/>
      <c r="M60" s="238"/>
      <c r="N60" s="238"/>
      <c r="O60" s="238"/>
      <c r="P60" s="238"/>
      <c r="Q60" s="236"/>
      <c r="R60" s="236"/>
      <c r="S60" s="236"/>
      <c r="T60" s="236"/>
      <c r="U60" s="236"/>
      <c r="V60" s="236"/>
      <c r="W60" s="236"/>
      <c r="X60" s="236"/>
      <c r="Y60" s="236"/>
      <c r="Z60" s="236"/>
      <c r="AA60" s="236"/>
      <c r="AB60" s="236"/>
      <c r="AC60" s="236"/>
      <c r="AD60" s="236"/>
      <c r="AE60" s="236"/>
      <c r="AF60" s="236"/>
      <c r="AG60" s="236"/>
      <c r="AH60" s="236"/>
      <c r="AI60" s="236"/>
      <c r="AJ60" s="236"/>
      <c r="AK60" s="236"/>
      <c r="AL60" s="236"/>
      <c r="AM60" s="236"/>
      <c r="AN60" s="236"/>
      <c r="AO60" s="236"/>
      <c r="AP60" s="236"/>
      <c r="AQ60" s="236"/>
      <c r="AR60" s="236"/>
      <c r="AS60" s="236"/>
      <c r="AT60" s="236"/>
      <c r="AU60" s="236"/>
      <c r="AV60" s="236"/>
      <c r="AW60" s="236"/>
      <c r="AX60" s="236"/>
      <c r="AY60" s="236"/>
      <c r="AZ60" s="236"/>
      <c r="BA60" s="236"/>
      <c r="BB60" s="236"/>
      <c r="BC60" s="236"/>
      <c r="BD60" s="236"/>
      <c r="BE60" s="236"/>
      <c r="BF60" s="236"/>
      <c r="BG60" s="236"/>
      <c r="BH60" s="236"/>
      <c r="BI60" s="236"/>
      <c r="BJ60" s="236"/>
      <c r="BK60" s="236"/>
      <c r="BL60" s="236"/>
      <c r="BM60" s="236"/>
      <c r="BN60" s="236"/>
      <c r="BO60" s="236"/>
      <c r="BP60" s="236"/>
      <c r="BQ60" s="236"/>
      <c r="BR60" s="236"/>
      <c r="BS60" s="236"/>
      <c r="BT60" s="236"/>
      <c r="BU60" s="236"/>
      <c r="BV60" s="236"/>
      <c r="BW60" s="236"/>
      <c r="BX60" s="236"/>
      <c r="BY60" s="236"/>
      <c r="BZ60" s="236"/>
      <c r="CA60" s="238"/>
      <c r="CB60" s="238"/>
      <c r="CC60" s="238"/>
      <c r="CD60" s="238"/>
      <c r="CE60" s="238"/>
      <c r="CF60" s="236"/>
    </row>
    <row r="61">
      <c r="A61" s="236"/>
      <c r="B61" s="236"/>
      <c r="C61" s="236"/>
      <c r="D61" s="238"/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/>
      <c r="P61" s="238"/>
      <c r="Q61" s="236"/>
      <c r="R61" s="236"/>
      <c r="S61" s="236"/>
      <c r="T61" s="236"/>
      <c r="U61" s="236"/>
      <c r="V61" s="236"/>
      <c r="W61" s="236"/>
      <c r="X61" s="236"/>
      <c r="Y61" s="236"/>
      <c r="Z61" s="236"/>
      <c r="AA61" s="236"/>
      <c r="AB61" s="236"/>
      <c r="AC61" s="236"/>
      <c r="AD61" s="236"/>
      <c r="AE61" s="236"/>
      <c r="AF61" s="236"/>
      <c r="AG61" s="236"/>
      <c r="AH61" s="236"/>
      <c r="AI61" s="236"/>
      <c r="AJ61" s="236"/>
      <c r="AK61" s="236"/>
      <c r="AL61" s="236"/>
      <c r="AM61" s="236"/>
      <c r="AN61" s="236"/>
      <c r="AO61" s="236"/>
      <c r="AP61" s="236"/>
      <c r="AQ61" s="236"/>
      <c r="AR61" s="236"/>
      <c r="AS61" s="236"/>
      <c r="AT61" s="236"/>
      <c r="AU61" s="236"/>
      <c r="AV61" s="236"/>
      <c r="AW61" s="236"/>
      <c r="AX61" s="236"/>
      <c r="AY61" s="236"/>
      <c r="AZ61" s="236"/>
      <c r="BA61" s="236"/>
      <c r="BB61" s="236"/>
      <c r="BC61" s="236"/>
      <c r="BD61" s="236"/>
      <c r="BE61" s="236"/>
      <c r="BF61" s="236"/>
      <c r="BG61" s="236"/>
      <c r="BH61" s="236"/>
      <c r="BI61" s="236"/>
      <c r="BJ61" s="236"/>
      <c r="BK61" s="236"/>
      <c r="BL61" s="236"/>
      <c r="BM61" s="236"/>
      <c r="BN61" s="236"/>
      <c r="BO61" s="236"/>
      <c r="BP61" s="236"/>
      <c r="BQ61" s="236"/>
      <c r="BR61" s="236"/>
      <c r="BS61" s="236"/>
      <c r="BT61" s="236"/>
      <c r="BU61" s="236"/>
      <c r="BV61" s="236"/>
      <c r="BW61" s="236"/>
      <c r="BX61" s="236"/>
      <c r="BY61" s="236"/>
      <c r="BZ61" s="236"/>
      <c r="CA61" s="238"/>
      <c r="CB61" s="238"/>
      <c r="CC61" s="238"/>
      <c r="CD61" s="238"/>
      <c r="CE61" s="238"/>
      <c r="CF61" s="236"/>
    </row>
    <row r="62">
      <c r="A62" s="236"/>
      <c r="B62" s="236"/>
      <c r="C62" s="236"/>
      <c r="D62" s="238"/>
      <c r="E62" s="238"/>
      <c r="F62" s="238"/>
      <c r="G62" s="238"/>
      <c r="H62" s="238"/>
      <c r="I62" s="238"/>
      <c r="J62" s="238"/>
      <c r="K62" s="238"/>
      <c r="L62" s="238"/>
      <c r="M62" s="238"/>
      <c r="N62" s="238"/>
      <c r="O62" s="238"/>
      <c r="P62" s="238"/>
      <c r="Q62" s="236"/>
      <c r="R62" s="236"/>
      <c r="S62" s="236"/>
      <c r="T62" s="236"/>
      <c r="U62" s="236"/>
      <c r="V62" s="236"/>
      <c r="W62" s="236"/>
      <c r="X62" s="236"/>
      <c r="Y62" s="236"/>
      <c r="Z62" s="236"/>
      <c r="AA62" s="236"/>
      <c r="AB62" s="236"/>
      <c r="AC62" s="236"/>
      <c r="AD62" s="236"/>
      <c r="AE62" s="236"/>
      <c r="AF62" s="236"/>
      <c r="AG62" s="236"/>
      <c r="AH62" s="236"/>
      <c r="AI62" s="236"/>
      <c r="AJ62" s="236"/>
      <c r="AK62" s="236"/>
      <c r="AL62" s="236"/>
      <c r="AM62" s="236"/>
      <c r="AN62" s="236"/>
      <c r="AO62" s="236"/>
      <c r="AP62" s="236"/>
      <c r="AQ62" s="236"/>
      <c r="AR62" s="236"/>
      <c r="AS62" s="236"/>
      <c r="AT62" s="236"/>
      <c r="AU62" s="236"/>
      <c r="AV62" s="236"/>
      <c r="AW62" s="236"/>
      <c r="AX62" s="236"/>
      <c r="AY62" s="236"/>
      <c r="AZ62" s="236"/>
      <c r="BA62" s="236"/>
      <c r="BB62" s="236"/>
      <c r="BC62" s="236"/>
      <c r="BD62" s="236"/>
      <c r="BE62" s="236"/>
      <c r="BF62" s="236"/>
      <c r="BG62" s="236"/>
      <c r="BH62" s="236"/>
      <c r="BI62" s="236"/>
      <c r="BJ62" s="236"/>
      <c r="BK62" s="236"/>
      <c r="BL62" s="236"/>
      <c r="BM62" s="236"/>
      <c r="BN62" s="236"/>
      <c r="BO62" s="236"/>
      <c r="BP62" s="236"/>
      <c r="BQ62" s="236"/>
      <c r="BR62" s="236"/>
      <c r="BS62" s="236"/>
      <c r="BT62" s="236"/>
      <c r="BU62" s="236"/>
      <c r="BV62" s="236"/>
      <c r="BW62" s="236"/>
      <c r="BX62" s="236"/>
      <c r="BY62" s="236"/>
      <c r="BZ62" s="236"/>
      <c r="CA62" s="238"/>
      <c r="CB62" s="238"/>
      <c r="CC62" s="238"/>
      <c r="CD62" s="238"/>
      <c r="CE62" s="238"/>
      <c r="CF62" s="236"/>
    </row>
    <row r="63">
      <c r="A63" s="236"/>
      <c r="B63" s="236"/>
      <c r="C63" s="236"/>
      <c r="D63" s="238"/>
      <c r="E63" s="238"/>
      <c r="F63" s="238"/>
      <c r="G63" s="238"/>
      <c r="H63" s="238"/>
      <c r="I63" s="238"/>
      <c r="J63" s="238"/>
      <c r="K63" s="238"/>
      <c r="L63" s="238"/>
      <c r="M63" s="238"/>
      <c r="N63" s="238"/>
      <c r="O63" s="238"/>
      <c r="P63" s="238"/>
      <c r="Q63" s="236"/>
      <c r="R63" s="236"/>
      <c r="S63" s="236"/>
      <c r="T63" s="236"/>
      <c r="U63" s="236"/>
      <c r="V63" s="236"/>
      <c r="W63" s="236"/>
      <c r="X63" s="236"/>
      <c r="Y63" s="236"/>
      <c r="Z63" s="236"/>
      <c r="AA63" s="236"/>
      <c r="AB63" s="236"/>
      <c r="AC63" s="236"/>
      <c r="AD63" s="236"/>
      <c r="AE63" s="236"/>
      <c r="AF63" s="236"/>
      <c r="AG63" s="236"/>
      <c r="AH63" s="236"/>
      <c r="AI63" s="236"/>
      <c r="AJ63" s="236"/>
      <c r="AK63" s="236"/>
      <c r="AL63" s="236"/>
      <c r="AM63" s="236"/>
      <c r="AN63" s="236"/>
      <c r="AO63" s="236"/>
      <c r="AP63" s="236"/>
      <c r="AQ63" s="236"/>
      <c r="AR63" s="236"/>
      <c r="AS63" s="236"/>
      <c r="AT63" s="236"/>
      <c r="AU63" s="236"/>
      <c r="AV63" s="236"/>
      <c r="AW63" s="236"/>
      <c r="AX63" s="236"/>
      <c r="AY63" s="236"/>
      <c r="AZ63" s="236"/>
      <c r="BA63" s="236"/>
      <c r="BB63" s="236"/>
      <c r="BC63" s="236"/>
      <c r="BD63" s="236"/>
      <c r="BE63" s="236"/>
      <c r="BF63" s="236"/>
      <c r="BG63" s="236"/>
      <c r="BH63" s="236"/>
      <c r="BI63" s="236"/>
      <c r="BJ63" s="236"/>
      <c r="BK63" s="236"/>
      <c r="BL63" s="236"/>
      <c r="BM63" s="236"/>
      <c r="BN63" s="236"/>
      <c r="BO63" s="236"/>
      <c r="BP63" s="236"/>
      <c r="BQ63" s="236"/>
      <c r="BR63" s="236"/>
      <c r="BS63" s="236"/>
      <c r="BT63" s="236"/>
      <c r="BU63" s="236"/>
      <c r="BV63" s="236"/>
      <c r="BW63" s="236"/>
      <c r="BX63" s="236"/>
      <c r="BY63" s="236"/>
      <c r="BZ63" s="236"/>
      <c r="CA63" s="238"/>
      <c r="CB63" s="238"/>
      <c r="CC63" s="238"/>
      <c r="CD63" s="238"/>
      <c r="CE63" s="238"/>
      <c r="CF63" s="236"/>
    </row>
    <row r="64">
      <c r="A64" s="236"/>
      <c r="B64" s="236"/>
      <c r="C64" s="236"/>
      <c r="D64" s="238"/>
      <c r="E64" s="238"/>
      <c r="F64" s="238"/>
      <c r="G64" s="238"/>
      <c r="H64" s="238"/>
      <c r="I64" s="238"/>
      <c r="J64" s="238"/>
      <c r="K64" s="238"/>
      <c r="L64" s="238"/>
      <c r="M64" s="238"/>
      <c r="N64" s="238"/>
      <c r="O64" s="238"/>
      <c r="P64" s="238"/>
      <c r="Q64" s="236"/>
      <c r="R64" s="236"/>
      <c r="S64" s="236"/>
      <c r="T64" s="236"/>
      <c r="U64" s="236"/>
      <c r="V64" s="236"/>
      <c r="W64" s="236"/>
      <c r="X64" s="236"/>
      <c r="Y64" s="236"/>
      <c r="Z64" s="236"/>
      <c r="AA64" s="236"/>
      <c r="AB64" s="236"/>
      <c r="AC64" s="236"/>
      <c r="AD64" s="236"/>
      <c r="AE64" s="236"/>
      <c r="AF64" s="236"/>
      <c r="AG64" s="236"/>
      <c r="AH64" s="236"/>
      <c r="AI64" s="236"/>
      <c r="AJ64" s="236"/>
      <c r="AK64" s="236"/>
      <c r="AL64" s="236"/>
      <c r="AM64" s="236"/>
      <c r="AN64" s="236"/>
      <c r="AO64" s="236"/>
      <c r="AP64" s="236"/>
      <c r="AQ64" s="236"/>
      <c r="AR64" s="236"/>
      <c r="AS64" s="236"/>
      <c r="AT64" s="236"/>
      <c r="AU64" s="236"/>
      <c r="AV64" s="236"/>
      <c r="AW64" s="236"/>
      <c r="AX64" s="236"/>
      <c r="AY64" s="236"/>
      <c r="AZ64" s="236"/>
      <c r="BA64" s="236"/>
      <c r="BB64" s="236"/>
      <c r="BC64" s="236"/>
      <c r="BD64" s="236"/>
      <c r="BE64" s="236"/>
      <c r="BF64" s="236"/>
      <c r="BG64" s="236"/>
      <c r="BH64" s="236"/>
      <c r="BI64" s="236"/>
      <c r="BJ64" s="236"/>
      <c r="BK64" s="236"/>
      <c r="BL64" s="236"/>
      <c r="BM64" s="236"/>
      <c r="BN64" s="236"/>
      <c r="BO64" s="236"/>
      <c r="BP64" s="236"/>
      <c r="BQ64" s="236"/>
      <c r="BR64" s="236"/>
      <c r="BS64" s="236"/>
      <c r="BT64" s="236"/>
      <c r="BU64" s="236"/>
      <c r="BV64" s="236"/>
      <c r="BW64" s="236"/>
      <c r="BX64" s="236"/>
      <c r="BY64" s="236"/>
      <c r="BZ64" s="236"/>
      <c r="CA64" s="238"/>
      <c r="CB64" s="238"/>
      <c r="CC64" s="238"/>
      <c r="CD64" s="238"/>
      <c r="CE64" s="238"/>
      <c r="CF64" s="236"/>
    </row>
    <row r="65">
      <c r="A65" s="236"/>
      <c r="B65" s="236"/>
      <c r="C65" s="236"/>
      <c r="D65" s="238"/>
      <c r="E65" s="238"/>
      <c r="F65" s="238"/>
      <c r="G65" s="238"/>
      <c r="H65" s="238"/>
      <c r="I65" s="238"/>
      <c r="J65" s="238"/>
      <c r="K65" s="238"/>
      <c r="L65" s="238"/>
      <c r="M65" s="238"/>
      <c r="N65" s="238"/>
      <c r="O65" s="238"/>
      <c r="P65" s="238"/>
      <c r="Q65" s="236"/>
      <c r="R65" s="240"/>
      <c r="S65" s="240"/>
      <c r="T65" s="240"/>
      <c r="U65" s="240"/>
      <c r="V65" s="240"/>
      <c r="W65" s="240"/>
      <c r="X65" s="240"/>
      <c r="Y65" s="240"/>
      <c r="Z65" s="240"/>
      <c r="AA65" s="240"/>
      <c r="AB65" s="240"/>
      <c r="AC65" s="240"/>
      <c r="AD65" s="240"/>
      <c r="AE65" s="240"/>
      <c r="AF65" s="240"/>
      <c r="AG65" s="240"/>
      <c r="AH65" s="240"/>
      <c r="AI65" s="240"/>
      <c r="AJ65" s="240"/>
      <c r="AK65" s="240"/>
      <c r="AL65" s="240"/>
      <c r="AM65" s="240"/>
      <c r="AN65" s="240"/>
      <c r="AO65" s="240"/>
      <c r="AP65" s="240"/>
      <c r="AQ65" s="240"/>
      <c r="AR65" s="240"/>
      <c r="AS65" s="240"/>
      <c r="AT65" s="240"/>
      <c r="AU65" s="240"/>
      <c r="AV65" s="240"/>
      <c r="AW65" s="240"/>
      <c r="AX65" s="240"/>
      <c r="AY65" s="240"/>
      <c r="AZ65" s="240"/>
      <c r="BA65" s="240"/>
      <c r="BB65" s="240"/>
      <c r="BC65" s="240"/>
      <c r="BD65" s="240"/>
      <c r="BE65" s="240"/>
      <c r="BF65" s="240"/>
      <c r="BG65" s="240"/>
      <c r="BH65" s="240"/>
      <c r="BI65" s="240"/>
      <c r="BJ65" s="240"/>
      <c r="BK65" s="240"/>
      <c r="BL65" s="240"/>
      <c r="BM65" s="240"/>
      <c r="BN65" s="240"/>
      <c r="BO65" s="240"/>
      <c r="BP65" s="240"/>
      <c r="BQ65" s="240"/>
      <c r="BR65" s="240"/>
      <c r="BS65" s="240"/>
      <c r="BT65" s="240"/>
      <c r="BU65" s="240"/>
      <c r="BV65" s="240"/>
      <c r="BW65" s="240"/>
      <c r="BX65" s="240"/>
      <c r="BY65" s="240"/>
      <c r="BZ65" s="240"/>
      <c r="CA65" s="238"/>
      <c r="CB65" s="238"/>
      <c r="CC65" s="238"/>
      <c r="CD65" s="238"/>
      <c r="CE65" s="238"/>
      <c r="CF65" s="240"/>
    </row>
    <row r="66">
      <c r="A66" s="236"/>
      <c r="B66" s="236"/>
      <c r="C66" s="236"/>
      <c r="D66" s="238"/>
      <c r="E66" s="238"/>
      <c r="F66" s="238"/>
      <c r="G66" s="238"/>
      <c r="H66" s="238"/>
      <c r="I66" s="238"/>
      <c r="J66" s="238"/>
      <c r="K66" s="238"/>
      <c r="L66" s="238"/>
      <c r="M66" s="238"/>
      <c r="N66" s="238"/>
      <c r="O66" s="238"/>
      <c r="P66" s="238"/>
      <c r="Q66" s="236"/>
      <c r="R66" s="236"/>
      <c r="S66" s="236"/>
      <c r="T66" s="236"/>
      <c r="U66" s="236"/>
      <c r="V66" s="236"/>
      <c r="W66" s="236"/>
      <c r="X66" s="236"/>
      <c r="Y66" s="236"/>
      <c r="Z66" s="236"/>
      <c r="AA66" s="236"/>
      <c r="AB66" s="236"/>
      <c r="AC66" s="236"/>
      <c r="AD66" s="236"/>
      <c r="AE66" s="236"/>
      <c r="AF66" s="236"/>
      <c r="AG66" s="236"/>
      <c r="AH66" s="236"/>
      <c r="AI66" s="236"/>
      <c r="AJ66" s="236"/>
      <c r="AK66" s="236"/>
      <c r="AL66" s="236"/>
      <c r="AM66" s="236"/>
      <c r="AN66" s="236"/>
      <c r="AO66" s="236"/>
      <c r="AP66" s="236"/>
      <c r="AQ66" s="236"/>
      <c r="AR66" s="236"/>
      <c r="AS66" s="236"/>
      <c r="AT66" s="236"/>
      <c r="AU66" s="236"/>
      <c r="AV66" s="236"/>
      <c r="AW66" s="236"/>
      <c r="AX66" s="236"/>
      <c r="AY66" s="236"/>
      <c r="AZ66" s="236"/>
      <c r="BA66" s="236"/>
      <c r="BB66" s="236"/>
      <c r="BC66" s="236"/>
      <c r="BD66" s="236"/>
      <c r="BE66" s="236"/>
      <c r="BF66" s="236"/>
      <c r="BG66" s="236"/>
      <c r="BH66" s="236"/>
      <c r="BI66" s="236"/>
      <c r="BJ66" s="236"/>
      <c r="BK66" s="236"/>
      <c r="BL66" s="236"/>
      <c r="BM66" s="236"/>
      <c r="BN66" s="236"/>
      <c r="BO66" s="236"/>
      <c r="BP66" s="236"/>
      <c r="BQ66" s="236"/>
      <c r="BR66" s="236"/>
      <c r="BS66" s="236"/>
      <c r="BT66" s="236"/>
      <c r="BU66" s="236"/>
      <c r="BV66" s="236"/>
      <c r="BW66" s="236"/>
      <c r="BX66" s="236"/>
      <c r="BY66" s="236"/>
      <c r="BZ66" s="236"/>
      <c r="CA66" s="238"/>
      <c r="CB66" s="238"/>
      <c r="CC66" s="238"/>
      <c r="CD66" s="238"/>
      <c r="CE66" s="238"/>
      <c r="CF66" s="236"/>
    </row>
    <row r="67">
      <c r="A67" s="236"/>
      <c r="B67" s="236"/>
      <c r="C67" s="236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8"/>
      <c r="Q67" s="236"/>
      <c r="R67" s="236"/>
      <c r="S67" s="236"/>
      <c r="T67" s="236"/>
      <c r="U67" s="236"/>
      <c r="V67" s="236"/>
      <c r="W67" s="236"/>
      <c r="X67" s="236"/>
      <c r="Y67" s="236"/>
      <c r="Z67" s="236"/>
      <c r="AA67" s="236"/>
      <c r="AB67" s="236"/>
      <c r="AC67" s="236"/>
      <c r="AD67" s="236"/>
      <c r="AE67" s="236"/>
      <c r="AF67" s="236"/>
      <c r="AG67" s="236"/>
      <c r="AH67" s="236"/>
      <c r="AI67" s="236"/>
      <c r="AJ67" s="236"/>
      <c r="AK67" s="236"/>
      <c r="AL67" s="236"/>
      <c r="AM67" s="236"/>
      <c r="AN67" s="236"/>
      <c r="AO67" s="236"/>
      <c r="AP67" s="236"/>
      <c r="AQ67" s="236"/>
      <c r="AR67" s="236"/>
      <c r="AS67" s="236"/>
      <c r="AT67" s="236"/>
      <c r="AU67" s="236"/>
      <c r="AV67" s="236"/>
      <c r="AW67" s="236"/>
      <c r="AX67" s="236"/>
      <c r="AY67" s="236"/>
      <c r="AZ67" s="236"/>
      <c r="BA67" s="236"/>
      <c r="BB67" s="236"/>
      <c r="BC67" s="236"/>
      <c r="BD67" s="236"/>
      <c r="BE67" s="236"/>
      <c r="BF67" s="236"/>
      <c r="BG67" s="236"/>
      <c r="BH67" s="236"/>
      <c r="BI67" s="236"/>
      <c r="BJ67" s="236"/>
      <c r="BK67" s="236"/>
      <c r="BL67" s="236"/>
      <c r="BM67" s="236"/>
      <c r="BN67" s="236"/>
      <c r="BO67" s="236"/>
      <c r="BP67" s="236"/>
      <c r="BQ67" s="236"/>
      <c r="BR67" s="236"/>
      <c r="BS67" s="236"/>
      <c r="BT67" s="236"/>
      <c r="BU67" s="236"/>
      <c r="BV67" s="236"/>
      <c r="BW67" s="236"/>
      <c r="BX67" s="236"/>
      <c r="BY67" s="236"/>
      <c r="BZ67" s="236"/>
      <c r="CA67" s="238"/>
      <c r="CB67" s="238"/>
      <c r="CC67" s="238"/>
      <c r="CD67" s="238"/>
      <c r="CE67" s="238"/>
      <c r="CF67" s="236"/>
    </row>
    <row r="68">
      <c r="A68" s="236"/>
      <c r="B68" s="236"/>
      <c r="C68" s="236"/>
      <c r="D68" s="238"/>
      <c r="E68" s="238"/>
      <c r="F68" s="238"/>
      <c r="G68" s="238"/>
      <c r="H68" s="238"/>
      <c r="I68" s="238"/>
      <c r="J68" s="238"/>
      <c r="K68" s="238"/>
      <c r="L68" s="238"/>
      <c r="M68" s="238"/>
      <c r="N68" s="238"/>
      <c r="O68" s="238"/>
      <c r="P68" s="238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  <c r="AR68" s="236"/>
      <c r="AS68" s="236"/>
      <c r="AT68" s="236"/>
      <c r="AU68" s="236"/>
      <c r="AV68" s="236"/>
      <c r="AW68" s="236"/>
      <c r="AX68" s="236"/>
      <c r="AY68" s="236"/>
      <c r="AZ68" s="236"/>
      <c r="BA68" s="236"/>
      <c r="BB68" s="236"/>
      <c r="BC68" s="236"/>
      <c r="BD68" s="236"/>
      <c r="BE68" s="236"/>
      <c r="BF68" s="236"/>
      <c r="BG68" s="236"/>
      <c r="BH68" s="236"/>
      <c r="BI68" s="236"/>
      <c r="BJ68" s="236"/>
      <c r="BK68" s="236"/>
      <c r="BL68" s="236"/>
      <c r="BM68" s="236"/>
      <c r="BN68" s="236"/>
      <c r="BO68" s="236"/>
      <c r="BP68" s="236"/>
      <c r="BQ68" s="236"/>
      <c r="BR68" s="236"/>
      <c r="BS68" s="236"/>
      <c r="BT68" s="236"/>
      <c r="BU68" s="236"/>
      <c r="BV68" s="236"/>
      <c r="BW68" s="236"/>
      <c r="BX68" s="236"/>
      <c r="BY68" s="236"/>
      <c r="BZ68" s="236"/>
      <c r="CA68" s="238"/>
      <c r="CB68" s="238"/>
      <c r="CC68" s="238"/>
      <c r="CD68" s="238"/>
      <c r="CE68" s="238"/>
      <c r="CF68" s="236"/>
    </row>
    <row r="69">
      <c r="A69" s="236"/>
      <c r="B69" s="236"/>
      <c r="C69" s="236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8"/>
      <c r="Q69" s="236"/>
      <c r="R69" s="236"/>
      <c r="S69" s="236"/>
      <c r="T69" s="236"/>
      <c r="U69" s="236"/>
      <c r="V69" s="236"/>
      <c r="W69" s="236"/>
      <c r="X69" s="236"/>
      <c r="Y69" s="236"/>
      <c r="Z69" s="236"/>
      <c r="AA69" s="236"/>
      <c r="AB69" s="236"/>
      <c r="AC69" s="236"/>
      <c r="AD69" s="236"/>
      <c r="AE69" s="236"/>
      <c r="AF69" s="236"/>
      <c r="AG69" s="236"/>
      <c r="AH69" s="236"/>
      <c r="AI69" s="236"/>
      <c r="AJ69" s="236"/>
      <c r="AK69" s="236"/>
      <c r="AL69" s="236"/>
      <c r="AM69" s="236"/>
      <c r="AN69" s="236"/>
      <c r="AO69" s="236"/>
      <c r="AP69" s="236"/>
      <c r="AQ69" s="236"/>
      <c r="AR69" s="236"/>
      <c r="AS69" s="236"/>
      <c r="AT69" s="236"/>
      <c r="AU69" s="236"/>
      <c r="AV69" s="236"/>
      <c r="AW69" s="236"/>
      <c r="AX69" s="236"/>
      <c r="AY69" s="236"/>
      <c r="AZ69" s="236"/>
      <c r="BA69" s="236"/>
      <c r="BB69" s="236"/>
      <c r="BC69" s="236"/>
      <c r="BD69" s="236"/>
      <c r="BE69" s="236"/>
      <c r="BF69" s="236"/>
      <c r="BG69" s="236"/>
      <c r="BH69" s="236"/>
      <c r="BI69" s="236"/>
      <c r="BJ69" s="236"/>
      <c r="BK69" s="236"/>
      <c r="BL69" s="236"/>
      <c r="BM69" s="236"/>
      <c r="BN69" s="236"/>
      <c r="BO69" s="236"/>
      <c r="BP69" s="236"/>
      <c r="BQ69" s="236"/>
      <c r="BR69" s="236"/>
      <c r="BS69" s="236"/>
      <c r="BT69" s="236"/>
      <c r="BU69" s="236"/>
      <c r="BV69" s="236"/>
      <c r="BW69" s="236"/>
      <c r="BX69" s="236"/>
      <c r="BY69" s="236"/>
      <c r="BZ69" s="236"/>
      <c r="CA69" s="238"/>
      <c r="CB69" s="238"/>
      <c r="CC69" s="238"/>
      <c r="CD69" s="238"/>
      <c r="CE69" s="238"/>
      <c r="CF69" s="236"/>
    </row>
    <row r="70">
      <c r="A70" s="236"/>
      <c r="B70" s="236"/>
      <c r="C70" s="236"/>
      <c r="D70" s="238"/>
      <c r="E70" s="238"/>
      <c r="F70" s="238"/>
      <c r="G70" s="238"/>
      <c r="H70" s="238"/>
      <c r="I70" s="238"/>
      <c r="J70" s="238"/>
      <c r="K70" s="238"/>
      <c r="L70" s="238"/>
      <c r="M70" s="238"/>
      <c r="N70" s="238"/>
      <c r="O70" s="238"/>
      <c r="P70" s="238"/>
      <c r="Q70" s="236"/>
      <c r="R70" s="236"/>
      <c r="S70" s="236"/>
      <c r="T70" s="236"/>
      <c r="U70" s="236"/>
      <c r="V70" s="236"/>
      <c r="W70" s="236"/>
      <c r="X70" s="236"/>
      <c r="Y70" s="236"/>
      <c r="Z70" s="236"/>
      <c r="AA70" s="236"/>
      <c r="AB70" s="236"/>
      <c r="AC70" s="236"/>
      <c r="AD70" s="236"/>
      <c r="AE70" s="236"/>
      <c r="AF70" s="236"/>
      <c r="AG70" s="236"/>
      <c r="AH70" s="236"/>
      <c r="AI70" s="236"/>
      <c r="AJ70" s="236"/>
      <c r="AK70" s="236"/>
      <c r="AL70" s="236"/>
      <c r="AM70" s="236"/>
      <c r="AN70" s="236"/>
      <c r="AO70" s="236"/>
      <c r="AP70" s="236"/>
      <c r="AQ70" s="236"/>
      <c r="AR70" s="236"/>
      <c r="AS70" s="236"/>
      <c r="AT70" s="236"/>
      <c r="AU70" s="236"/>
      <c r="AV70" s="236"/>
      <c r="AW70" s="236"/>
      <c r="AX70" s="236"/>
      <c r="AY70" s="236"/>
      <c r="AZ70" s="236"/>
      <c r="BA70" s="236"/>
      <c r="BB70" s="236"/>
      <c r="BC70" s="236"/>
      <c r="BD70" s="236"/>
      <c r="BE70" s="236"/>
      <c r="BF70" s="236"/>
      <c r="BG70" s="236"/>
      <c r="BH70" s="236"/>
      <c r="BI70" s="236"/>
      <c r="BJ70" s="236"/>
      <c r="BK70" s="236"/>
      <c r="BL70" s="236"/>
      <c r="BM70" s="236"/>
      <c r="BN70" s="236"/>
      <c r="BO70" s="236"/>
      <c r="BP70" s="236"/>
      <c r="BQ70" s="236"/>
      <c r="BR70" s="236"/>
      <c r="BS70" s="236"/>
      <c r="BT70" s="236"/>
      <c r="BU70" s="236"/>
      <c r="BV70" s="236"/>
      <c r="BW70" s="236"/>
      <c r="BX70" s="236"/>
      <c r="BY70" s="236"/>
      <c r="BZ70" s="236"/>
      <c r="CA70" s="238"/>
      <c r="CB70" s="238"/>
      <c r="CC70" s="238"/>
      <c r="CD70" s="238"/>
      <c r="CE70" s="238"/>
      <c r="CF70" s="236"/>
    </row>
    <row r="71">
      <c r="A71" s="236"/>
      <c r="B71" s="236"/>
      <c r="C71" s="236"/>
      <c r="D71" s="238"/>
      <c r="E71" s="238"/>
      <c r="F71" s="238"/>
      <c r="G71" s="238"/>
      <c r="H71" s="238"/>
      <c r="I71" s="238"/>
      <c r="J71" s="238"/>
      <c r="K71" s="238"/>
      <c r="L71" s="238"/>
      <c r="M71" s="238"/>
      <c r="N71" s="238"/>
      <c r="O71" s="238"/>
      <c r="P71" s="238"/>
      <c r="Q71" s="236"/>
      <c r="R71" s="236"/>
      <c r="S71" s="236"/>
      <c r="T71" s="236"/>
      <c r="U71" s="236"/>
      <c r="V71" s="236"/>
      <c r="W71" s="236"/>
      <c r="X71" s="236"/>
      <c r="Y71" s="236"/>
      <c r="Z71" s="236"/>
      <c r="AA71" s="236"/>
      <c r="AB71" s="236"/>
      <c r="AC71" s="236"/>
      <c r="AD71" s="236"/>
      <c r="AE71" s="236"/>
      <c r="AF71" s="236"/>
      <c r="AG71" s="236"/>
      <c r="AH71" s="236"/>
      <c r="AI71" s="236"/>
      <c r="AJ71" s="236"/>
      <c r="AK71" s="236"/>
      <c r="AL71" s="236"/>
      <c r="AM71" s="236"/>
      <c r="AN71" s="236"/>
      <c r="AO71" s="236"/>
      <c r="AP71" s="236"/>
      <c r="AQ71" s="236"/>
      <c r="AR71" s="236"/>
      <c r="AS71" s="236"/>
      <c r="AT71" s="236"/>
      <c r="AU71" s="236"/>
      <c r="AV71" s="236"/>
      <c r="AW71" s="236"/>
      <c r="AX71" s="236"/>
      <c r="AY71" s="236"/>
      <c r="AZ71" s="236"/>
      <c r="BA71" s="236"/>
      <c r="BB71" s="236"/>
      <c r="BC71" s="236"/>
      <c r="BD71" s="236"/>
      <c r="BE71" s="236"/>
      <c r="BF71" s="236"/>
      <c r="BG71" s="236"/>
      <c r="BH71" s="236"/>
      <c r="BI71" s="236"/>
      <c r="BJ71" s="236"/>
      <c r="BK71" s="236"/>
      <c r="BL71" s="236"/>
      <c r="BM71" s="236"/>
      <c r="BN71" s="236"/>
      <c r="BO71" s="236"/>
      <c r="BP71" s="236"/>
      <c r="BQ71" s="236"/>
      <c r="BR71" s="236"/>
      <c r="BS71" s="236"/>
      <c r="BT71" s="236"/>
      <c r="BU71" s="236"/>
      <c r="BV71" s="236"/>
      <c r="BW71" s="236"/>
      <c r="BX71" s="236"/>
      <c r="BY71" s="236"/>
      <c r="BZ71" s="236"/>
      <c r="CA71" s="238"/>
      <c r="CB71" s="238"/>
      <c r="CC71" s="238"/>
      <c r="CD71" s="238"/>
      <c r="CE71" s="238"/>
      <c r="CF71" s="236"/>
    </row>
    <row r="72">
      <c r="A72" s="236"/>
      <c r="B72" s="236"/>
      <c r="C72" s="236"/>
      <c r="D72" s="238"/>
      <c r="E72" s="238"/>
      <c r="F72" s="238"/>
      <c r="G72" s="238"/>
      <c r="H72" s="238"/>
      <c r="I72" s="238"/>
      <c r="J72" s="238"/>
      <c r="K72" s="238"/>
      <c r="L72" s="238"/>
      <c r="M72" s="238"/>
      <c r="N72" s="238"/>
      <c r="O72" s="238"/>
      <c r="P72" s="238"/>
      <c r="Q72" s="236"/>
      <c r="R72" s="236"/>
      <c r="S72" s="236"/>
      <c r="T72" s="236"/>
      <c r="U72" s="236"/>
      <c r="V72" s="236"/>
      <c r="W72" s="236"/>
      <c r="X72" s="236"/>
      <c r="Y72" s="236"/>
      <c r="Z72" s="236"/>
      <c r="AA72" s="236"/>
      <c r="AB72" s="236"/>
      <c r="AC72" s="236"/>
      <c r="AD72" s="236"/>
      <c r="AE72" s="236"/>
      <c r="AF72" s="236"/>
      <c r="AG72" s="236"/>
      <c r="AH72" s="236"/>
      <c r="AI72" s="236"/>
      <c r="AJ72" s="236"/>
      <c r="AK72" s="236"/>
      <c r="AL72" s="236"/>
      <c r="AM72" s="236"/>
      <c r="AN72" s="236"/>
      <c r="AO72" s="236"/>
      <c r="AP72" s="236"/>
      <c r="AQ72" s="236"/>
      <c r="AR72" s="236"/>
      <c r="AS72" s="236"/>
      <c r="AT72" s="236"/>
      <c r="AU72" s="236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236"/>
      <c r="BG72" s="236"/>
      <c r="BH72" s="236"/>
      <c r="BI72" s="236"/>
      <c r="BJ72" s="236"/>
      <c r="BK72" s="236"/>
      <c r="BL72" s="236"/>
      <c r="BM72" s="236"/>
      <c r="BN72" s="236"/>
      <c r="BO72" s="236"/>
      <c r="BP72" s="236"/>
      <c r="BQ72" s="236"/>
      <c r="BR72" s="236"/>
      <c r="BS72" s="236"/>
      <c r="BT72" s="236"/>
      <c r="BU72" s="236"/>
      <c r="BV72" s="236"/>
      <c r="BW72" s="236"/>
      <c r="BX72" s="236"/>
      <c r="BY72" s="236"/>
      <c r="BZ72" s="236"/>
      <c r="CA72" s="238"/>
      <c r="CB72" s="238"/>
      <c r="CC72" s="238"/>
      <c r="CD72" s="238"/>
      <c r="CE72" s="238"/>
      <c r="CF72" s="236"/>
    </row>
    <row r="73">
      <c r="A73" s="236"/>
      <c r="B73" s="236"/>
      <c r="C73" s="236"/>
      <c r="D73" s="238"/>
      <c r="E73" s="238"/>
      <c r="F73" s="238"/>
      <c r="G73" s="238"/>
      <c r="H73" s="238"/>
      <c r="I73" s="238"/>
      <c r="J73" s="238"/>
      <c r="K73" s="238"/>
      <c r="L73" s="238"/>
      <c r="M73" s="238"/>
      <c r="N73" s="238"/>
      <c r="O73" s="238"/>
      <c r="P73" s="238"/>
      <c r="Q73" s="236"/>
      <c r="R73" s="236"/>
      <c r="S73" s="236"/>
      <c r="T73" s="236"/>
      <c r="U73" s="236"/>
      <c r="V73" s="236"/>
      <c r="W73" s="236"/>
      <c r="X73" s="236"/>
      <c r="Y73" s="236"/>
      <c r="Z73" s="236"/>
      <c r="AA73" s="236"/>
      <c r="AB73" s="236"/>
      <c r="AC73" s="236"/>
      <c r="AD73" s="236"/>
      <c r="AE73" s="236"/>
      <c r="AF73" s="236"/>
      <c r="AG73" s="236"/>
      <c r="AH73" s="236"/>
      <c r="AI73" s="236"/>
      <c r="AJ73" s="236"/>
      <c r="AK73" s="236"/>
      <c r="AL73" s="236"/>
      <c r="AM73" s="236"/>
      <c r="AN73" s="236"/>
      <c r="AO73" s="236"/>
      <c r="AP73" s="236"/>
      <c r="AQ73" s="236"/>
      <c r="AR73" s="236"/>
      <c r="AS73" s="236"/>
      <c r="AT73" s="236"/>
      <c r="AU73" s="236"/>
      <c r="AV73" s="236"/>
      <c r="AW73" s="236"/>
      <c r="AX73" s="236"/>
      <c r="AY73" s="236"/>
      <c r="AZ73" s="236"/>
      <c r="BA73" s="236"/>
      <c r="BB73" s="236"/>
      <c r="BC73" s="236"/>
      <c r="BD73" s="236"/>
      <c r="BE73" s="236"/>
      <c r="BF73" s="236"/>
      <c r="BG73" s="236"/>
      <c r="BH73" s="236"/>
      <c r="BI73" s="236"/>
      <c r="BJ73" s="236"/>
      <c r="BK73" s="236"/>
      <c r="BL73" s="236"/>
      <c r="BM73" s="236"/>
      <c r="BN73" s="236"/>
      <c r="BO73" s="236"/>
      <c r="BP73" s="236"/>
      <c r="BQ73" s="236"/>
      <c r="BR73" s="236"/>
      <c r="BS73" s="236"/>
      <c r="BT73" s="236"/>
      <c r="BU73" s="236"/>
      <c r="BV73" s="236"/>
      <c r="BW73" s="236"/>
      <c r="BX73" s="236"/>
      <c r="BY73" s="236"/>
      <c r="BZ73" s="236"/>
      <c r="CA73" s="238"/>
      <c r="CB73" s="238"/>
      <c r="CC73" s="238"/>
      <c r="CD73" s="238"/>
      <c r="CE73" s="238"/>
      <c r="CF73" s="236"/>
    </row>
    <row r="74">
      <c r="A74" s="236"/>
      <c r="B74" s="236"/>
      <c r="C74" s="236"/>
      <c r="D74" s="238"/>
      <c r="E74" s="238"/>
      <c r="F74" s="238"/>
      <c r="G74" s="238"/>
      <c r="H74" s="238"/>
      <c r="I74" s="238"/>
      <c r="J74" s="238"/>
      <c r="K74" s="238"/>
      <c r="L74" s="238"/>
      <c r="M74" s="238"/>
      <c r="N74" s="238"/>
      <c r="O74" s="238"/>
      <c r="P74" s="238"/>
      <c r="Q74" s="236"/>
      <c r="R74" s="236"/>
      <c r="S74" s="236"/>
      <c r="T74" s="236"/>
      <c r="U74" s="236"/>
      <c r="V74" s="236"/>
      <c r="W74" s="236"/>
      <c r="X74" s="236"/>
      <c r="Y74" s="236"/>
      <c r="Z74" s="236"/>
      <c r="AA74" s="236"/>
      <c r="AB74" s="236"/>
      <c r="AC74" s="236"/>
      <c r="AD74" s="236"/>
      <c r="AE74" s="236"/>
      <c r="AF74" s="236"/>
      <c r="AG74" s="236"/>
      <c r="AH74" s="236"/>
      <c r="AI74" s="236"/>
      <c r="AJ74" s="236"/>
      <c r="AK74" s="236"/>
      <c r="AL74" s="236"/>
      <c r="AM74" s="236"/>
      <c r="AN74" s="236"/>
      <c r="AO74" s="236"/>
      <c r="AP74" s="236"/>
      <c r="AQ74" s="236"/>
      <c r="AR74" s="236"/>
      <c r="AS74" s="236"/>
      <c r="AT74" s="236"/>
      <c r="AU74" s="236"/>
      <c r="AV74" s="236"/>
      <c r="AW74" s="236"/>
      <c r="AX74" s="236"/>
      <c r="AY74" s="236"/>
      <c r="AZ74" s="236"/>
      <c r="BA74" s="236"/>
      <c r="BB74" s="236"/>
      <c r="BC74" s="236"/>
      <c r="BD74" s="236"/>
      <c r="BE74" s="236"/>
      <c r="BF74" s="236"/>
      <c r="BG74" s="236"/>
      <c r="BH74" s="236"/>
      <c r="BI74" s="236"/>
      <c r="BJ74" s="236"/>
      <c r="BK74" s="236"/>
      <c r="BL74" s="236"/>
      <c r="BM74" s="236"/>
      <c r="BN74" s="236"/>
      <c r="BO74" s="236"/>
      <c r="BP74" s="236"/>
      <c r="BQ74" s="236"/>
      <c r="BR74" s="236"/>
      <c r="BS74" s="236"/>
      <c r="BT74" s="236"/>
      <c r="BU74" s="236"/>
      <c r="BV74" s="236"/>
      <c r="BW74" s="236"/>
      <c r="BX74" s="236"/>
      <c r="BY74" s="236"/>
      <c r="BZ74" s="236"/>
      <c r="CA74" s="238"/>
      <c r="CB74" s="238"/>
      <c r="CC74" s="238"/>
      <c r="CD74" s="238"/>
      <c r="CE74" s="238"/>
      <c r="CF74" s="236"/>
    </row>
    <row r="75">
      <c r="A75" s="236"/>
      <c r="B75" s="236"/>
      <c r="C75" s="236"/>
      <c r="D75" s="238"/>
      <c r="E75" s="238"/>
      <c r="F75" s="238"/>
      <c r="G75" s="238"/>
      <c r="H75" s="238"/>
      <c r="I75" s="238"/>
      <c r="J75" s="238"/>
      <c r="K75" s="238"/>
      <c r="L75" s="238"/>
      <c r="M75" s="238"/>
      <c r="N75" s="238"/>
      <c r="O75" s="238"/>
      <c r="P75" s="238"/>
      <c r="Q75" s="236"/>
      <c r="R75" s="236"/>
      <c r="S75" s="236"/>
      <c r="T75" s="236"/>
      <c r="U75" s="236"/>
      <c r="V75" s="236"/>
      <c r="W75" s="236"/>
      <c r="X75" s="236"/>
      <c r="Y75" s="236"/>
      <c r="Z75" s="236"/>
      <c r="AA75" s="236"/>
      <c r="AB75" s="236"/>
      <c r="AC75" s="236"/>
      <c r="AD75" s="236"/>
      <c r="AE75" s="236"/>
      <c r="AF75" s="236"/>
      <c r="AG75" s="236"/>
      <c r="AH75" s="236"/>
      <c r="AI75" s="236"/>
      <c r="AJ75" s="236"/>
      <c r="AK75" s="236"/>
      <c r="AL75" s="236"/>
      <c r="AM75" s="236"/>
      <c r="AN75" s="236"/>
      <c r="AO75" s="236"/>
      <c r="AP75" s="236"/>
      <c r="AQ75" s="236"/>
      <c r="AR75" s="236"/>
      <c r="AS75" s="236"/>
      <c r="AT75" s="236"/>
      <c r="AU75" s="236"/>
      <c r="AV75" s="236"/>
      <c r="AW75" s="236"/>
      <c r="AX75" s="236"/>
      <c r="AY75" s="236"/>
      <c r="AZ75" s="236"/>
      <c r="BA75" s="236"/>
      <c r="BB75" s="236"/>
      <c r="BC75" s="236"/>
      <c r="BD75" s="236"/>
      <c r="BE75" s="236"/>
      <c r="BF75" s="236"/>
      <c r="BG75" s="236"/>
      <c r="BH75" s="236"/>
      <c r="BI75" s="236"/>
      <c r="BJ75" s="236"/>
      <c r="BK75" s="236"/>
      <c r="BL75" s="236"/>
      <c r="BM75" s="236"/>
      <c r="BN75" s="236"/>
      <c r="BO75" s="236"/>
      <c r="BP75" s="236"/>
      <c r="BQ75" s="236"/>
      <c r="BR75" s="236"/>
      <c r="BS75" s="236"/>
      <c r="BT75" s="236"/>
      <c r="BU75" s="236"/>
      <c r="BV75" s="236"/>
      <c r="BW75" s="236"/>
      <c r="BX75" s="236"/>
      <c r="BY75" s="236"/>
      <c r="BZ75" s="236"/>
      <c r="CA75" s="238"/>
      <c r="CB75" s="238"/>
      <c r="CC75" s="238"/>
      <c r="CD75" s="238"/>
      <c r="CE75" s="238"/>
      <c r="CF75" s="236"/>
    </row>
    <row r="76">
      <c r="A76" s="236"/>
      <c r="B76" s="236"/>
      <c r="C76" s="236"/>
      <c r="D76" s="238"/>
      <c r="E76" s="238"/>
      <c r="F76" s="238"/>
      <c r="G76" s="238"/>
      <c r="H76" s="238"/>
      <c r="I76" s="238"/>
      <c r="J76" s="238"/>
      <c r="K76" s="238"/>
      <c r="L76" s="238"/>
      <c r="M76" s="238"/>
      <c r="N76" s="238"/>
      <c r="O76" s="238"/>
      <c r="P76" s="238"/>
      <c r="Q76" s="236"/>
      <c r="R76" s="236"/>
      <c r="S76" s="236"/>
      <c r="T76" s="236"/>
      <c r="U76" s="236"/>
      <c r="V76" s="236"/>
      <c r="W76" s="236"/>
      <c r="X76" s="236"/>
      <c r="Y76" s="236"/>
      <c r="Z76" s="236"/>
      <c r="AA76" s="236"/>
      <c r="AB76" s="236"/>
      <c r="AC76" s="236"/>
      <c r="AD76" s="236"/>
      <c r="AE76" s="236"/>
      <c r="AF76" s="236"/>
      <c r="AG76" s="236"/>
      <c r="AH76" s="236"/>
      <c r="AI76" s="236"/>
      <c r="AJ76" s="236"/>
      <c r="AK76" s="236"/>
      <c r="AL76" s="236"/>
      <c r="AM76" s="236"/>
      <c r="AN76" s="236"/>
      <c r="AO76" s="236"/>
      <c r="AP76" s="236"/>
      <c r="AQ76" s="236"/>
      <c r="AR76" s="236"/>
      <c r="AS76" s="236"/>
      <c r="AT76" s="236"/>
      <c r="AU76" s="236"/>
      <c r="AV76" s="236"/>
      <c r="AW76" s="236"/>
      <c r="AX76" s="236"/>
      <c r="AY76" s="236"/>
      <c r="AZ76" s="236"/>
      <c r="BA76" s="236"/>
      <c r="BB76" s="236"/>
      <c r="BC76" s="236"/>
      <c r="BD76" s="236"/>
      <c r="BE76" s="236"/>
      <c r="BF76" s="236"/>
      <c r="BG76" s="236"/>
      <c r="BH76" s="236"/>
      <c r="BI76" s="236"/>
      <c r="BJ76" s="236"/>
      <c r="BK76" s="236"/>
      <c r="BL76" s="236"/>
      <c r="BM76" s="236"/>
      <c r="BN76" s="236"/>
      <c r="BO76" s="236"/>
      <c r="BP76" s="236"/>
      <c r="BQ76" s="236"/>
      <c r="BR76" s="236"/>
      <c r="BS76" s="236"/>
      <c r="BT76" s="236"/>
      <c r="BU76" s="236"/>
      <c r="BV76" s="236"/>
      <c r="BW76" s="236"/>
      <c r="BX76" s="236"/>
      <c r="BY76" s="236"/>
      <c r="BZ76" s="236"/>
      <c r="CA76" s="238"/>
      <c r="CB76" s="238"/>
      <c r="CC76" s="238"/>
      <c r="CD76" s="238"/>
      <c r="CE76" s="238"/>
      <c r="CF76" s="236"/>
    </row>
    <row r="77">
      <c r="A77" s="236"/>
      <c r="B77" s="236"/>
      <c r="C77" s="236"/>
      <c r="D77" s="238"/>
      <c r="E77" s="238"/>
      <c r="F77" s="238"/>
      <c r="G77" s="238"/>
      <c r="H77" s="238"/>
      <c r="I77" s="238"/>
      <c r="J77" s="238"/>
      <c r="K77" s="238"/>
      <c r="L77" s="238"/>
      <c r="M77" s="238"/>
      <c r="N77" s="238"/>
      <c r="O77" s="238"/>
      <c r="P77" s="238"/>
      <c r="Q77" s="236"/>
      <c r="R77" s="236"/>
      <c r="S77" s="236"/>
      <c r="T77" s="236"/>
      <c r="U77" s="236"/>
      <c r="V77" s="236"/>
      <c r="W77" s="236"/>
      <c r="X77" s="236"/>
      <c r="Y77" s="236"/>
      <c r="Z77" s="236"/>
      <c r="AA77" s="236"/>
      <c r="AB77" s="236"/>
      <c r="AC77" s="236"/>
      <c r="AD77" s="236"/>
      <c r="AE77" s="236"/>
      <c r="AF77" s="236"/>
      <c r="AG77" s="236"/>
      <c r="AH77" s="236"/>
      <c r="AI77" s="236"/>
      <c r="AJ77" s="236"/>
      <c r="AK77" s="236"/>
      <c r="AL77" s="236"/>
      <c r="AM77" s="236"/>
      <c r="AN77" s="236"/>
      <c r="AO77" s="236"/>
      <c r="AP77" s="236"/>
      <c r="AQ77" s="236"/>
      <c r="AR77" s="236"/>
      <c r="AS77" s="236"/>
      <c r="AT77" s="236"/>
      <c r="AU77" s="236"/>
      <c r="AV77" s="236"/>
      <c r="AW77" s="236"/>
      <c r="AX77" s="236"/>
      <c r="AY77" s="236"/>
      <c r="AZ77" s="236"/>
      <c r="BA77" s="236"/>
      <c r="BB77" s="236"/>
      <c r="BC77" s="236"/>
      <c r="BD77" s="236"/>
      <c r="BE77" s="236"/>
      <c r="BF77" s="236"/>
      <c r="BG77" s="236"/>
      <c r="BH77" s="236"/>
      <c r="BI77" s="236"/>
      <c r="BJ77" s="236"/>
      <c r="BK77" s="236"/>
      <c r="BL77" s="236"/>
      <c r="BM77" s="236"/>
      <c r="BN77" s="236"/>
      <c r="BO77" s="236"/>
      <c r="BP77" s="236"/>
      <c r="BQ77" s="236"/>
      <c r="BR77" s="236"/>
      <c r="BS77" s="236"/>
      <c r="BT77" s="236"/>
      <c r="BU77" s="236"/>
      <c r="BV77" s="236"/>
      <c r="BW77" s="236"/>
      <c r="BX77" s="236"/>
      <c r="BY77" s="236"/>
      <c r="BZ77" s="236"/>
      <c r="CA77" s="238"/>
      <c r="CB77" s="238"/>
      <c r="CC77" s="238"/>
      <c r="CD77" s="238"/>
      <c r="CE77" s="238"/>
      <c r="CF77" s="236"/>
    </row>
    <row r="78">
      <c r="A78" s="236"/>
      <c r="B78" s="236"/>
      <c r="C78" s="236"/>
      <c r="D78" s="238"/>
      <c r="E78" s="238"/>
      <c r="F78" s="238"/>
      <c r="G78" s="238"/>
      <c r="H78" s="238"/>
      <c r="I78" s="238"/>
      <c r="J78" s="238"/>
      <c r="K78" s="238"/>
      <c r="L78" s="238"/>
      <c r="M78" s="238"/>
      <c r="N78" s="238"/>
      <c r="O78" s="238"/>
      <c r="P78" s="238"/>
      <c r="Q78" s="236"/>
      <c r="R78" s="236"/>
      <c r="S78" s="236"/>
      <c r="T78" s="236"/>
      <c r="U78" s="236"/>
      <c r="V78" s="236"/>
      <c r="W78" s="236"/>
      <c r="X78" s="236"/>
      <c r="Y78" s="236"/>
      <c r="Z78" s="236"/>
      <c r="AA78" s="236"/>
      <c r="AB78" s="236"/>
      <c r="AC78" s="236"/>
      <c r="AD78" s="236"/>
      <c r="AE78" s="236"/>
      <c r="AF78" s="236"/>
      <c r="AG78" s="236"/>
      <c r="AH78" s="236"/>
      <c r="AI78" s="236"/>
      <c r="AJ78" s="236"/>
      <c r="AK78" s="236"/>
      <c r="AL78" s="236"/>
      <c r="AM78" s="236"/>
      <c r="AN78" s="236"/>
      <c r="AO78" s="236"/>
      <c r="AP78" s="236"/>
      <c r="AQ78" s="236"/>
      <c r="AR78" s="236"/>
      <c r="AS78" s="236"/>
      <c r="AT78" s="236"/>
      <c r="AU78" s="236"/>
      <c r="AV78" s="236"/>
      <c r="AW78" s="236"/>
      <c r="AX78" s="236"/>
      <c r="AY78" s="236"/>
      <c r="AZ78" s="236"/>
      <c r="BA78" s="236"/>
      <c r="BB78" s="236"/>
      <c r="BC78" s="236"/>
      <c r="BD78" s="236"/>
      <c r="BE78" s="236"/>
      <c r="BF78" s="236"/>
      <c r="BG78" s="236"/>
      <c r="BH78" s="236"/>
      <c r="BI78" s="236"/>
      <c r="BJ78" s="236"/>
      <c r="BK78" s="236"/>
      <c r="BL78" s="236"/>
      <c r="BM78" s="236"/>
      <c r="BN78" s="236"/>
      <c r="BO78" s="236"/>
      <c r="BP78" s="236"/>
      <c r="BQ78" s="236"/>
      <c r="BR78" s="236"/>
      <c r="BS78" s="236"/>
      <c r="BT78" s="236"/>
      <c r="BU78" s="236"/>
      <c r="BV78" s="236"/>
      <c r="BW78" s="236"/>
      <c r="BX78" s="236"/>
      <c r="BY78" s="236"/>
      <c r="BZ78" s="236"/>
      <c r="CA78" s="238"/>
      <c r="CB78" s="238"/>
      <c r="CC78" s="238"/>
      <c r="CD78" s="238"/>
      <c r="CE78" s="238"/>
      <c r="CF78" s="236"/>
    </row>
    <row r="79">
      <c r="A79" s="236"/>
      <c r="B79" s="236"/>
      <c r="C79" s="236"/>
      <c r="D79" s="238"/>
      <c r="E79" s="238"/>
      <c r="F79" s="238"/>
      <c r="G79" s="238"/>
      <c r="H79" s="238"/>
      <c r="I79" s="238"/>
      <c r="J79" s="238"/>
      <c r="K79" s="238"/>
      <c r="L79" s="238"/>
      <c r="M79" s="238"/>
      <c r="N79" s="238"/>
      <c r="O79" s="238"/>
      <c r="P79" s="238"/>
      <c r="Q79" s="236"/>
      <c r="R79" s="236"/>
      <c r="S79" s="236"/>
      <c r="T79" s="236"/>
      <c r="U79" s="236"/>
      <c r="V79" s="236"/>
      <c r="W79" s="236"/>
      <c r="X79" s="236"/>
      <c r="Y79" s="236"/>
      <c r="Z79" s="236"/>
      <c r="AA79" s="236"/>
      <c r="AB79" s="236"/>
      <c r="AC79" s="236"/>
      <c r="AD79" s="236"/>
      <c r="AE79" s="236"/>
      <c r="AF79" s="236"/>
      <c r="AG79" s="236"/>
      <c r="AH79" s="236"/>
      <c r="AI79" s="236"/>
      <c r="AJ79" s="236"/>
      <c r="AK79" s="236"/>
      <c r="AL79" s="236"/>
      <c r="AM79" s="236"/>
      <c r="AN79" s="236"/>
      <c r="AO79" s="236"/>
      <c r="AP79" s="236"/>
      <c r="AQ79" s="236"/>
      <c r="AR79" s="236"/>
      <c r="AS79" s="236"/>
      <c r="AT79" s="236"/>
      <c r="AU79" s="236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  <c r="BF79" s="236"/>
      <c r="BG79" s="236"/>
      <c r="BH79" s="236"/>
      <c r="BI79" s="236"/>
      <c r="BJ79" s="236"/>
      <c r="BK79" s="236"/>
      <c r="BL79" s="236"/>
      <c r="BM79" s="236"/>
      <c r="BN79" s="236"/>
      <c r="BO79" s="236"/>
      <c r="BP79" s="236"/>
      <c r="BQ79" s="236"/>
      <c r="BR79" s="236"/>
      <c r="BS79" s="236"/>
      <c r="BT79" s="236"/>
      <c r="BU79" s="236"/>
      <c r="BV79" s="236"/>
      <c r="BW79" s="236"/>
      <c r="BX79" s="236"/>
      <c r="BY79" s="236"/>
      <c r="BZ79" s="236"/>
      <c r="CA79" s="238"/>
      <c r="CB79" s="238"/>
      <c r="CC79" s="238"/>
      <c r="CD79" s="238"/>
      <c r="CE79" s="238"/>
      <c r="CF79" s="236"/>
    </row>
    <row r="80">
      <c r="A80" s="236"/>
      <c r="B80" s="236"/>
      <c r="C80" s="236"/>
      <c r="D80" s="238"/>
      <c r="E80" s="238"/>
      <c r="F80" s="238"/>
      <c r="G80" s="238"/>
      <c r="H80" s="238"/>
      <c r="I80" s="238"/>
      <c r="J80" s="238"/>
      <c r="K80" s="238"/>
      <c r="L80" s="238"/>
      <c r="M80" s="238"/>
      <c r="N80" s="238"/>
      <c r="O80" s="238"/>
      <c r="P80" s="238"/>
      <c r="Q80" s="236"/>
      <c r="R80" s="236"/>
      <c r="S80" s="236"/>
      <c r="T80" s="236"/>
      <c r="U80" s="236"/>
      <c r="V80" s="236"/>
      <c r="W80" s="236"/>
      <c r="X80" s="236"/>
      <c r="Y80" s="236"/>
      <c r="Z80" s="236"/>
      <c r="AA80" s="236"/>
      <c r="AB80" s="236"/>
      <c r="AC80" s="236"/>
      <c r="AD80" s="236"/>
      <c r="AE80" s="236"/>
      <c r="AF80" s="236"/>
      <c r="AG80" s="236"/>
      <c r="AH80" s="236"/>
      <c r="AI80" s="236"/>
      <c r="AJ80" s="236"/>
      <c r="AK80" s="236"/>
      <c r="AL80" s="236"/>
      <c r="AM80" s="236"/>
      <c r="AN80" s="236"/>
      <c r="AO80" s="236"/>
      <c r="AP80" s="236"/>
      <c r="AQ80" s="236"/>
      <c r="AR80" s="236"/>
      <c r="AS80" s="236"/>
      <c r="AT80" s="236"/>
      <c r="AU80" s="236"/>
      <c r="AV80" s="236"/>
      <c r="AW80" s="236"/>
      <c r="AX80" s="236"/>
      <c r="AY80" s="236"/>
      <c r="AZ80" s="236"/>
      <c r="BA80" s="236"/>
      <c r="BB80" s="236"/>
      <c r="BC80" s="236"/>
      <c r="BD80" s="236"/>
      <c r="BE80" s="236"/>
      <c r="BF80" s="236"/>
      <c r="BG80" s="236"/>
      <c r="BH80" s="236"/>
      <c r="BI80" s="236"/>
      <c r="BJ80" s="236"/>
      <c r="BK80" s="236"/>
      <c r="BL80" s="236"/>
      <c r="BM80" s="236"/>
      <c r="BN80" s="236"/>
      <c r="BO80" s="236"/>
      <c r="BP80" s="236"/>
      <c r="BQ80" s="236"/>
      <c r="BR80" s="236"/>
      <c r="BS80" s="236"/>
      <c r="BT80" s="236"/>
      <c r="BU80" s="236"/>
      <c r="BV80" s="236"/>
      <c r="BW80" s="236"/>
      <c r="BX80" s="236"/>
      <c r="BY80" s="236"/>
      <c r="BZ80" s="236"/>
      <c r="CA80" s="238"/>
      <c r="CB80" s="238"/>
      <c r="CC80" s="238"/>
      <c r="CD80" s="238"/>
      <c r="CE80" s="238"/>
      <c r="CF80" s="236"/>
    </row>
    <row r="81">
      <c r="A81" s="236"/>
      <c r="B81" s="236"/>
      <c r="C81" s="236"/>
      <c r="D81" s="238"/>
      <c r="E81" s="238"/>
      <c r="F81" s="238"/>
      <c r="G81" s="238"/>
      <c r="H81" s="238"/>
      <c r="I81" s="238"/>
      <c r="J81" s="238"/>
      <c r="K81" s="238"/>
      <c r="L81" s="238"/>
      <c r="M81" s="238"/>
      <c r="N81" s="238"/>
      <c r="O81" s="238"/>
      <c r="P81" s="238"/>
      <c r="Q81" s="236"/>
      <c r="R81" s="236"/>
      <c r="S81" s="236"/>
      <c r="T81" s="236"/>
      <c r="U81" s="236"/>
      <c r="V81" s="236"/>
      <c r="W81" s="236"/>
      <c r="X81" s="236"/>
      <c r="Y81" s="236"/>
      <c r="Z81" s="236"/>
      <c r="AA81" s="236"/>
      <c r="AB81" s="236"/>
      <c r="AC81" s="236"/>
      <c r="AD81" s="236"/>
      <c r="AE81" s="236"/>
      <c r="AF81" s="236"/>
      <c r="AG81" s="236"/>
      <c r="AH81" s="236"/>
      <c r="AI81" s="236"/>
      <c r="AJ81" s="236"/>
      <c r="AK81" s="236"/>
      <c r="AL81" s="236"/>
      <c r="AM81" s="236"/>
      <c r="AN81" s="236"/>
      <c r="AO81" s="236"/>
      <c r="AP81" s="236"/>
      <c r="AQ81" s="236"/>
      <c r="AR81" s="236"/>
      <c r="AS81" s="236"/>
      <c r="AT81" s="236"/>
      <c r="AU81" s="236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  <c r="BF81" s="236"/>
      <c r="BG81" s="236"/>
      <c r="BH81" s="236"/>
      <c r="BI81" s="236"/>
      <c r="BJ81" s="236"/>
      <c r="BK81" s="236"/>
      <c r="BL81" s="236"/>
      <c r="BM81" s="236"/>
      <c r="BN81" s="236"/>
      <c r="BO81" s="236"/>
      <c r="BP81" s="236"/>
      <c r="BQ81" s="236"/>
      <c r="BR81" s="236"/>
      <c r="BS81" s="236"/>
      <c r="BT81" s="236"/>
      <c r="BU81" s="236"/>
      <c r="BV81" s="236"/>
      <c r="BW81" s="236"/>
      <c r="BX81" s="236"/>
      <c r="BY81" s="236"/>
      <c r="BZ81" s="236"/>
      <c r="CA81" s="238"/>
      <c r="CB81" s="238"/>
      <c r="CC81" s="238"/>
      <c r="CD81" s="238"/>
      <c r="CE81" s="238"/>
      <c r="CF81" s="236"/>
    </row>
    <row r="82">
      <c r="A82" s="236"/>
      <c r="B82" s="236"/>
      <c r="C82" s="236"/>
      <c r="D82" s="238"/>
      <c r="E82" s="238"/>
      <c r="F82" s="238"/>
      <c r="G82" s="238"/>
      <c r="H82" s="238"/>
      <c r="I82" s="238"/>
      <c r="J82" s="238"/>
      <c r="K82" s="238"/>
      <c r="L82" s="238"/>
      <c r="M82" s="238"/>
      <c r="N82" s="238"/>
      <c r="O82" s="238"/>
      <c r="P82" s="238"/>
      <c r="Q82" s="236"/>
      <c r="R82" s="236"/>
      <c r="S82" s="236"/>
      <c r="T82" s="236"/>
      <c r="U82" s="236"/>
      <c r="V82" s="236"/>
      <c r="W82" s="236"/>
      <c r="X82" s="236"/>
      <c r="Y82" s="236"/>
      <c r="Z82" s="236"/>
      <c r="AA82" s="236"/>
      <c r="AB82" s="236"/>
      <c r="AC82" s="236"/>
      <c r="AD82" s="236"/>
      <c r="AE82" s="236"/>
      <c r="AF82" s="236"/>
      <c r="AG82" s="236"/>
      <c r="AH82" s="236"/>
      <c r="AI82" s="236"/>
      <c r="AJ82" s="236"/>
      <c r="AK82" s="236"/>
      <c r="AL82" s="236"/>
      <c r="AM82" s="236"/>
      <c r="AN82" s="236"/>
      <c r="AO82" s="236"/>
      <c r="AP82" s="236"/>
      <c r="AQ82" s="236"/>
      <c r="AR82" s="236"/>
      <c r="AS82" s="236"/>
      <c r="AT82" s="236"/>
      <c r="AU82" s="236"/>
      <c r="AV82" s="236"/>
      <c r="AW82" s="236"/>
      <c r="AX82" s="236"/>
      <c r="AY82" s="236"/>
      <c r="AZ82" s="236"/>
      <c r="BA82" s="236"/>
      <c r="BB82" s="236"/>
      <c r="BC82" s="236"/>
      <c r="BD82" s="236"/>
      <c r="BE82" s="236"/>
      <c r="BF82" s="236"/>
      <c r="BG82" s="236"/>
      <c r="BH82" s="236"/>
      <c r="BI82" s="236"/>
      <c r="BJ82" s="236"/>
      <c r="BK82" s="236"/>
      <c r="BL82" s="236"/>
      <c r="BM82" s="236"/>
      <c r="BN82" s="236"/>
      <c r="BO82" s="236"/>
      <c r="BP82" s="236"/>
      <c r="BQ82" s="236"/>
      <c r="BR82" s="236"/>
      <c r="BS82" s="236"/>
      <c r="BT82" s="236"/>
      <c r="BU82" s="236"/>
      <c r="BV82" s="236"/>
      <c r="BW82" s="236"/>
      <c r="BX82" s="236"/>
      <c r="BY82" s="236"/>
      <c r="BZ82" s="236"/>
      <c r="CA82" s="238"/>
      <c r="CB82" s="238"/>
      <c r="CC82" s="238"/>
      <c r="CD82" s="238"/>
      <c r="CE82" s="238"/>
      <c r="CF82" s="236"/>
    </row>
    <row r="83">
      <c r="A83" s="381"/>
      <c r="B83" s="381"/>
      <c r="C83" s="381"/>
      <c r="D83" s="382"/>
      <c r="E83" s="238"/>
      <c r="F83" s="238"/>
      <c r="G83" s="238"/>
      <c r="H83" s="383" t="str">
        <f>IFERROR(__xludf.DUMMYFUNCTION("""COMPUTED_VALUE"""),"13-16")</f>
        <v>13-16</v>
      </c>
      <c r="I83" s="384"/>
      <c r="J83" s="384"/>
      <c r="K83" s="384"/>
      <c r="L83" s="385">
        <f>IFERROR(__xludf.DUMMYFUNCTION("""COMPUTED_VALUE"""),46000.0)</f>
        <v>46000</v>
      </c>
      <c r="M83" s="384"/>
      <c r="N83" s="238"/>
      <c r="O83" s="385">
        <f>IFERROR(__xludf.DUMMYFUNCTION("""COMPUTED_VALUE"""),45874.0)</f>
        <v>45874</v>
      </c>
      <c r="P83" s="384"/>
      <c r="Q83" s="240"/>
      <c r="R83" s="236"/>
      <c r="S83" s="236"/>
      <c r="T83" s="386">
        <f>IFERROR(__xludf.DUMMYFUNCTION("""COMPUTED_VALUE"""),45874.0)</f>
        <v>45874</v>
      </c>
      <c r="U83" s="236"/>
      <c r="V83" s="236"/>
      <c r="W83" s="236"/>
      <c r="X83" s="387">
        <f>IFERROR(__xludf.DUMMYFUNCTION("""COMPUTED_VALUE"""),4.0)</f>
        <v>4</v>
      </c>
      <c r="Y83" s="236"/>
      <c r="Z83" s="236"/>
      <c r="AA83" s="387">
        <f>IFERROR(__xludf.DUMMYFUNCTION("""COMPUTED_VALUE"""),3.0)</f>
        <v>3</v>
      </c>
      <c r="AB83" s="236"/>
      <c r="AC83" s="236"/>
      <c r="AD83" s="387">
        <f>IFERROR(__xludf.DUMMYFUNCTION("""COMPUTED_VALUE"""),2.0)</f>
        <v>2</v>
      </c>
      <c r="AE83" s="236"/>
      <c r="AF83" s="236"/>
      <c r="AG83" s="387">
        <f>IFERROR(__xludf.DUMMYFUNCTION("""COMPUTED_VALUE"""),1.0)</f>
        <v>1</v>
      </c>
      <c r="AH83" s="236"/>
      <c r="AI83" s="236"/>
      <c r="AJ83" s="236"/>
      <c r="AK83" s="236"/>
      <c r="AL83" s="236"/>
      <c r="AM83" s="236"/>
      <c r="AN83" s="236"/>
      <c r="AO83" s="236"/>
      <c r="AP83" s="236"/>
      <c r="AQ83" s="236"/>
      <c r="AR83" s="236"/>
      <c r="AS83" s="236"/>
      <c r="AT83" s="236"/>
      <c r="AU83" s="236"/>
      <c r="AV83" s="236"/>
      <c r="AW83" s="236"/>
      <c r="AX83" s="236"/>
      <c r="AY83" s="236"/>
      <c r="AZ83" s="236"/>
      <c r="BA83" s="236"/>
      <c r="BB83" s="236"/>
      <c r="BC83" s="236"/>
      <c r="BD83" s="236"/>
      <c r="BE83" s="236"/>
      <c r="BF83" s="236"/>
      <c r="BG83" s="236"/>
      <c r="BH83" s="236"/>
      <c r="BI83" s="236"/>
      <c r="BJ83" s="236"/>
      <c r="BK83" s="236"/>
      <c r="BL83" s="236"/>
      <c r="BM83" s="236"/>
      <c r="BN83" s="236"/>
      <c r="BO83" s="236"/>
      <c r="BP83" s="236"/>
      <c r="BQ83" s="236"/>
      <c r="BR83" s="236"/>
      <c r="BS83" s="236"/>
      <c r="BT83" s="236"/>
      <c r="BU83" s="236"/>
      <c r="BV83" s="236"/>
      <c r="BW83" s="236"/>
      <c r="BX83" s="236"/>
      <c r="BY83" s="236"/>
      <c r="BZ83" s="236"/>
      <c r="CA83" s="238"/>
      <c r="CB83" s="238"/>
      <c r="CC83" s="238"/>
      <c r="CD83" s="238"/>
      <c r="CE83" s="238"/>
      <c r="CF83" s="236"/>
    </row>
    <row r="84">
      <c r="A84" s="381"/>
      <c r="B84" s="381"/>
      <c r="C84" s="381"/>
      <c r="D84" s="382"/>
      <c r="E84" s="238"/>
      <c r="F84" s="238"/>
      <c r="G84" s="238"/>
      <c r="H84" s="383"/>
      <c r="I84" s="384"/>
      <c r="J84" s="384"/>
      <c r="K84" s="384"/>
      <c r="L84" s="385"/>
      <c r="M84" s="384"/>
      <c r="N84" s="238"/>
      <c r="O84" s="385"/>
      <c r="P84" s="384"/>
      <c r="Q84" s="240"/>
      <c r="R84" s="236"/>
      <c r="S84" s="236"/>
      <c r="T84" s="386"/>
      <c r="U84" s="236"/>
      <c r="V84" s="236"/>
      <c r="W84" s="236"/>
      <c r="X84" s="387"/>
      <c r="Y84" s="236"/>
      <c r="Z84" s="236"/>
      <c r="AA84" s="387"/>
      <c r="AB84" s="236"/>
      <c r="AC84" s="236"/>
      <c r="AD84" s="387"/>
      <c r="AE84" s="236"/>
      <c r="AF84" s="236"/>
      <c r="AG84" s="387"/>
      <c r="AH84" s="236"/>
      <c r="AI84" s="236"/>
      <c r="AJ84" s="236"/>
      <c r="AK84" s="236"/>
      <c r="AL84" s="236"/>
      <c r="AM84" s="236"/>
      <c r="AN84" s="236"/>
      <c r="AO84" s="236"/>
      <c r="AP84" s="236"/>
      <c r="AQ84" s="236"/>
      <c r="AR84" s="236"/>
      <c r="AS84" s="236"/>
      <c r="AT84" s="236"/>
      <c r="AU84" s="236"/>
      <c r="AV84" s="236"/>
      <c r="AW84" s="236"/>
      <c r="AX84" s="236"/>
      <c r="AY84" s="236"/>
      <c r="AZ84" s="236"/>
      <c r="BA84" s="236"/>
      <c r="BB84" s="236"/>
      <c r="BC84" s="236"/>
      <c r="BD84" s="236"/>
      <c r="BE84" s="236"/>
      <c r="BF84" s="236"/>
      <c r="BG84" s="236"/>
      <c r="BH84" s="236"/>
      <c r="BI84" s="236"/>
      <c r="BJ84" s="236"/>
      <c r="BK84" s="236"/>
      <c r="BL84" s="236"/>
      <c r="BM84" s="236"/>
      <c r="BN84" s="236"/>
      <c r="BO84" s="236"/>
      <c r="BP84" s="236"/>
      <c r="BQ84" s="236"/>
      <c r="BR84" s="236"/>
      <c r="BS84" s="236"/>
      <c r="BT84" s="236"/>
      <c r="BU84" s="236"/>
      <c r="BV84" s="236"/>
      <c r="BW84" s="236"/>
      <c r="BX84" s="236"/>
      <c r="BY84" s="236"/>
      <c r="BZ84" s="236"/>
      <c r="CA84" s="238"/>
      <c r="CB84" s="238"/>
      <c r="CC84" s="238"/>
      <c r="CD84" s="238"/>
      <c r="CE84" s="238"/>
      <c r="CF84" s="236"/>
    </row>
  </sheetData>
  <mergeCells count="23">
    <mergeCell ref="CA1:CE1"/>
    <mergeCell ref="A2:E2"/>
    <mergeCell ref="F2:Q2"/>
    <mergeCell ref="R2:AH2"/>
    <mergeCell ref="C4:D4"/>
    <mergeCell ref="H5:I5"/>
    <mergeCell ref="L5:M5"/>
    <mergeCell ref="AD5:AE5"/>
    <mergeCell ref="C12:D12"/>
    <mergeCell ref="C20:D20"/>
    <mergeCell ref="C28:D28"/>
    <mergeCell ref="O20:O21"/>
    <mergeCell ref="P20:P21"/>
    <mergeCell ref="AA22:AA23"/>
    <mergeCell ref="O25:O26"/>
    <mergeCell ref="P25:P26"/>
    <mergeCell ref="T5:U5"/>
    <mergeCell ref="X5:Y5"/>
    <mergeCell ref="O10:O11"/>
    <mergeCell ref="P10:P11"/>
    <mergeCell ref="AG14:AG15"/>
    <mergeCell ref="O15:O16"/>
    <mergeCell ref="P15:P16"/>
  </mergeCells>
  <conditionalFormatting sqref="E4:E84 U8:U9 N9 Y10:AA11 U12:U13 N14 AE14:AE15 U16:U17 Y18:AA19 N19 U20:U21 Y22:Y23 N24 N30:N31 N39:N40 N50:N51 N59:N60">
    <cfRule type="expression" dxfId="10" priority="1">
      <formula>AND(ISNUMBER(E4), ISNUMBER(E5), E4 &lt; E5)</formula>
    </cfRule>
  </conditionalFormatting>
  <conditionalFormatting sqref="E4:E84 U8:U9 N9 Y10:AA11 U12:U13 N14 AE14:AE15 U16:U17 Y18:AA19 N19 U20:U21 Y22:Y23 N24 N30:N31 N39:N40 N50:N51 N59:N60">
    <cfRule type="expression" dxfId="10" priority="2">
      <formula>AND(ISNUMBER(E4), ISNUMBER(E3), E4 &lt; E3)</formula>
    </cfRule>
  </conditionalFormatting>
  <conditionalFormatting sqref="E4:E84 U8:U9 N9 Y10:AA11 U12:U13 N14 AE14:AE15 U16:U17 Y18:AA19 N19 U20:U21 Y22:Y23 N24 N30:N31 N39:N40 N50:N51 N59:N60">
    <cfRule type="expression" dxfId="11" priority="3">
      <formula>AND(ISNUMBER(E4), ISNUMBER(E5), E4 &gt; E5)</formula>
    </cfRule>
  </conditionalFormatting>
  <conditionalFormatting sqref="E4:E84 U8:U9 N9 Y10:AA11 U12:U13 N14 AE14:AE15 U16:U17 Y18:AA19 N19 U20:U21 Y22:Y23 N24 N30:N31 N39:N40 N50:N51 N59:N60">
    <cfRule type="expression" dxfId="11" priority="4">
      <formula>AND(ISNUMBER(E4), ISNUMBER(E3), E4 &gt; E3)</formula>
    </cfRule>
  </conditionalFormatting>
  <conditionalFormatting sqref="I8:I9 I13:I14 I18:I19 I23:I24 M25:M26 M20:M21 M15:M16 M10:M11 U8:U9 U12:U13 U16:U17 U20:U21 Y10:Y11 Y18:Y19 Y22:Y23">
    <cfRule type="cellIs" dxfId="11" priority="5" operator="equal">
      <formula>2</formula>
    </cfRule>
  </conditionalFormatting>
  <hyperlinks>
    <hyperlink r:id="rId1" ref="H24"/>
    <hyperlink r:id="rId2" ref="D32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" width="3.25"/>
    <col customWidth="1" min="4" max="4" width="15.13"/>
    <col customWidth="1" min="5" max="7" width="3.25"/>
    <col customWidth="1" min="8" max="8" width="15.13"/>
    <col customWidth="1" min="9" max="9" width="3.63"/>
    <col customWidth="1" min="10" max="11" width="3.75"/>
    <col customWidth="1" min="12" max="12" width="15.13"/>
    <col customWidth="1" min="13" max="13" width="3.63"/>
    <col customWidth="1" min="14" max="14" width="3.25"/>
    <col customWidth="1" min="15" max="15" width="16.25"/>
    <col customWidth="1" min="16" max="16" width="3.75"/>
    <col customWidth="1" min="17" max="19" width="3.25"/>
    <col customWidth="1" min="20" max="20" width="17.63"/>
    <col customWidth="1" min="21" max="21" width="3.25"/>
    <col customWidth="1" min="22" max="22" width="4.63"/>
    <col customWidth="1" min="23" max="23" width="3.25"/>
    <col customWidth="1" min="24" max="24" width="15.13"/>
    <col customWidth="1" min="25" max="26" width="3.25"/>
    <col customWidth="1" min="27" max="27" width="13.0"/>
    <col customWidth="1" min="28" max="29" width="3.25"/>
    <col customWidth="1" min="30" max="30" width="15.13"/>
    <col customWidth="1" min="31" max="32" width="3.25"/>
    <col customWidth="1" min="33" max="33" width="16.5"/>
    <col customWidth="1" min="34" max="34" width="3.25"/>
    <col customWidth="1" hidden="1" min="35" max="78" width="3.25"/>
    <col customWidth="1" min="79" max="79" width="25.13"/>
    <col customWidth="1" min="80" max="83" width="5.13"/>
    <col customWidth="1" min="84" max="84" width="37.63"/>
  </cols>
  <sheetData>
    <row r="1">
      <c r="A1" s="216"/>
      <c r="B1" s="216"/>
      <c r="C1" s="216"/>
      <c r="D1" s="216"/>
      <c r="E1" s="216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22"/>
      <c r="AJ1" s="222"/>
      <c r="AK1" s="222"/>
      <c r="AL1" s="222"/>
      <c r="AM1" s="222"/>
      <c r="AN1" s="222"/>
      <c r="AO1" s="222"/>
      <c r="AP1" s="222"/>
      <c r="AQ1" s="222"/>
      <c r="AR1" s="222"/>
      <c r="AS1" s="222"/>
      <c r="AT1" s="222"/>
      <c r="AU1" s="222"/>
      <c r="AV1" s="222"/>
      <c r="AW1" s="222"/>
      <c r="AX1" s="222"/>
      <c r="AY1" s="222"/>
      <c r="AZ1" s="222"/>
      <c r="BA1" s="222"/>
      <c r="BB1" s="222"/>
      <c r="BC1" s="222"/>
      <c r="BD1" s="222"/>
      <c r="BE1" s="222"/>
      <c r="BF1" s="222"/>
      <c r="BG1" s="222"/>
      <c r="BH1" s="222"/>
      <c r="BI1" s="222"/>
      <c r="BJ1" s="222"/>
      <c r="BK1" s="222"/>
      <c r="BL1" s="222"/>
      <c r="BM1" s="222"/>
      <c r="BN1" s="222"/>
      <c r="BO1" s="222"/>
      <c r="BP1" s="222"/>
      <c r="BQ1" s="222"/>
      <c r="BR1" s="222"/>
      <c r="BS1" s="222"/>
      <c r="BT1" s="222"/>
      <c r="BU1" s="222"/>
      <c r="BV1" s="222"/>
      <c r="BW1" s="222"/>
      <c r="BX1" s="222"/>
      <c r="BY1" s="222"/>
      <c r="BZ1" s="222"/>
      <c r="CA1" s="224"/>
      <c r="CF1" s="222"/>
    </row>
    <row r="2">
      <c r="A2" s="225"/>
      <c r="F2" s="225"/>
      <c r="R2" s="225"/>
      <c r="AI2" s="225"/>
      <c r="AJ2" s="225"/>
      <c r="AK2" s="225"/>
      <c r="AL2" s="225"/>
      <c r="AM2" s="225"/>
      <c r="AN2" s="225"/>
      <c r="AO2" s="225"/>
      <c r="AP2" s="225"/>
      <c r="AQ2" s="225"/>
      <c r="AR2" s="225"/>
      <c r="AS2" s="225"/>
      <c r="AT2" s="225"/>
      <c r="AU2" s="225"/>
      <c r="AV2" s="225"/>
      <c r="AW2" s="225"/>
      <c r="AX2" s="225"/>
      <c r="AY2" s="225"/>
      <c r="AZ2" s="225"/>
      <c r="BA2" s="225"/>
      <c r="BB2" s="225"/>
      <c r="BC2" s="225"/>
      <c r="BD2" s="225"/>
      <c r="BE2" s="225"/>
      <c r="BF2" s="225"/>
      <c r="BG2" s="225"/>
      <c r="BH2" s="225"/>
      <c r="BI2" s="225"/>
      <c r="BJ2" s="225"/>
      <c r="BK2" s="225"/>
      <c r="BL2" s="225"/>
      <c r="BM2" s="225"/>
      <c r="BN2" s="225"/>
      <c r="BO2" s="225"/>
      <c r="BP2" s="225"/>
      <c r="BQ2" s="225"/>
      <c r="BR2" s="225"/>
      <c r="BS2" s="225"/>
      <c r="BT2" s="225"/>
      <c r="BU2" s="225"/>
      <c r="BV2" s="225"/>
      <c r="BW2" s="225"/>
      <c r="BX2" s="225"/>
      <c r="BY2" s="225"/>
      <c r="BZ2" s="225"/>
      <c r="CA2" s="229"/>
      <c r="CB2" s="229"/>
      <c r="CC2" s="229"/>
      <c r="CD2" s="229"/>
      <c r="CE2" s="229"/>
      <c r="CF2" s="225"/>
    </row>
    <row r="3">
      <c r="A3" s="225"/>
      <c r="B3" s="225"/>
      <c r="C3" s="225"/>
      <c r="D3" s="225"/>
      <c r="E3" s="225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5"/>
      <c r="AT3" s="225"/>
      <c r="AU3" s="225"/>
      <c r="AV3" s="225"/>
      <c r="AW3" s="225"/>
      <c r="AX3" s="225"/>
      <c r="AY3" s="225"/>
      <c r="AZ3" s="225"/>
      <c r="BA3" s="225"/>
      <c r="BB3" s="225"/>
      <c r="BC3" s="225"/>
      <c r="BD3" s="225"/>
      <c r="BE3" s="225"/>
      <c r="BF3" s="225"/>
      <c r="BG3" s="225"/>
      <c r="BH3" s="225"/>
      <c r="BI3" s="225"/>
      <c r="BJ3" s="225"/>
      <c r="BK3" s="225"/>
      <c r="BL3" s="225"/>
      <c r="BM3" s="225"/>
      <c r="BN3" s="225"/>
      <c r="BO3" s="225"/>
      <c r="BP3" s="225"/>
      <c r="BQ3" s="225"/>
      <c r="BR3" s="225"/>
      <c r="BS3" s="225"/>
      <c r="BT3" s="225"/>
      <c r="BU3" s="225"/>
      <c r="BV3" s="225"/>
      <c r="BW3" s="225"/>
      <c r="BX3" s="225"/>
      <c r="BY3" s="225"/>
      <c r="BZ3" s="225"/>
      <c r="CA3" s="233"/>
      <c r="CB3" s="234"/>
      <c r="CC3" s="233"/>
      <c r="CD3" s="233"/>
      <c r="CE3" s="233"/>
      <c r="CF3" s="225"/>
    </row>
    <row r="4">
      <c r="A4" s="236"/>
      <c r="B4" s="236"/>
      <c r="C4" s="237"/>
      <c r="D4" s="77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6"/>
      <c r="R4" s="238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38"/>
      <c r="AG4" s="238"/>
      <c r="AH4" s="238"/>
      <c r="AI4" s="238"/>
      <c r="AJ4" s="238"/>
      <c r="AK4" s="238"/>
      <c r="AL4" s="238"/>
      <c r="AM4" s="238"/>
      <c r="AN4" s="238"/>
      <c r="AO4" s="238"/>
      <c r="AP4" s="238"/>
      <c r="AQ4" s="238"/>
      <c r="AR4" s="238"/>
      <c r="AS4" s="238"/>
      <c r="AT4" s="238"/>
      <c r="AU4" s="238"/>
      <c r="AV4" s="238"/>
      <c r="AW4" s="238"/>
      <c r="AX4" s="238"/>
      <c r="AY4" s="238"/>
      <c r="AZ4" s="238"/>
      <c r="BA4" s="238"/>
      <c r="BB4" s="238"/>
      <c r="BC4" s="238"/>
      <c r="BD4" s="238"/>
      <c r="BE4" s="238"/>
      <c r="BF4" s="238"/>
      <c r="BG4" s="238"/>
      <c r="BH4" s="238"/>
      <c r="BI4" s="238"/>
      <c r="BJ4" s="238"/>
      <c r="BK4" s="238"/>
      <c r="BL4" s="238"/>
      <c r="BM4" s="238"/>
      <c r="BN4" s="238"/>
      <c r="BO4" s="238"/>
      <c r="BP4" s="238"/>
      <c r="BQ4" s="238"/>
      <c r="BR4" s="238"/>
      <c r="BS4" s="238"/>
      <c r="BT4" s="238"/>
      <c r="BU4" s="238"/>
      <c r="BV4" s="238"/>
      <c r="BW4" s="238"/>
      <c r="BX4" s="238"/>
      <c r="BY4" s="238"/>
      <c r="BZ4" s="238"/>
      <c r="CA4" s="238"/>
      <c r="CB4" s="238"/>
      <c r="CC4" s="242"/>
      <c r="CD4" s="242"/>
      <c r="CE4" s="242"/>
      <c r="CF4" s="238"/>
    </row>
    <row r="5">
      <c r="A5" s="236"/>
      <c r="B5" s="236"/>
      <c r="C5" s="244"/>
      <c r="D5" s="245"/>
      <c r="E5" s="238"/>
      <c r="F5" s="238"/>
      <c r="G5" s="246"/>
      <c r="H5" s="247"/>
      <c r="I5" s="22"/>
      <c r="J5" s="248"/>
      <c r="K5" s="248"/>
      <c r="L5" s="247"/>
      <c r="M5" s="22"/>
      <c r="N5" s="248"/>
      <c r="O5" s="248"/>
      <c r="P5" s="248"/>
      <c r="Q5" s="248"/>
      <c r="R5" s="248"/>
      <c r="S5" s="249"/>
      <c r="T5" s="247"/>
      <c r="U5" s="22"/>
      <c r="V5" s="249"/>
      <c r="W5" s="249"/>
      <c r="X5" s="247"/>
      <c r="Y5" s="22"/>
      <c r="Z5" s="249"/>
      <c r="AA5" s="249"/>
      <c r="AB5" s="249"/>
      <c r="AC5" s="249"/>
      <c r="AD5" s="247"/>
      <c r="AE5" s="22"/>
      <c r="AF5" s="248"/>
      <c r="AG5" s="248"/>
      <c r="AH5" s="238"/>
      <c r="AI5" s="238"/>
      <c r="AJ5" s="238"/>
      <c r="AK5" s="238"/>
      <c r="AL5" s="238"/>
      <c r="AM5" s="238"/>
      <c r="AN5" s="238"/>
      <c r="AO5" s="238"/>
      <c r="AP5" s="238"/>
      <c r="AQ5" s="238"/>
      <c r="AR5" s="238"/>
      <c r="AS5" s="238"/>
      <c r="AT5" s="238"/>
      <c r="AU5" s="238"/>
      <c r="AV5" s="238"/>
      <c r="AW5" s="238"/>
      <c r="AX5" s="238"/>
      <c r="AY5" s="238"/>
      <c r="AZ5" s="238"/>
      <c r="BA5" s="238"/>
      <c r="BB5" s="238"/>
      <c r="BC5" s="238"/>
      <c r="BD5" s="238"/>
      <c r="BE5" s="238"/>
      <c r="BF5" s="238"/>
      <c r="BG5" s="238"/>
      <c r="BH5" s="238"/>
      <c r="BI5" s="238"/>
      <c r="BJ5" s="238"/>
      <c r="BK5" s="238"/>
      <c r="BL5" s="238"/>
      <c r="BM5" s="238"/>
      <c r="BN5" s="238"/>
      <c r="BO5" s="238"/>
      <c r="BP5" s="238"/>
      <c r="BQ5" s="238"/>
      <c r="BR5" s="238"/>
      <c r="BS5" s="238"/>
      <c r="BT5" s="238"/>
      <c r="BU5" s="238"/>
      <c r="BV5" s="238"/>
      <c r="BW5" s="238"/>
      <c r="BX5" s="238"/>
      <c r="BY5" s="238"/>
      <c r="BZ5" s="238"/>
      <c r="CA5" s="238"/>
      <c r="CB5" s="238"/>
      <c r="CC5" s="242"/>
      <c r="CD5" s="242"/>
      <c r="CE5" s="242"/>
      <c r="CF5" s="238"/>
    </row>
    <row r="6">
      <c r="A6" s="236"/>
      <c r="B6" s="236"/>
      <c r="C6" s="244"/>
      <c r="D6" s="245"/>
      <c r="E6" s="238"/>
      <c r="F6" s="23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8"/>
      <c r="AD6" s="248"/>
      <c r="AE6" s="248"/>
      <c r="AF6" s="248"/>
      <c r="AG6" s="248"/>
      <c r="AH6" s="238"/>
      <c r="AI6" s="238"/>
      <c r="AJ6" s="238"/>
      <c r="AK6" s="238"/>
      <c r="AL6" s="238"/>
      <c r="AM6" s="238"/>
      <c r="AN6" s="238"/>
      <c r="AO6" s="238"/>
      <c r="AP6" s="238"/>
      <c r="AQ6" s="238"/>
      <c r="AR6" s="238"/>
      <c r="AS6" s="238"/>
      <c r="AT6" s="238"/>
      <c r="AU6" s="238"/>
      <c r="AV6" s="238"/>
      <c r="AW6" s="238"/>
      <c r="AX6" s="238"/>
      <c r="AY6" s="238"/>
      <c r="AZ6" s="238"/>
      <c r="BA6" s="238"/>
      <c r="BB6" s="238"/>
      <c r="BC6" s="238"/>
      <c r="BD6" s="238"/>
      <c r="BE6" s="238"/>
      <c r="BF6" s="238"/>
      <c r="BG6" s="238"/>
      <c r="BH6" s="238"/>
      <c r="BI6" s="238"/>
      <c r="BJ6" s="238"/>
      <c r="BK6" s="238"/>
      <c r="BL6" s="238"/>
      <c r="BM6" s="238"/>
      <c r="BN6" s="238"/>
      <c r="BO6" s="238"/>
      <c r="BP6" s="238"/>
      <c r="BQ6" s="238"/>
      <c r="BR6" s="238"/>
      <c r="BS6" s="238"/>
      <c r="BT6" s="238"/>
      <c r="BU6" s="238"/>
      <c r="BV6" s="238"/>
      <c r="BW6" s="238"/>
      <c r="BX6" s="238"/>
      <c r="BY6" s="238"/>
      <c r="BZ6" s="238"/>
      <c r="CA6" s="238"/>
      <c r="CB6" s="238"/>
      <c r="CC6" s="242"/>
      <c r="CD6" s="242"/>
      <c r="CE6" s="242"/>
      <c r="CF6" s="238"/>
    </row>
    <row r="7">
      <c r="A7" s="236"/>
      <c r="B7" s="236"/>
      <c r="C7" s="244"/>
      <c r="D7" s="245"/>
      <c r="E7" s="238"/>
      <c r="F7" s="238"/>
      <c r="G7" s="248"/>
      <c r="H7" s="260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60"/>
      <c r="U7" s="262"/>
      <c r="V7" s="248"/>
      <c r="W7" s="248"/>
      <c r="X7" s="248"/>
      <c r="Y7" s="248"/>
      <c r="Z7" s="248"/>
      <c r="AA7" s="248"/>
      <c r="AB7" s="248"/>
      <c r="AC7" s="248"/>
      <c r="AD7" s="248"/>
      <c r="AE7" s="248"/>
      <c r="AF7" s="248"/>
      <c r="AG7" s="248"/>
      <c r="AH7" s="238"/>
      <c r="AI7" s="238"/>
      <c r="AJ7" s="238"/>
      <c r="AK7" s="238"/>
      <c r="AL7" s="238"/>
      <c r="AM7" s="238"/>
      <c r="AN7" s="238"/>
      <c r="AO7" s="238"/>
      <c r="AP7" s="238"/>
      <c r="AQ7" s="238"/>
      <c r="AR7" s="238"/>
      <c r="AS7" s="238"/>
      <c r="AT7" s="238"/>
      <c r="AU7" s="238"/>
      <c r="AV7" s="238"/>
      <c r="AW7" s="238"/>
      <c r="AX7" s="238"/>
      <c r="AY7" s="238"/>
      <c r="AZ7" s="238"/>
      <c r="BA7" s="238"/>
      <c r="BB7" s="238"/>
      <c r="BC7" s="238"/>
      <c r="BD7" s="238"/>
      <c r="BE7" s="238"/>
      <c r="BF7" s="238"/>
      <c r="BG7" s="238"/>
      <c r="BH7" s="238"/>
      <c r="BI7" s="238"/>
      <c r="BJ7" s="238"/>
      <c r="BK7" s="238"/>
      <c r="BL7" s="238"/>
      <c r="BM7" s="238"/>
      <c r="BN7" s="238"/>
      <c r="BO7" s="238"/>
      <c r="BP7" s="238"/>
      <c r="BQ7" s="238"/>
      <c r="BR7" s="238"/>
      <c r="BS7" s="238"/>
      <c r="BT7" s="238"/>
      <c r="BU7" s="238"/>
      <c r="BV7" s="238"/>
      <c r="BW7" s="238"/>
      <c r="BX7" s="238"/>
      <c r="BY7" s="238"/>
      <c r="BZ7" s="238"/>
      <c r="CA7" s="238"/>
      <c r="CB7" s="238"/>
      <c r="CC7" s="242"/>
      <c r="CD7" s="242"/>
      <c r="CE7" s="242"/>
      <c r="CF7" s="238"/>
    </row>
    <row r="8">
      <c r="A8" s="236"/>
      <c r="B8" s="236"/>
      <c r="C8" s="244"/>
      <c r="D8" s="245"/>
      <c r="E8" s="238"/>
      <c r="F8" s="238"/>
      <c r="G8" s="275"/>
      <c r="H8" s="276"/>
      <c r="I8" s="278"/>
      <c r="J8" s="248"/>
      <c r="K8" s="248"/>
      <c r="L8" s="248"/>
      <c r="M8" s="248"/>
      <c r="N8" s="248"/>
      <c r="O8" s="248"/>
      <c r="P8" s="248"/>
      <c r="Q8" s="248"/>
      <c r="R8" s="248"/>
      <c r="S8" s="282"/>
      <c r="T8" s="284"/>
      <c r="U8" s="286"/>
      <c r="V8" s="248"/>
      <c r="W8" s="248"/>
      <c r="X8" s="248"/>
      <c r="Y8" s="248"/>
      <c r="Z8" s="248"/>
      <c r="AA8" s="248"/>
      <c r="AB8" s="248"/>
      <c r="AC8" s="248"/>
      <c r="AD8" s="248"/>
      <c r="AE8" s="248"/>
      <c r="AF8" s="248"/>
      <c r="AG8" s="248"/>
      <c r="AH8" s="238"/>
      <c r="AI8" s="238"/>
      <c r="AJ8" s="238"/>
      <c r="AK8" s="238"/>
      <c r="AL8" s="238"/>
      <c r="AM8" s="238"/>
      <c r="AN8" s="238"/>
      <c r="AO8" s="238"/>
      <c r="AP8" s="238"/>
      <c r="AQ8" s="238"/>
      <c r="AR8" s="238"/>
      <c r="AS8" s="238"/>
      <c r="AT8" s="238"/>
      <c r="AU8" s="238"/>
      <c r="AV8" s="238"/>
      <c r="AW8" s="238"/>
      <c r="AX8" s="238"/>
      <c r="AY8" s="238"/>
      <c r="AZ8" s="238"/>
      <c r="BA8" s="238"/>
      <c r="BB8" s="238"/>
      <c r="BC8" s="238"/>
      <c r="BD8" s="238"/>
      <c r="BE8" s="238"/>
      <c r="BF8" s="238"/>
      <c r="BG8" s="238"/>
      <c r="BH8" s="238"/>
      <c r="BI8" s="238"/>
      <c r="BJ8" s="238"/>
      <c r="BK8" s="238"/>
      <c r="BL8" s="238"/>
      <c r="BM8" s="238"/>
      <c r="BN8" s="238"/>
      <c r="BO8" s="238"/>
      <c r="BP8" s="238"/>
      <c r="BQ8" s="238"/>
      <c r="BR8" s="238"/>
      <c r="BS8" s="238"/>
      <c r="BT8" s="238"/>
      <c r="BU8" s="238"/>
      <c r="BV8" s="238"/>
      <c r="BW8" s="238"/>
      <c r="BX8" s="238"/>
      <c r="BY8" s="238"/>
      <c r="BZ8" s="238"/>
      <c r="CA8" s="238"/>
      <c r="CB8" s="238"/>
      <c r="CC8" s="242"/>
      <c r="CD8" s="242"/>
      <c r="CE8" s="242"/>
      <c r="CF8" s="238"/>
    </row>
    <row r="9">
      <c r="A9" s="236"/>
      <c r="B9" s="236"/>
      <c r="C9" s="289"/>
      <c r="D9" s="245"/>
      <c r="E9" s="238"/>
      <c r="F9" s="238"/>
      <c r="G9" s="282"/>
      <c r="H9" s="276"/>
      <c r="I9" s="278"/>
      <c r="J9" s="290"/>
      <c r="K9" s="248"/>
      <c r="L9" s="260"/>
      <c r="M9" s="248"/>
      <c r="N9" s="248"/>
      <c r="O9" s="248"/>
      <c r="P9" s="248"/>
      <c r="Q9" s="248"/>
      <c r="R9" s="248"/>
      <c r="S9" s="282"/>
      <c r="T9" s="284"/>
      <c r="U9" s="286"/>
      <c r="V9" s="290"/>
      <c r="W9" s="248"/>
      <c r="X9" s="260"/>
      <c r="Y9" s="262"/>
      <c r="Z9" s="248"/>
      <c r="AA9" s="248"/>
      <c r="AB9" s="248"/>
      <c r="AC9" s="248"/>
      <c r="AD9" s="248"/>
      <c r="AE9" s="248"/>
      <c r="AF9" s="248"/>
      <c r="AG9" s="248"/>
      <c r="AH9" s="238"/>
      <c r="AI9" s="238"/>
      <c r="AJ9" s="238"/>
      <c r="AK9" s="238"/>
      <c r="AL9" s="238"/>
      <c r="AM9" s="238"/>
      <c r="AN9" s="238"/>
      <c r="AO9" s="238"/>
      <c r="AP9" s="238"/>
      <c r="AQ9" s="238"/>
      <c r="AR9" s="238"/>
      <c r="AS9" s="238"/>
      <c r="AT9" s="238"/>
      <c r="AU9" s="238"/>
      <c r="AV9" s="238"/>
      <c r="AW9" s="238"/>
      <c r="AX9" s="238"/>
      <c r="AY9" s="238"/>
      <c r="AZ9" s="238"/>
      <c r="BA9" s="238"/>
      <c r="BB9" s="238"/>
      <c r="BC9" s="238"/>
      <c r="BD9" s="238"/>
      <c r="BE9" s="238"/>
      <c r="BF9" s="238"/>
      <c r="BG9" s="238"/>
      <c r="BH9" s="238"/>
      <c r="BI9" s="238"/>
      <c r="BJ9" s="238"/>
      <c r="BK9" s="238"/>
      <c r="BL9" s="238"/>
      <c r="BM9" s="238"/>
      <c r="BN9" s="238"/>
      <c r="BO9" s="238"/>
      <c r="BP9" s="238"/>
      <c r="BQ9" s="238"/>
      <c r="BR9" s="238"/>
      <c r="BS9" s="238"/>
      <c r="BT9" s="238"/>
      <c r="BU9" s="238"/>
      <c r="BV9" s="238"/>
      <c r="BW9" s="238"/>
      <c r="BX9" s="238"/>
      <c r="BY9" s="238"/>
      <c r="BZ9" s="238"/>
      <c r="CA9" s="238"/>
      <c r="CB9" s="238"/>
      <c r="CC9" s="242"/>
      <c r="CD9" s="242"/>
      <c r="CE9" s="242"/>
      <c r="CF9" s="238"/>
    </row>
    <row r="10">
      <c r="A10" s="236"/>
      <c r="B10" s="236"/>
      <c r="C10" s="289"/>
      <c r="D10" s="245"/>
      <c r="E10" s="238"/>
      <c r="F10" s="238"/>
      <c r="G10" s="248"/>
      <c r="H10" s="260"/>
      <c r="I10" s="248"/>
      <c r="J10" s="291"/>
      <c r="K10" s="292"/>
      <c r="L10" s="293"/>
      <c r="M10" s="278"/>
      <c r="N10" s="294"/>
      <c r="O10" s="295"/>
      <c r="P10" s="296"/>
      <c r="Q10" s="248"/>
      <c r="R10" s="248"/>
      <c r="S10" s="248"/>
      <c r="T10" s="248"/>
      <c r="U10" s="248"/>
      <c r="V10" s="291"/>
      <c r="W10" s="292"/>
      <c r="X10" s="293"/>
      <c r="Y10" s="286"/>
      <c r="Z10" s="249"/>
      <c r="AA10" s="249"/>
      <c r="AB10" s="248"/>
      <c r="AC10" s="248"/>
      <c r="AD10" s="248"/>
      <c r="AE10" s="248"/>
      <c r="AF10" s="248"/>
      <c r="AG10" s="24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  <c r="BX10" s="238"/>
      <c r="BY10" s="238"/>
      <c r="BZ10" s="238"/>
      <c r="CA10" s="238"/>
      <c r="CB10" s="238"/>
      <c r="CC10" s="242"/>
      <c r="CD10" s="242"/>
      <c r="CE10" s="242"/>
      <c r="CF10" s="238"/>
    </row>
    <row r="11">
      <c r="A11" s="236"/>
      <c r="B11" s="236"/>
      <c r="E11" s="238"/>
      <c r="F11" s="238"/>
      <c r="G11" s="248"/>
      <c r="H11" s="248"/>
      <c r="I11" s="248"/>
      <c r="J11" s="248"/>
      <c r="K11" s="248"/>
      <c r="L11" s="276"/>
      <c r="M11" s="278"/>
      <c r="N11" s="248"/>
      <c r="O11" s="298"/>
      <c r="Q11" s="248"/>
      <c r="R11" s="248"/>
      <c r="S11" s="248"/>
      <c r="T11" s="260"/>
      <c r="U11" s="262"/>
      <c r="V11" s="291"/>
      <c r="W11" s="248"/>
      <c r="X11" s="293"/>
      <c r="Y11" s="286"/>
      <c r="Z11" s="301"/>
      <c r="AA11" s="301"/>
      <c r="AB11" s="290"/>
      <c r="AC11" s="248"/>
      <c r="AD11" s="248"/>
      <c r="AE11" s="248"/>
      <c r="AF11" s="248"/>
      <c r="AG11" s="24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  <c r="BX11" s="238"/>
      <c r="BY11" s="238"/>
      <c r="BZ11" s="238"/>
      <c r="CA11" s="238"/>
      <c r="CB11" s="238"/>
      <c r="CC11" s="242"/>
      <c r="CD11" s="242"/>
      <c r="CE11" s="242"/>
      <c r="CF11" s="238"/>
    </row>
    <row r="12">
      <c r="A12" s="236"/>
      <c r="B12" s="236"/>
      <c r="C12" s="237"/>
      <c r="D12" s="77"/>
      <c r="E12" s="238"/>
      <c r="F12" s="238"/>
      <c r="G12" s="248"/>
      <c r="H12" s="305"/>
      <c r="I12" s="248"/>
      <c r="J12" s="248"/>
      <c r="K12" s="248"/>
      <c r="L12" s="260"/>
      <c r="M12" s="248"/>
      <c r="N12" s="248"/>
      <c r="O12" s="248"/>
      <c r="P12" s="248"/>
      <c r="Q12" s="248"/>
      <c r="R12" s="248"/>
      <c r="S12" s="282"/>
      <c r="T12" s="284"/>
      <c r="U12" s="286"/>
      <c r="V12" s="306"/>
      <c r="W12" s="248"/>
      <c r="X12" s="248"/>
      <c r="Y12" s="248"/>
      <c r="Z12" s="248"/>
      <c r="AA12" s="248"/>
      <c r="AB12" s="291"/>
      <c r="AC12" s="248"/>
      <c r="AD12" s="248"/>
      <c r="AE12" s="248"/>
      <c r="AF12" s="248"/>
      <c r="AG12" s="24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  <c r="BW12" s="238"/>
      <c r="BX12" s="238"/>
      <c r="BY12" s="238"/>
      <c r="BZ12" s="238"/>
      <c r="CA12" s="238"/>
      <c r="CB12" s="238"/>
      <c r="CC12" s="242"/>
      <c r="CD12" s="242"/>
      <c r="CE12" s="242"/>
      <c r="CF12" s="238"/>
    </row>
    <row r="13">
      <c r="A13" s="236"/>
      <c r="B13" s="236"/>
      <c r="C13" s="244"/>
      <c r="D13" s="245"/>
      <c r="E13" s="238"/>
      <c r="F13" s="238"/>
      <c r="G13" s="282"/>
      <c r="H13" s="276"/>
      <c r="I13" s="278"/>
      <c r="J13" s="248"/>
      <c r="K13" s="248"/>
      <c r="L13" s="248"/>
      <c r="M13" s="248"/>
      <c r="N13" s="248"/>
      <c r="O13" s="248"/>
      <c r="P13" s="248"/>
      <c r="Q13" s="248"/>
      <c r="R13" s="248"/>
      <c r="S13" s="282"/>
      <c r="T13" s="284"/>
      <c r="U13" s="286"/>
      <c r="V13" s="248"/>
      <c r="W13" s="248"/>
      <c r="X13" s="248"/>
      <c r="Y13" s="248"/>
      <c r="Z13" s="248"/>
      <c r="AA13" s="248"/>
      <c r="AB13" s="291"/>
      <c r="AC13" s="248"/>
      <c r="AD13" s="248"/>
      <c r="AE13" s="248"/>
      <c r="AF13" s="248"/>
      <c r="AG13" s="24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  <c r="BW13" s="238"/>
      <c r="BX13" s="238"/>
      <c r="BY13" s="238"/>
      <c r="BZ13" s="238"/>
      <c r="CA13" s="238"/>
      <c r="CB13" s="238"/>
      <c r="CC13" s="242"/>
      <c r="CD13" s="242"/>
      <c r="CE13" s="242"/>
      <c r="CF13" s="238"/>
    </row>
    <row r="14">
      <c r="A14" s="236"/>
      <c r="B14" s="236"/>
      <c r="C14" s="244"/>
      <c r="D14" s="245"/>
      <c r="E14" s="238"/>
      <c r="F14" s="238"/>
      <c r="G14" s="282"/>
      <c r="H14" s="276"/>
      <c r="I14" s="278"/>
      <c r="J14" s="290"/>
      <c r="K14" s="248"/>
      <c r="L14" s="260"/>
      <c r="M14" s="248"/>
      <c r="N14" s="248"/>
      <c r="O14" s="248"/>
      <c r="P14" s="248"/>
      <c r="Q14" s="248"/>
      <c r="R14" s="248"/>
      <c r="S14" s="248"/>
      <c r="T14" s="248"/>
      <c r="U14" s="248"/>
      <c r="V14" s="248"/>
      <c r="W14" s="248"/>
      <c r="X14" s="248"/>
      <c r="Y14" s="248"/>
      <c r="Z14" s="248"/>
      <c r="AA14" s="248"/>
      <c r="AB14" s="291"/>
      <c r="AC14" s="292"/>
      <c r="AD14" s="316"/>
      <c r="AE14" s="286"/>
      <c r="AF14" s="294"/>
      <c r="AG14" s="295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  <c r="BW14" s="238"/>
      <c r="BX14" s="238"/>
      <c r="BY14" s="238"/>
      <c r="BZ14" s="238"/>
      <c r="CA14" s="238"/>
      <c r="CB14" s="238"/>
      <c r="CC14" s="242"/>
      <c r="CD14" s="242"/>
      <c r="CE14" s="242"/>
      <c r="CF14" s="238"/>
    </row>
    <row r="15">
      <c r="A15" s="236"/>
      <c r="B15" s="236"/>
      <c r="C15" s="244"/>
      <c r="D15" s="245"/>
      <c r="E15" s="238"/>
      <c r="F15" s="238"/>
      <c r="G15" s="248"/>
      <c r="H15" s="260"/>
      <c r="I15" s="248"/>
      <c r="J15" s="291"/>
      <c r="K15" s="292"/>
      <c r="L15" s="293"/>
      <c r="M15" s="278"/>
      <c r="N15" s="294"/>
      <c r="O15" s="295"/>
      <c r="P15" s="296"/>
      <c r="Q15" s="248"/>
      <c r="R15" s="248"/>
      <c r="S15" s="248"/>
      <c r="T15" s="260"/>
      <c r="U15" s="262"/>
      <c r="V15" s="248"/>
      <c r="W15" s="248"/>
      <c r="X15" s="248"/>
      <c r="Y15" s="248"/>
      <c r="Z15" s="248"/>
      <c r="AA15" s="248"/>
      <c r="AB15" s="291"/>
      <c r="AC15" s="248"/>
      <c r="AD15" s="316"/>
      <c r="AE15" s="286"/>
      <c r="AF15" s="248"/>
      <c r="AG15" s="29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  <c r="BW15" s="238"/>
      <c r="BX15" s="238"/>
      <c r="BY15" s="238"/>
      <c r="BZ15" s="238"/>
      <c r="CA15" s="238"/>
      <c r="CB15" s="238"/>
      <c r="CC15" s="242"/>
      <c r="CD15" s="242"/>
      <c r="CE15" s="242"/>
      <c r="CF15" s="238"/>
    </row>
    <row r="16">
      <c r="A16" s="236"/>
      <c r="B16" s="236"/>
      <c r="C16" s="244"/>
      <c r="D16" s="245"/>
      <c r="E16" s="238"/>
      <c r="F16" s="238"/>
      <c r="G16" s="248"/>
      <c r="H16" s="248"/>
      <c r="I16" s="248"/>
      <c r="J16" s="248"/>
      <c r="K16" s="248"/>
      <c r="L16" s="276"/>
      <c r="M16" s="278"/>
      <c r="N16" s="248"/>
      <c r="O16" s="298"/>
      <c r="Q16" s="248"/>
      <c r="R16" s="248"/>
      <c r="S16" s="282"/>
      <c r="T16" s="284"/>
      <c r="U16" s="286"/>
      <c r="V16" s="248"/>
      <c r="W16" s="248"/>
      <c r="X16" s="248"/>
      <c r="Y16" s="248"/>
      <c r="Z16" s="248"/>
      <c r="AA16" s="248"/>
      <c r="AB16" s="291"/>
      <c r="AC16" s="248"/>
      <c r="AD16" s="248"/>
      <c r="AE16" s="248"/>
      <c r="AF16" s="248"/>
      <c r="AG16" s="248"/>
      <c r="AH16" s="238"/>
      <c r="AI16" s="238"/>
      <c r="AJ16" s="238"/>
      <c r="AK16" s="238"/>
      <c r="AL16" s="238"/>
      <c r="AM16" s="238"/>
      <c r="AN16" s="238"/>
      <c r="AO16" s="238"/>
      <c r="AP16" s="238"/>
      <c r="AQ16" s="238"/>
      <c r="AR16" s="238"/>
      <c r="AS16" s="238"/>
      <c r="AT16" s="238"/>
      <c r="AU16" s="238"/>
      <c r="AV16" s="238"/>
      <c r="AW16" s="238"/>
      <c r="AX16" s="238"/>
      <c r="AY16" s="238"/>
      <c r="AZ16" s="238"/>
      <c r="BA16" s="238"/>
      <c r="BB16" s="238"/>
      <c r="BC16" s="238"/>
      <c r="BD16" s="238"/>
      <c r="BE16" s="238"/>
      <c r="BF16" s="238"/>
      <c r="BG16" s="238"/>
      <c r="BH16" s="238"/>
      <c r="BI16" s="238"/>
      <c r="BJ16" s="238"/>
      <c r="BK16" s="238"/>
      <c r="BL16" s="238"/>
      <c r="BM16" s="238"/>
      <c r="BN16" s="238"/>
      <c r="BO16" s="238"/>
      <c r="BP16" s="238"/>
      <c r="BQ16" s="238"/>
      <c r="BR16" s="238"/>
      <c r="BS16" s="238"/>
      <c r="BT16" s="238"/>
      <c r="BU16" s="238"/>
      <c r="BV16" s="238"/>
      <c r="BW16" s="238"/>
      <c r="BX16" s="238"/>
      <c r="BY16" s="238"/>
      <c r="BZ16" s="238"/>
      <c r="CA16" s="238"/>
      <c r="CB16" s="238"/>
      <c r="CC16" s="242"/>
      <c r="CD16" s="242"/>
      <c r="CE16" s="242"/>
      <c r="CF16" s="238"/>
    </row>
    <row r="17">
      <c r="A17" s="236"/>
      <c r="B17" s="236"/>
      <c r="C17" s="289"/>
      <c r="D17" s="245"/>
      <c r="E17" s="238"/>
      <c r="F17" s="238"/>
      <c r="G17" s="248"/>
      <c r="H17" s="305"/>
      <c r="I17" s="248"/>
      <c r="J17" s="248"/>
      <c r="K17" s="248"/>
      <c r="L17" s="260"/>
      <c r="M17" s="248"/>
      <c r="N17" s="248"/>
      <c r="O17" s="248"/>
      <c r="P17" s="248"/>
      <c r="Q17" s="248"/>
      <c r="R17" s="248"/>
      <c r="S17" s="282"/>
      <c r="T17" s="284"/>
      <c r="U17" s="286"/>
      <c r="V17" s="290"/>
      <c r="W17" s="248"/>
      <c r="X17" s="260"/>
      <c r="Y17" s="262"/>
      <c r="Z17" s="248"/>
      <c r="AA17" s="248"/>
      <c r="AB17" s="291"/>
      <c r="AC17" s="248"/>
      <c r="AD17" s="248"/>
      <c r="AE17" s="248"/>
      <c r="AF17" s="248"/>
      <c r="AG17" s="248"/>
      <c r="AH17" s="238"/>
      <c r="AI17" s="238"/>
      <c r="AJ17" s="238"/>
      <c r="AK17" s="238"/>
      <c r="AL17" s="238"/>
      <c r="AM17" s="238"/>
      <c r="AN17" s="238"/>
      <c r="AO17" s="238"/>
      <c r="AP17" s="238"/>
      <c r="AQ17" s="238"/>
      <c r="AR17" s="238"/>
      <c r="AS17" s="238"/>
      <c r="AT17" s="238"/>
      <c r="AU17" s="238"/>
      <c r="AV17" s="238"/>
      <c r="AW17" s="238"/>
      <c r="AX17" s="238"/>
      <c r="AY17" s="238"/>
      <c r="AZ17" s="238"/>
      <c r="BA17" s="238"/>
      <c r="BB17" s="238"/>
      <c r="BC17" s="238"/>
      <c r="BD17" s="238"/>
      <c r="BE17" s="238"/>
      <c r="BF17" s="238"/>
      <c r="BG17" s="238"/>
      <c r="BH17" s="238"/>
      <c r="BI17" s="238"/>
      <c r="BJ17" s="238"/>
      <c r="BK17" s="238"/>
      <c r="BL17" s="238"/>
      <c r="BM17" s="238"/>
      <c r="BN17" s="238"/>
      <c r="BO17" s="238"/>
      <c r="BP17" s="238"/>
      <c r="BQ17" s="238"/>
      <c r="BR17" s="238"/>
      <c r="BS17" s="238"/>
      <c r="BT17" s="238"/>
      <c r="BU17" s="238"/>
      <c r="BV17" s="238"/>
      <c r="BW17" s="238"/>
      <c r="BX17" s="238"/>
      <c r="BY17" s="238"/>
      <c r="BZ17" s="238"/>
      <c r="CA17" s="339"/>
      <c r="CB17" s="238"/>
      <c r="CC17" s="242"/>
      <c r="CD17" s="242"/>
      <c r="CE17" s="242"/>
      <c r="CF17" s="238"/>
    </row>
    <row r="18">
      <c r="A18" s="236"/>
      <c r="B18" s="236"/>
      <c r="C18" s="289"/>
      <c r="D18" s="245"/>
      <c r="E18" s="238"/>
      <c r="F18" s="238"/>
      <c r="G18" s="282"/>
      <c r="H18" s="276"/>
      <c r="I18" s="278"/>
      <c r="J18" s="248"/>
      <c r="K18" s="248"/>
      <c r="L18" s="248"/>
      <c r="M18" s="248"/>
      <c r="N18" s="248"/>
      <c r="O18" s="248"/>
      <c r="P18" s="248"/>
      <c r="Q18" s="248"/>
      <c r="R18" s="248"/>
      <c r="S18" s="248"/>
      <c r="T18" s="248"/>
      <c r="U18" s="248"/>
      <c r="V18" s="291"/>
      <c r="W18" s="292"/>
      <c r="X18" s="293"/>
      <c r="Y18" s="286"/>
      <c r="Z18" s="341"/>
      <c r="AA18" s="341"/>
      <c r="AB18" s="306"/>
      <c r="AC18" s="248"/>
      <c r="AD18" s="248"/>
      <c r="AE18" s="248"/>
      <c r="AF18" s="248"/>
      <c r="AG18" s="248"/>
      <c r="AH18" s="238"/>
      <c r="AI18" s="238"/>
      <c r="AJ18" s="238"/>
      <c r="AK18" s="238"/>
      <c r="AL18" s="238"/>
      <c r="AM18" s="238"/>
      <c r="AN18" s="238"/>
      <c r="AO18" s="238"/>
      <c r="AP18" s="238"/>
      <c r="AQ18" s="238"/>
      <c r="AR18" s="238"/>
      <c r="AS18" s="238"/>
      <c r="AT18" s="238"/>
      <c r="AU18" s="238"/>
      <c r="AV18" s="238"/>
      <c r="AW18" s="238"/>
      <c r="AX18" s="238"/>
      <c r="AY18" s="238"/>
      <c r="AZ18" s="238"/>
      <c r="BA18" s="238"/>
      <c r="BB18" s="238"/>
      <c r="BC18" s="238"/>
      <c r="BD18" s="238"/>
      <c r="BE18" s="238"/>
      <c r="BF18" s="238"/>
      <c r="BG18" s="238"/>
      <c r="BH18" s="238"/>
      <c r="BI18" s="238"/>
      <c r="BJ18" s="238"/>
      <c r="BK18" s="238"/>
      <c r="BL18" s="238"/>
      <c r="BM18" s="238"/>
      <c r="BN18" s="238"/>
      <c r="BO18" s="238"/>
      <c r="BP18" s="238"/>
      <c r="BQ18" s="238"/>
      <c r="BR18" s="238"/>
      <c r="BS18" s="238"/>
      <c r="BT18" s="238"/>
      <c r="BU18" s="238"/>
      <c r="BV18" s="238"/>
      <c r="BW18" s="238"/>
      <c r="BX18" s="238"/>
      <c r="BY18" s="238"/>
      <c r="BZ18" s="238"/>
      <c r="CA18" s="238"/>
      <c r="CB18" s="238"/>
      <c r="CC18" s="242"/>
      <c r="CD18" s="242"/>
      <c r="CE18" s="242"/>
      <c r="CF18" s="238"/>
    </row>
    <row r="19">
      <c r="A19" s="236"/>
      <c r="B19" s="236"/>
      <c r="E19" s="238"/>
      <c r="F19" s="238"/>
      <c r="G19" s="282"/>
      <c r="H19" s="276"/>
      <c r="I19" s="278"/>
      <c r="J19" s="290"/>
      <c r="K19" s="248"/>
      <c r="L19" s="260"/>
      <c r="M19" s="248"/>
      <c r="N19" s="248"/>
      <c r="O19" s="248"/>
      <c r="P19" s="248"/>
      <c r="Q19" s="248"/>
      <c r="R19" s="248"/>
      <c r="S19" s="248"/>
      <c r="T19" s="260"/>
      <c r="U19" s="262"/>
      <c r="V19" s="291"/>
      <c r="W19" s="248"/>
      <c r="X19" s="293"/>
      <c r="Y19" s="286"/>
      <c r="Z19" s="249"/>
      <c r="AA19" s="249"/>
      <c r="AB19" s="248"/>
      <c r="AC19" s="248"/>
      <c r="AD19" s="248"/>
      <c r="AE19" s="248"/>
      <c r="AF19" s="248"/>
      <c r="AG19" s="248"/>
      <c r="AH19" s="238"/>
      <c r="AI19" s="238"/>
      <c r="AJ19" s="238"/>
      <c r="AK19" s="238"/>
      <c r="AL19" s="238"/>
      <c r="AM19" s="238"/>
      <c r="AN19" s="238"/>
      <c r="AO19" s="238"/>
      <c r="AP19" s="238"/>
      <c r="AQ19" s="238"/>
      <c r="AR19" s="238"/>
      <c r="AS19" s="238"/>
      <c r="AT19" s="238"/>
      <c r="AU19" s="238"/>
      <c r="AV19" s="238"/>
      <c r="AW19" s="238"/>
      <c r="AX19" s="238"/>
      <c r="AY19" s="238"/>
      <c r="AZ19" s="238"/>
      <c r="BA19" s="238"/>
      <c r="BB19" s="238"/>
      <c r="BC19" s="238"/>
      <c r="BD19" s="238"/>
      <c r="BE19" s="238"/>
      <c r="BF19" s="238"/>
      <c r="BG19" s="238"/>
      <c r="BH19" s="238"/>
      <c r="BI19" s="238"/>
      <c r="BJ19" s="238"/>
      <c r="BK19" s="238"/>
      <c r="BL19" s="238"/>
      <c r="BM19" s="238"/>
      <c r="BN19" s="238"/>
      <c r="BO19" s="238"/>
      <c r="BP19" s="238"/>
      <c r="BQ19" s="238"/>
      <c r="BR19" s="238"/>
      <c r="BS19" s="238"/>
      <c r="BT19" s="238"/>
      <c r="BU19" s="238"/>
      <c r="BV19" s="238"/>
      <c r="BW19" s="238"/>
      <c r="BX19" s="238"/>
      <c r="BY19" s="238"/>
      <c r="BZ19" s="238"/>
      <c r="CA19" s="238"/>
      <c r="CB19" s="238"/>
      <c r="CC19" s="242"/>
      <c r="CD19" s="242"/>
      <c r="CE19" s="242"/>
      <c r="CF19" s="238"/>
    </row>
    <row r="20">
      <c r="A20" s="236"/>
      <c r="B20" s="236"/>
      <c r="C20" s="237"/>
      <c r="D20" s="77"/>
      <c r="E20" s="238"/>
      <c r="F20" s="238"/>
      <c r="G20" s="248"/>
      <c r="H20" s="260"/>
      <c r="I20" s="248"/>
      <c r="J20" s="291"/>
      <c r="K20" s="292"/>
      <c r="L20" s="293"/>
      <c r="M20" s="278"/>
      <c r="N20" s="294"/>
      <c r="O20" s="295"/>
      <c r="P20" s="296"/>
      <c r="Q20" s="248"/>
      <c r="R20" s="248"/>
      <c r="S20" s="282"/>
      <c r="T20" s="284"/>
      <c r="U20" s="286"/>
      <c r="V20" s="306"/>
      <c r="W20" s="248"/>
      <c r="X20" s="248"/>
      <c r="Y20" s="248"/>
      <c r="Z20" s="248"/>
      <c r="AA20" s="248"/>
      <c r="AB20" s="248"/>
      <c r="AC20" s="248"/>
      <c r="AD20" s="248"/>
      <c r="AE20" s="248"/>
      <c r="AF20" s="248"/>
      <c r="AG20" s="248"/>
      <c r="AH20" s="238"/>
      <c r="AI20" s="238"/>
      <c r="AJ20" s="238"/>
      <c r="AK20" s="238"/>
      <c r="AL20" s="238"/>
      <c r="AM20" s="238"/>
      <c r="AN20" s="238"/>
      <c r="AO20" s="238"/>
      <c r="AP20" s="238"/>
      <c r="AQ20" s="238"/>
      <c r="AR20" s="238"/>
      <c r="AS20" s="238"/>
      <c r="AT20" s="238"/>
      <c r="AU20" s="238"/>
      <c r="AV20" s="238"/>
      <c r="AW20" s="238"/>
      <c r="AX20" s="238"/>
      <c r="AY20" s="238"/>
      <c r="AZ20" s="238"/>
      <c r="BA20" s="238"/>
      <c r="BB20" s="238"/>
      <c r="BC20" s="238"/>
      <c r="BD20" s="238"/>
      <c r="BE20" s="238"/>
      <c r="BF20" s="238"/>
      <c r="BG20" s="238"/>
      <c r="BH20" s="238"/>
      <c r="BI20" s="238"/>
      <c r="BJ20" s="238"/>
      <c r="BK20" s="238"/>
      <c r="BL20" s="238"/>
      <c r="BM20" s="238"/>
      <c r="BN20" s="238"/>
      <c r="BO20" s="238"/>
      <c r="BP20" s="238"/>
      <c r="BQ20" s="238"/>
      <c r="BR20" s="238"/>
      <c r="BS20" s="238"/>
      <c r="BT20" s="238"/>
      <c r="BU20" s="238"/>
      <c r="BV20" s="238"/>
      <c r="BW20" s="238"/>
      <c r="BX20" s="238"/>
      <c r="BY20" s="238"/>
      <c r="BZ20" s="238"/>
      <c r="CA20" s="238"/>
      <c r="CB20" s="238"/>
      <c r="CC20" s="238"/>
      <c r="CD20" s="238"/>
      <c r="CE20" s="238"/>
      <c r="CF20" s="238"/>
    </row>
    <row r="21">
      <c r="A21" s="236"/>
      <c r="B21" s="236"/>
      <c r="C21" s="244"/>
      <c r="D21" s="245"/>
      <c r="E21" s="238"/>
      <c r="F21" s="238"/>
      <c r="G21" s="248"/>
      <c r="H21" s="248"/>
      <c r="I21" s="248"/>
      <c r="J21" s="248"/>
      <c r="K21" s="248"/>
      <c r="L21" s="276"/>
      <c r="M21" s="278"/>
      <c r="N21" s="248"/>
      <c r="O21" s="298"/>
      <c r="Q21" s="248"/>
      <c r="R21" s="248"/>
      <c r="S21" s="282"/>
      <c r="T21" s="284"/>
      <c r="U21" s="286"/>
      <c r="V21" s="248"/>
      <c r="W21" s="248"/>
      <c r="X21" s="305"/>
      <c r="Y21" s="248"/>
      <c r="Z21" s="248"/>
      <c r="AA21" s="248"/>
      <c r="AB21" s="248"/>
      <c r="AC21" s="248"/>
      <c r="AD21" s="248"/>
      <c r="AE21" s="248"/>
      <c r="AF21" s="248"/>
      <c r="AG21" s="248"/>
      <c r="AH21" s="240"/>
      <c r="AI21" s="240"/>
      <c r="AJ21" s="240"/>
      <c r="AK21" s="240"/>
      <c r="AL21" s="240"/>
      <c r="AM21" s="240"/>
      <c r="AN21" s="240"/>
      <c r="AO21" s="240"/>
      <c r="AP21" s="240"/>
      <c r="AQ21" s="240"/>
      <c r="AR21" s="240"/>
      <c r="AS21" s="240"/>
      <c r="AT21" s="240"/>
      <c r="AU21" s="240"/>
      <c r="AV21" s="240"/>
      <c r="AW21" s="240"/>
      <c r="AX21" s="240"/>
      <c r="AY21" s="240"/>
      <c r="AZ21" s="240"/>
      <c r="BA21" s="240"/>
      <c r="BB21" s="240"/>
      <c r="BC21" s="240"/>
      <c r="BD21" s="240"/>
      <c r="BE21" s="240"/>
      <c r="BF21" s="240"/>
      <c r="BG21" s="240"/>
      <c r="BH21" s="240"/>
      <c r="BI21" s="240"/>
      <c r="BJ21" s="240"/>
      <c r="BK21" s="240"/>
      <c r="BL21" s="240"/>
      <c r="BM21" s="240"/>
      <c r="BN21" s="240"/>
      <c r="BO21" s="240"/>
      <c r="BP21" s="240"/>
      <c r="BQ21" s="240"/>
      <c r="BR21" s="240"/>
      <c r="BS21" s="240"/>
      <c r="BT21" s="240"/>
      <c r="BU21" s="240"/>
      <c r="BV21" s="240"/>
      <c r="BW21" s="240"/>
      <c r="BX21" s="240"/>
      <c r="BY21" s="240"/>
      <c r="BZ21" s="240"/>
      <c r="CA21" s="238"/>
      <c r="CB21" s="238"/>
      <c r="CC21" s="238"/>
      <c r="CD21" s="238"/>
      <c r="CE21" s="238"/>
      <c r="CF21" s="240"/>
    </row>
    <row r="22">
      <c r="A22" s="236"/>
      <c r="B22" s="236"/>
      <c r="C22" s="244"/>
      <c r="D22" s="245"/>
      <c r="E22" s="238"/>
      <c r="F22" s="238"/>
      <c r="G22" s="248"/>
      <c r="H22" s="305"/>
      <c r="I22" s="248"/>
      <c r="J22" s="248"/>
      <c r="K22" s="248"/>
      <c r="L22" s="260"/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93"/>
      <c r="Y22" s="286"/>
      <c r="Z22" s="294"/>
      <c r="AA22" s="352"/>
      <c r="AB22" s="248"/>
      <c r="AC22" s="248"/>
      <c r="AD22" s="248"/>
      <c r="AE22" s="248"/>
      <c r="AF22" s="248"/>
      <c r="AG22" s="248"/>
      <c r="AH22" s="236"/>
      <c r="AI22" s="236"/>
      <c r="AJ22" s="236"/>
      <c r="AK22" s="236"/>
      <c r="AL22" s="236"/>
      <c r="AM22" s="236"/>
      <c r="AN22" s="236"/>
      <c r="AO22" s="236"/>
      <c r="AP22" s="236"/>
      <c r="AQ22" s="236"/>
      <c r="AR22" s="236"/>
      <c r="AS22" s="236"/>
      <c r="AT22" s="236"/>
      <c r="AU22" s="236"/>
      <c r="AV22" s="236"/>
      <c r="AW22" s="236"/>
      <c r="AX22" s="236"/>
      <c r="AY22" s="236"/>
      <c r="AZ22" s="236"/>
      <c r="BA22" s="236"/>
      <c r="BB22" s="236"/>
      <c r="BC22" s="236"/>
      <c r="BD22" s="236"/>
      <c r="BE22" s="236"/>
      <c r="BF22" s="236"/>
      <c r="BG22" s="236"/>
      <c r="BH22" s="236"/>
      <c r="BI22" s="236"/>
      <c r="BJ22" s="236"/>
      <c r="BK22" s="236"/>
      <c r="BL22" s="236"/>
      <c r="BM22" s="236"/>
      <c r="BN22" s="236"/>
      <c r="BO22" s="236"/>
      <c r="BP22" s="236"/>
      <c r="BQ22" s="236"/>
      <c r="BR22" s="236"/>
      <c r="BS22" s="236"/>
      <c r="BT22" s="236"/>
      <c r="BU22" s="236"/>
      <c r="BV22" s="236"/>
      <c r="BW22" s="236"/>
      <c r="BX22" s="236"/>
      <c r="BY22" s="236"/>
      <c r="BZ22" s="236"/>
      <c r="CA22" s="238"/>
      <c r="CB22" s="238"/>
      <c r="CC22" s="238"/>
      <c r="CD22" s="238"/>
      <c r="CE22" s="238"/>
      <c r="CF22" s="236"/>
    </row>
    <row r="23">
      <c r="A23" s="236"/>
      <c r="B23" s="236"/>
      <c r="C23" s="244"/>
      <c r="D23" s="245"/>
      <c r="E23" s="238"/>
      <c r="F23" s="238"/>
      <c r="G23" s="282"/>
      <c r="H23" s="276"/>
      <c r="I23" s="278"/>
      <c r="J23" s="248"/>
      <c r="K23" s="248"/>
      <c r="L23" s="248"/>
      <c r="M23" s="248"/>
      <c r="N23" s="248"/>
      <c r="O23" s="248"/>
      <c r="P23" s="248"/>
      <c r="Q23" s="248"/>
      <c r="R23" s="248"/>
      <c r="S23" s="248"/>
      <c r="T23" s="248"/>
      <c r="U23" s="248"/>
      <c r="V23" s="248"/>
      <c r="W23" s="248"/>
      <c r="X23" s="293"/>
      <c r="Y23" s="286"/>
      <c r="Z23" s="248"/>
      <c r="AA23" s="298"/>
      <c r="AB23" s="248"/>
      <c r="AC23" s="248"/>
      <c r="AD23" s="248"/>
      <c r="AE23" s="248"/>
      <c r="AF23" s="248"/>
      <c r="AG23" s="248"/>
      <c r="AH23" s="236"/>
      <c r="AI23" s="236"/>
      <c r="AJ23" s="236"/>
      <c r="AK23" s="236"/>
      <c r="AL23" s="236"/>
      <c r="AM23" s="236"/>
      <c r="AN23" s="236"/>
      <c r="AO23" s="236"/>
      <c r="AP23" s="236"/>
      <c r="AQ23" s="236"/>
      <c r="AR23" s="236"/>
      <c r="AS23" s="236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6"/>
      <c r="BH23" s="236"/>
      <c r="BI23" s="236"/>
      <c r="BJ23" s="236"/>
      <c r="BK23" s="236"/>
      <c r="BL23" s="236"/>
      <c r="BM23" s="236"/>
      <c r="BN23" s="236"/>
      <c r="BO23" s="236"/>
      <c r="BP23" s="236"/>
      <c r="BQ23" s="236"/>
      <c r="BR23" s="236"/>
      <c r="BS23" s="236"/>
      <c r="BT23" s="236"/>
      <c r="BU23" s="236"/>
      <c r="BV23" s="236"/>
      <c r="BW23" s="236"/>
      <c r="BX23" s="236"/>
      <c r="BY23" s="236"/>
      <c r="BZ23" s="236"/>
      <c r="CA23" s="238"/>
      <c r="CB23" s="238"/>
      <c r="CC23" s="238"/>
      <c r="CD23" s="238"/>
      <c r="CE23" s="238"/>
      <c r="CF23" s="236"/>
    </row>
    <row r="24">
      <c r="A24" s="236"/>
      <c r="B24" s="236"/>
      <c r="C24" s="244"/>
      <c r="D24" s="245"/>
      <c r="E24" s="238"/>
      <c r="F24" s="238"/>
      <c r="G24" s="282"/>
      <c r="H24" s="358"/>
      <c r="I24" s="278"/>
      <c r="J24" s="290"/>
      <c r="K24" s="248"/>
      <c r="L24" s="260"/>
      <c r="M24" s="248"/>
      <c r="N24" s="248"/>
      <c r="O24" s="248"/>
      <c r="P24" s="248"/>
      <c r="Q24" s="248"/>
      <c r="R24" s="248"/>
      <c r="S24" s="248"/>
      <c r="T24" s="248"/>
      <c r="U24" s="248"/>
      <c r="V24" s="248"/>
      <c r="W24" s="248"/>
      <c r="X24" s="248"/>
      <c r="Y24" s="248"/>
      <c r="Z24" s="248"/>
      <c r="AA24" s="248"/>
      <c r="AB24" s="248"/>
      <c r="AC24" s="248"/>
      <c r="AD24" s="248"/>
      <c r="AE24" s="248"/>
      <c r="AF24" s="248"/>
      <c r="AG24" s="248"/>
      <c r="AH24" s="236"/>
      <c r="AI24" s="236"/>
      <c r="AJ24" s="236"/>
      <c r="AK24" s="236"/>
      <c r="AL24" s="236"/>
      <c r="AM24" s="236"/>
      <c r="AN24" s="236"/>
      <c r="AO24" s="236"/>
      <c r="AP24" s="236"/>
      <c r="AQ24" s="236"/>
      <c r="AR24" s="236"/>
      <c r="AS24" s="236"/>
      <c r="AT24" s="236"/>
      <c r="AU24" s="236"/>
      <c r="AV24" s="236"/>
      <c r="AW24" s="236"/>
      <c r="AX24" s="236"/>
      <c r="AY24" s="236"/>
      <c r="AZ24" s="236"/>
      <c r="BA24" s="236"/>
      <c r="BB24" s="236"/>
      <c r="BC24" s="236"/>
      <c r="BD24" s="236"/>
      <c r="BE24" s="236"/>
      <c r="BF24" s="236"/>
      <c r="BG24" s="236"/>
      <c r="BH24" s="236"/>
      <c r="BI24" s="236"/>
      <c r="BJ24" s="236"/>
      <c r="BK24" s="236"/>
      <c r="BL24" s="236"/>
      <c r="BM24" s="236"/>
      <c r="BN24" s="236"/>
      <c r="BO24" s="236"/>
      <c r="BP24" s="236"/>
      <c r="BQ24" s="236"/>
      <c r="BR24" s="236"/>
      <c r="BS24" s="236"/>
      <c r="BT24" s="236"/>
      <c r="BU24" s="236"/>
      <c r="BV24" s="236"/>
      <c r="BW24" s="236"/>
      <c r="BX24" s="236"/>
      <c r="BY24" s="236"/>
      <c r="BZ24" s="236"/>
      <c r="CA24" s="238"/>
      <c r="CB24" s="238"/>
      <c r="CC24" s="238"/>
      <c r="CD24" s="238"/>
      <c r="CE24" s="238"/>
      <c r="CF24" s="236"/>
    </row>
    <row r="25">
      <c r="A25" s="236"/>
      <c r="B25" s="236"/>
      <c r="C25" s="289"/>
      <c r="D25" s="245"/>
      <c r="E25" s="238"/>
      <c r="F25" s="238"/>
      <c r="G25" s="248"/>
      <c r="H25" s="260"/>
      <c r="I25" s="248"/>
      <c r="J25" s="291"/>
      <c r="K25" s="292"/>
      <c r="L25" s="293"/>
      <c r="M25" s="278"/>
      <c r="N25" s="294"/>
      <c r="O25" s="295"/>
      <c r="P25" s="296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48"/>
      <c r="AE25" s="248"/>
      <c r="AF25" s="248"/>
      <c r="AG25" s="248"/>
      <c r="AH25" s="236"/>
      <c r="AI25" s="236"/>
      <c r="AJ25" s="236"/>
      <c r="AK25" s="236"/>
      <c r="AL25" s="236"/>
      <c r="AM25" s="236"/>
      <c r="AN25" s="236"/>
      <c r="AO25" s="236"/>
      <c r="AP25" s="236"/>
      <c r="AQ25" s="236"/>
      <c r="AR25" s="236"/>
      <c r="AS25" s="236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6"/>
      <c r="BH25" s="236"/>
      <c r="BI25" s="236"/>
      <c r="BJ25" s="236"/>
      <c r="BK25" s="236"/>
      <c r="BL25" s="236"/>
      <c r="BM25" s="236"/>
      <c r="BN25" s="236"/>
      <c r="BO25" s="236"/>
      <c r="BP25" s="236"/>
      <c r="BQ25" s="236"/>
      <c r="BR25" s="236"/>
      <c r="BS25" s="236"/>
      <c r="BT25" s="236"/>
      <c r="BU25" s="236"/>
      <c r="BV25" s="236"/>
      <c r="BW25" s="236"/>
      <c r="BX25" s="236"/>
      <c r="BY25" s="236"/>
      <c r="BZ25" s="236"/>
      <c r="CA25" s="238"/>
      <c r="CB25" s="238"/>
      <c r="CC25" s="238"/>
      <c r="CD25" s="238"/>
      <c r="CE25" s="238"/>
      <c r="CF25" s="236"/>
    </row>
    <row r="26">
      <c r="A26" s="236"/>
      <c r="B26" s="236"/>
      <c r="C26" s="289"/>
      <c r="D26" s="245"/>
      <c r="E26" s="238"/>
      <c r="F26" s="238"/>
      <c r="G26" s="248"/>
      <c r="H26" s="248"/>
      <c r="I26" s="248"/>
      <c r="J26" s="248"/>
      <c r="K26" s="248"/>
      <c r="L26" s="276"/>
      <c r="M26" s="278"/>
      <c r="N26" s="248"/>
      <c r="O26" s="298"/>
      <c r="Q26" s="248"/>
      <c r="R26" s="248"/>
      <c r="S26" s="248"/>
      <c r="T26" s="248"/>
      <c r="U26" s="248"/>
      <c r="V26" s="248"/>
      <c r="W26" s="248"/>
      <c r="X26" s="248"/>
      <c r="Y26" s="248"/>
      <c r="Z26" s="248"/>
      <c r="AA26" s="248"/>
      <c r="AB26" s="248"/>
      <c r="AC26" s="248"/>
      <c r="AD26" s="248"/>
      <c r="AE26" s="248"/>
      <c r="AF26" s="248"/>
      <c r="AG26" s="248"/>
      <c r="AH26" s="236"/>
      <c r="AI26" s="236"/>
      <c r="AJ26" s="236"/>
      <c r="AK26" s="236"/>
      <c r="AL26" s="236"/>
      <c r="AM26" s="236"/>
      <c r="AN26" s="236"/>
      <c r="AO26" s="236"/>
      <c r="AP26" s="236"/>
      <c r="AQ26" s="236"/>
      <c r="AR26" s="236"/>
      <c r="AS26" s="236"/>
      <c r="AT26" s="236"/>
      <c r="AU26" s="236"/>
      <c r="AV26" s="236"/>
      <c r="AW26" s="236"/>
      <c r="AX26" s="236"/>
      <c r="AY26" s="236"/>
      <c r="AZ26" s="236"/>
      <c r="BA26" s="236"/>
      <c r="BB26" s="236"/>
      <c r="BC26" s="236"/>
      <c r="BD26" s="236"/>
      <c r="BE26" s="236"/>
      <c r="BF26" s="236"/>
      <c r="BG26" s="236"/>
      <c r="BH26" s="236"/>
      <c r="BI26" s="236"/>
      <c r="BJ26" s="236"/>
      <c r="BK26" s="236"/>
      <c r="BL26" s="236"/>
      <c r="BM26" s="236"/>
      <c r="BN26" s="236"/>
      <c r="BO26" s="236"/>
      <c r="BP26" s="236"/>
      <c r="BQ26" s="236"/>
      <c r="BR26" s="236"/>
      <c r="BS26" s="236"/>
      <c r="BT26" s="236"/>
      <c r="BU26" s="236"/>
      <c r="BV26" s="236"/>
      <c r="BW26" s="236"/>
      <c r="BX26" s="236"/>
      <c r="BY26" s="236"/>
      <c r="BZ26" s="236"/>
      <c r="CA26" s="238"/>
      <c r="CB26" s="238"/>
      <c r="CC26" s="238"/>
      <c r="CD26" s="238"/>
      <c r="CE26" s="238"/>
      <c r="CF26" s="236"/>
    </row>
    <row r="27">
      <c r="A27" s="236"/>
      <c r="B27" s="236"/>
      <c r="E27" s="238"/>
      <c r="F27" s="238"/>
      <c r="G27" s="248"/>
      <c r="H27" s="248"/>
      <c r="I27" s="248"/>
      <c r="J27" s="248"/>
      <c r="K27" s="248"/>
      <c r="L27" s="260"/>
      <c r="M27" s="248"/>
      <c r="N27" s="248"/>
      <c r="O27" s="248"/>
      <c r="P27" s="248"/>
      <c r="Q27" s="248"/>
      <c r="R27" s="248"/>
      <c r="S27" s="248"/>
      <c r="T27" s="248"/>
      <c r="U27" s="248"/>
      <c r="V27" s="248"/>
      <c r="W27" s="248"/>
      <c r="X27" s="248"/>
      <c r="Y27" s="248"/>
      <c r="Z27" s="248"/>
      <c r="AA27" s="248"/>
      <c r="AB27" s="248"/>
      <c r="AC27" s="248"/>
      <c r="AD27" s="248"/>
      <c r="AE27" s="248"/>
      <c r="AF27" s="248"/>
      <c r="AG27" s="248"/>
      <c r="AH27" s="236"/>
      <c r="AI27" s="236"/>
      <c r="AJ27" s="236"/>
      <c r="AK27" s="236"/>
      <c r="AL27" s="236"/>
      <c r="AM27" s="236"/>
      <c r="AN27" s="236"/>
      <c r="AO27" s="236"/>
      <c r="AP27" s="236"/>
      <c r="AQ27" s="236"/>
      <c r="AR27" s="236"/>
      <c r="AS27" s="236"/>
      <c r="AT27" s="236"/>
      <c r="AU27" s="236"/>
      <c r="AV27" s="236"/>
      <c r="AW27" s="236"/>
      <c r="AX27" s="236"/>
      <c r="AY27" s="236"/>
      <c r="AZ27" s="236"/>
      <c r="BA27" s="236"/>
      <c r="BB27" s="236"/>
      <c r="BC27" s="236"/>
      <c r="BD27" s="236"/>
      <c r="BE27" s="236"/>
      <c r="BF27" s="236"/>
      <c r="BG27" s="236"/>
      <c r="BH27" s="236"/>
      <c r="BI27" s="236"/>
      <c r="BJ27" s="236"/>
      <c r="BK27" s="236"/>
      <c r="BL27" s="236"/>
      <c r="BM27" s="236"/>
      <c r="BN27" s="236"/>
      <c r="BO27" s="236"/>
      <c r="BP27" s="236"/>
      <c r="BQ27" s="236"/>
      <c r="BR27" s="236"/>
      <c r="BS27" s="236"/>
      <c r="BT27" s="236"/>
      <c r="BU27" s="236"/>
      <c r="BV27" s="236"/>
      <c r="BW27" s="236"/>
      <c r="BX27" s="236"/>
      <c r="BY27" s="236"/>
      <c r="BZ27" s="236"/>
      <c r="CA27" s="238"/>
      <c r="CB27" s="238"/>
      <c r="CC27" s="238"/>
      <c r="CD27" s="238"/>
      <c r="CE27" s="238"/>
      <c r="CF27" s="236"/>
    </row>
    <row r="28">
      <c r="A28" s="236"/>
      <c r="B28" s="236"/>
      <c r="C28" s="237"/>
      <c r="D28" s="77"/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363"/>
      <c r="P28" s="238"/>
      <c r="Q28" s="236"/>
      <c r="R28" s="236"/>
      <c r="S28" s="236"/>
      <c r="T28" s="236"/>
      <c r="U28" s="236"/>
      <c r="V28" s="236"/>
      <c r="W28" s="236"/>
      <c r="X28" s="236"/>
      <c r="Y28" s="236"/>
      <c r="Z28" s="236"/>
      <c r="AA28" s="236"/>
      <c r="AB28" s="236"/>
      <c r="AC28" s="236"/>
      <c r="AD28" s="236"/>
      <c r="AE28" s="236"/>
      <c r="AF28" s="236"/>
      <c r="AG28" s="236"/>
      <c r="AH28" s="236"/>
      <c r="AI28" s="236"/>
      <c r="AJ28" s="236"/>
      <c r="AK28" s="236"/>
      <c r="AL28" s="236"/>
      <c r="AM28" s="236"/>
      <c r="AN28" s="236"/>
      <c r="AO28" s="236"/>
      <c r="AP28" s="236"/>
      <c r="AQ28" s="236"/>
      <c r="AR28" s="236"/>
      <c r="AS28" s="236"/>
      <c r="AT28" s="236"/>
      <c r="AU28" s="236"/>
      <c r="AV28" s="236"/>
      <c r="AW28" s="236"/>
      <c r="AX28" s="236"/>
      <c r="AY28" s="236"/>
      <c r="AZ28" s="236"/>
      <c r="BA28" s="236"/>
      <c r="BB28" s="236"/>
      <c r="BC28" s="236"/>
      <c r="BD28" s="236"/>
      <c r="BE28" s="236"/>
      <c r="BF28" s="236"/>
      <c r="BG28" s="236"/>
      <c r="BH28" s="236"/>
      <c r="BI28" s="236"/>
      <c r="BJ28" s="236"/>
      <c r="BK28" s="236"/>
      <c r="BL28" s="236"/>
      <c r="BM28" s="236"/>
      <c r="BN28" s="236"/>
      <c r="BO28" s="236"/>
      <c r="BP28" s="236"/>
      <c r="BQ28" s="236"/>
      <c r="BR28" s="236"/>
      <c r="BS28" s="236"/>
      <c r="BT28" s="236"/>
      <c r="BU28" s="236"/>
      <c r="BV28" s="236"/>
      <c r="BW28" s="236"/>
      <c r="BX28" s="236"/>
      <c r="BY28" s="236"/>
      <c r="BZ28" s="236"/>
      <c r="CA28" s="238"/>
      <c r="CB28" s="238"/>
      <c r="CC28" s="238"/>
      <c r="CD28" s="238"/>
      <c r="CE28" s="238"/>
      <c r="CF28" s="236"/>
    </row>
    <row r="29">
      <c r="A29" s="236"/>
      <c r="B29" s="236"/>
      <c r="C29" s="244"/>
      <c r="D29" s="245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365"/>
      <c r="P29" s="36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  <c r="AC29" s="236"/>
      <c r="AD29" s="236"/>
      <c r="AE29" s="236"/>
      <c r="AF29" s="236"/>
      <c r="AG29" s="236"/>
      <c r="AH29" s="236"/>
      <c r="AI29" s="236"/>
      <c r="AJ29" s="236"/>
      <c r="AK29" s="236"/>
      <c r="AL29" s="236"/>
      <c r="AM29" s="236"/>
      <c r="AN29" s="236"/>
      <c r="AO29" s="236"/>
      <c r="AP29" s="236"/>
      <c r="AQ29" s="236"/>
      <c r="AR29" s="236"/>
      <c r="AS29" s="236"/>
      <c r="AT29" s="236"/>
      <c r="AU29" s="236"/>
      <c r="AV29" s="236"/>
      <c r="AW29" s="236"/>
      <c r="AX29" s="236"/>
      <c r="AY29" s="236"/>
      <c r="AZ29" s="236"/>
      <c r="BA29" s="236"/>
      <c r="BB29" s="236"/>
      <c r="BC29" s="236"/>
      <c r="BD29" s="236"/>
      <c r="BE29" s="236"/>
      <c r="BF29" s="236"/>
      <c r="BG29" s="236"/>
      <c r="BH29" s="236"/>
      <c r="BI29" s="236"/>
      <c r="BJ29" s="236"/>
      <c r="BK29" s="236"/>
      <c r="BL29" s="236"/>
      <c r="BM29" s="236"/>
      <c r="BN29" s="236"/>
      <c r="BO29" s="236"/>
      <c r="BP29" s="236"/>
      <c r="BQ29" s="236"/>
      <c r="BR29" s="236"/>
      <c r="BS29" s="236"/>
      <c r="BT29" s="236"/>
      <c r="BU29" s="236"/>
      <c r="BV29" s="236"/>
      <c r="BW29" s="236"/>
      <c r="BX29" s="236"/>
      <c r="BY29" s="236"/>
      <c r="BZ29" s="236"/>
      <c r="CA29" s="238"/>
      <c r="CB29" s="238"/>
      <c r="CC29" s="238"/>
      <c r="CD29" s="238"/>
      <c r="CE29" s="238"/>
      <c r="CF29" s="236"/>
    </row>
    <row r="30">
      <c r="A30" s="236"/>
      <c r="B30" s="236"/>
      <c r="C30" s="244"/>
      <c r="D30" s="245"/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365"/>
      <c r="P30" s="366"/>
      <c r="Q30" s="236"/>
      <c r="R30" s="236"/>
      <c r="S30" s="236"/>
      <c r="T30" s="236"/>
      <c r="U30" s="236"/>
      <c r="V30" s="236"/>
      <c r="W30" s="236"/>
      <c r="X30" s="236"/>
      <c r="Y30" s="236"/>
      <c r="Z30" s="236"/>
      <c r="AA30" s="236"/>
      <c r="AB30" s="236"/>
      <c r="AC30" s="236"/>
      <c r="AD30" s="236"/>
      <c r="AE30" s="236"/>
      <c r="AF30" s="236"/>
      <c r="AG30" s="236"/>
      <c r="AH30" s="236"/>
      <c r="AI30" s="236"/>
      <c r="AJ30" s="236"/>
      <c r="AK30" s="236"/>
      <c r="AL30" s="236"/>
      <c r="AM30" s="236"/>
      <c r="AN30" s="236"/>
      <c r="AO30" s="236"/>
      <c r="AP30" s="236"/>
      <c r="AQ30" s="236"/>
      <c r="AR30" s="236"/>
      <c r="AS30" s="236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6"/>
      <c r="BH30" s="236"/>
      <c r="BI30" s="236"/>
      <c r="BJ30" s="236"/>
      <c r="BK30" s="236"/>
      <c r="BL30" s="236"/>
      <c r="BM30" s="236"/>
      <c r="BN30" s="236"/>
      <c r="BO30" s="236"/>
      <c r="BP30" s="236"/>
      <c r="BQ30" s="236"/>
      <c r="BR30" s="236"/>
      <c r="BS30" s="236"/>
      <c r="BT30" s="236"/>
      <c r="BU30" s="236"/>
      <c r="BV30" s="236"/>
      <c r="BW30" s="236"/>
      <c r="BX30" s="236"/>
      <c r="BY30" s="236"/>
      <c r="BZ30" s="236"/>
      <c r="CA30" s="238"/>
      <c r="CB30" s="238"/>
      <c r="CC30" s="238"/>
      <c r="CD30" s="238"/>
      <c r="CE30" s="238"/>
      <c r="CF30" s="236"/>
    </row>
    <row r="31">
      <c r="A31" s="236"/>
      <c r="B31" s="236"/>
      <c r="C31" s="244"/>
      <c r="D31" s="245"/>
      <c r="E31" s="238"/>
      <c r="F31" s="238"/>
      <c r="G31" s="238"/>
      <c r="H31" s="238"/>
      <c r="I31" s="238"/>
      <c r="J31" s="238"/>
      <c r="K31" s="238"/>
      <c r="L31" s="238"/>
      <c r="M31" s="238"/>
      <c r="N31" s="238"/>
      <c r="O31" s="365"/>
      <c r="P31" s="366"/>
      <c r="Q31" s="236"/>
      <c r="R31" s="236"/>
      <c r="S31" s="236"/>
      <c r="T31" s="236"/>
      <c r="U31" s="236"/>
      <c r="V31" s="236"/>
      <c r="W31" s="236"/>
      <c r="X31" s="236"/>
      <c r="Y31" s="236"/>
      <c r="Z31" s="236"/>
      <c r="AA31" s="236"/>
      <c r="AB31" s="236"/>
      <c r="AC31" s="236"/>
      <c r="AD31" s="236"/>
      <c r="AE31" s="236"/>
      <c r="AF31" s="236"/>
      <c r="AG31" s="236"/>
      <c r="AH31" s="236"/>
      <c r="AI31" s="236"/>
      <c r="AJ31" s="236"/>
      <c r="AK31" s="236"/>
      <c r="AL31" s="236"/>
      <c r="AM31" s="236"/>
      <c r="AN31" s="236"/>
      <c r="AO31" s="236"/>
      <c r="AP31" s="236"/>
      <c r="AQ31" s="236"/>
      <c r="AR31" s="236"/>
      <c r="AS31" s="236"/>
      <c r="AT31" s="236"/>
      <c r="AU31" s="236"/>
      <c r="AV31" s="236"/>
      <c r="AW31" s="236"/>
      <c r="AX31" s="236"/>
      <c r="AY31" s="236"/>
      <c r="AZ31" s="236"/>
      <c r="BA31" s="236"/>
      <c r="BB31" s="236"/>
      <c r="BC31" s="236"/>
      <c r="BD31" s="236"/>
      <c r="BE31" s="236"/>
      <c r="BF31" s="236"/>
      <c r="BG31" s="236"/>
      <c r="BH31" s="236"/>
      <c r="BI31" s="236"/>
      <c r="BJ31" s="236"/>
      <c r="BK31" s="236"/>
      <c r="BL31" s="236"/>
      <c r="BM31" s="236"/>
      <c r="BN31" s="236"/>
      <c r="BO31" s="236"/>
      <c r="BP31" s="236"/>
      <c r="BQ31" s="236"/>
      <c r="BR31" s="236"/>
      <c r="BS31" s="236"/>
      <c r="BT31" s="236"/>
      <c r="BU31" s="236"/>
      <c r="BV31" s="236"/>
      <c r="BW31" s="236"/>
      <c r="BX31" s="236"/>
      <c r="BY31" s="236"/>
      <c r="BZ31" s="236"/>
      <c r="CA31" s="238"/>
      <c r="CB31" s="238"/>
      <c r="CC31" s="238"/>
      <c r="CD31" s="238"/>
      <c r="CE31" s="238"/>
      <c r="CF31" s="236"/>
    </row>
    <row r="32">
      <c r="A32" s="236"/>
      <c r="B32" s="236"/>
      <c r="C32" s="244"/>
      <c r="D32" s="245"/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368"/>
      <c r="P32" s="366"/>
      <c r="Q32" s="236"/>
      <c r="R32" s="240"/>
      <c r="S32" s="240"/>
      <c r="T32" s="240"/>
      <c r="U32" s="240"/>
      <c r="V32" s="240"/>
      <c r="W32" s="240"/>
      <c r="X32" s="240"/>
      <c r="Y32" s="240"/>
      <c r="Z32" s="240"/>
      <c r="AA32" s="240"/>
      <c r="AB32" s="240"/>
      <c r="AC32" s="240"/>
      <c r="AD32" s="240"/>
      <c r="AE32" s="240"/>
      <c r="AF32" s="240"/>
      <c r="AG32" s="240"/>
      <c r="AH32" s="240"/>
      <c r="AI32" s="240"/>
      <c r="AJ32" s="240"/>
      <c r="AK32" s="240"/>
      <c r="AL32" s="240"/>
      <c r="AM32" s="240"/>
      <c r="AN32" s="240"/>
      <c r="AO32" s="240"/>
      <c r="AP32" s="240"/>
      <c r="AQ32" s="240"/>
      <c r="AR32" s="240"/>
      <c r="AS32" s="240"/>
      <c r="AT32" s="240"/>
      <c r="AU32" s="240"/>
      <c r="AV32" s="240"/>
      <c r="AW32" s="240"/>
      <c r="AX32" s="240"/>
      <c r="AY32" s="240"/>
      <c r="AZ32" s="240"/>
      <c r="BA32" s="240"/>
      <c r="BB32" s="240"/>
      <c r="BC32" s="240"/>
      <c r="BD32" s="240"/>
      <c r="BE32" s="240"/>
      <c r="BF32" s="240"/>
      <c r="BG32" s="240"/>
      <c r="BH32" s="240"/>
      <c r="BI32" s="240"/>
      <c r="BJ32" s="240"/>
      <c r="BK32" s="240"/>
      <c r="BL32" s="240"/>
      <c r="BM32" s="240"/>
      <c r="BN32" s="240"/>
      <c r="BO32" s="240"/>
      <c r="BP32" s="240"/>
      <c r="BQ32" s="240"/>
      <c r="BR32" s="240"/>
      <c r="BS32" s="240"/>
      <c r="BT32" s="240"/>
      <c r="BU32" s="240"/>
      <c r="BV32" s="240"/>
      <c r="BW32" s="240"/>
      <c r="BX32" s="240"/>
      <c r="BY32" s="240"/>
      <c r="BZ32" s="240"/>
      <c r="CA32" s="238"/>
      <c r="CB32" s="238"/>
      <c r="CC32" s="238"/>
      <c r="CD32" s="238"/>
      <c r="CE32" s="238"/>
      <c r="CF32" s="240"/>
    </row>
    <row r="33">
      <c r="A33" s="236"/>
      <c r="B33" s="236"/>
      <c r="C33" s="289"/>
      <c r="D33" s="245"/>
      <c r="E33" s="238"/>
      <c r="F33" s="238"/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36"/>
      <c r="R33" s="236"/>
      <c r="S33" s="236"/>
      <c r="T33" s="236"/>
      <c r="U33" s="236"/>
      <c r="V33" s="236"/>
      <c r="W33" s="236"/>
      <c r="X33" s="236"/>
      <c r="Y33" s="236"/>
      <c r="Z33" s="236"/>
      <c r="AA33" s="236"/>
      <c r="AB33" s="236"/>
      <c r="AC33" s="236"/>
      <c r="AD33" s="236"/>
      <c r="AE33" s="236"/>
      <c r="AF33" s="236"/>
      <c r="AG33" s="236"/>
      <c r="AH33" s="236"/>
      <c r="AI33" s="236"/>
      <c r="AJ33" s="236"/>
      <c r="AK33" s="236"/>
      <c r="AL33" s="236"/>
      <c r="AM33" s="236"/>
      <c r="AN33" s="236"/>
      <c r="AO33" s="236"/>
      <c r="AP33" s="236"/>
      <c r="AQ33" s="236"/>
      <c r="AR33" s="236"/>
      <c r="AS33" s="236"/>
      <c r="AT33" s="236"/>
      <c r="AU33" s="236"/>
      <c r="AV33" s="236"/>
      <c r="AW33" s="236"/>
      <c r="AX33" s="236"/>
      <c r="AY33" s="236"/>
      <c r="AZ33" s="236"/>
      <c r="BA33" s="236"/>
      <c r="BB33" s="236"/>
      <c r="BC33" s="236"/>
      <c r="BD33" s="236"/>
      <c r="BE33" s="236"/>
      <c r="BF33" s="236"/>
      <c r="BG33" s="236"/>
      <c r="BH33" s="236"/>
      <c r="BI33" s="236"/>
      <c r="BJ33" s="236"/>
      <c r="BK33" s="236"/>
      <c r="BL33" s="236"/>
      <c r="BM33" s="236"/>
      <c r="BN33" s="236"/>
      <c r="BO33" s="236"/>
      <c r="BP33" s="236"/>
      <c r="BQ33" s="236"/>
      <c r="BR33" s="236"/>
      <c r="BS33" s="236"/>
      <c r="BT33" s="236"/>
      <c r="BU33" s="236"/>
      <c r="BV33" s="236"/>
      <c r="BW33" s="236"/>
      <c r="BX33" s="236"/>
      <c r="BY33" s="236"/>
      <c r="BZ33" s="236"/>
      <c r="CA33" s="238"/>
      <c r="CB33" s="238"/>
      <c r="CC33" s="238"/>
      <c r="CD33" s="238"/>
      <c r="CE33" s="238"/>
      <c r="CF33" s="236"/>
    </row>
    <row r="34">
      <c r="A34" s="236"/>
      <c r="B34" s="236"/>
      <c r="C34" s="289"/>
      <c r="D34" s="245"/>
      <c r="E34" s="238"/>
      <c r="F34" s="374"/>
      <c r="G34" s="374"/>
      <c r="H34" s="374"/>
      <c r="I34" s="374"/>
      <c r="J34" s="374"/>
      <c r="K34" s="374"/>
      <c r="L34" s="374"/>
      <c r="M34" s="374"/>
      <c r="N34" s="374"/>
      <c r="O34" s="374"/>
      <c r="P34" s="375"/>
      <c r="Q34" s="236"/>
      <c r="R34" s="225"/>
      <c r="S34" s="225"/>
      <c r="T34" s="225"/>
      <c r="U34" s="225"/>
      <c r="V34" s="225"/>
      <c r="W34" s="225"/>
      <c r="X34" s="225"/>
      <c r="Y34" s="225"/>
      <c r="Z34" s="225"/>
      <c r="AA34" s="225"/>
      <c r="AB34" s="225"/>
      <c r="AC34" s="225"/>
      <c r="AD34" s="225"/>
      <c r="AE34" s="225"/>
      <c r="AF34" s="225"/>
      <c r="AG34" s="225"/>
      <c r="AH34" s="225"/>
      <c r="AI34" s="225"/>
      <c r="AJ34" s="225"/>
      <c r="AK34" s="225"/>
      <c r="AL34" s="225"/>
      <c r="AM34" s="225"/>
      <c r="AN34" s="225"/>
      <c r="AO34" s="225"/>
      <c r="AP34" s="225"/>
      <c r="AQ34" s="225"/>
      <c r="AR34" s="225"/>
      <c r="AS34" s="225"/>
      <c r="AT34" s="225"/>
      <c r="AU34" s="225"/>
      <c r="AV34" s="225"/>
      <c r="AW34" s="225"/>
      <c r="AX34" s="225"/>
      <c r="AY34" s="225"/>
      <c r="AZ34" s="225"/>
      <c r="BA34" s="225"/>
      <c r="BB34" s="225"/>
      <c r="BC34" s="225"/>
      <c r="BD34" s="225"/>
      <c r="BE34" s="225"/>
      <c r="BF34" s="225"/>
      <c r="BG34" s="225"/>
      <c r="BH34" s="225"/>
      <c r="BI34" s="225"/>
      <c r="BJ34" s="225"/>
      <c r="BK34" s="225"/>
      <c r="BL34" s="225"/>
      <c r="BM34" s="225"/>
      <c r="BN34" s="225"/>
      <c r="BO34" s="225"/>
      <c r="BP34" s="225"/>
      <c r="BQ34" s="225"/>
      <c r="BR34" s="225"/>
      <c r="BS34" s="225"/>
      <c r="BT34" s="225"/>
      <c r="BU34" s="225"/>
      <c r="BV34" s="225"/>
      <c r="BW34" s="225"/>
      <c r="BX34" s="225"/>
      <c r="BY34" s="225"/>
      <c r="BZ34" s="225"/>
      <c r="CA34" s="148"/>
      <c r="CB34" s="148"/>
      <c r="CC34" s="148"/>
      <c r="CD34" s="148"/>
      <c r="CE34" s="148"/>
      <c r="CF34" s="225"/>
    </row>
    <row r="35">
      <c r="A35" s="236"/>
      <c r="B35" s="236"/>
      <c r="C35" s="236"/>
      <c r="D35" s="238"/>
      <c r="E35" s="238"/>
      <c r="F35" s="374"/>
      <c r="G35" s="374"/>
      <c r="H35" s="374"/>
      <c r="I35" s="374"/>
      <c r="J35" s="374"/>
      <c r="K35" s="374"/>
      <c r="L35" s="374"/>
      <c r="M35" s="374"/>
      <c r="N35" s="374"/>
      <c r="O35" s="374"/>
      <c r="P35" s="374"/>
      <c r="Q35" s="236"/>
      <c r="R35" s="225"/>
      <c r="S35" s="225"/>
      <c r="T35" s="225"/>
      <c r="U35" s="225"/>
      <c r="V35" s="225"/>
      <c r="W35" s="225"/>
      <c r="X35" s="225"/>
      <c r="Y35" s="225"/>
      <c r="Z35" s="225"/>
      <c r="AA35" s="225"/>
      <c r="AB35" s="225"/>
      <c r="AC35" s="225"/>
      <c r="AD35" s="225"/>
      <c r="AE35" s="225"/>
      <c r="AF35" s="225"/>
      <c r="AG35" s="225"/>
      <c r="AH35" s="225"/>
      <c r="AI35" s="225"/>
      <c r="AJ35" s="225"/>
      <c r="AK35" s="225"/>
      <c r="AL35" s="225"/>
      <c r="AM35" s="225"/>
      <c r="AN35" s="225"/>
      <c r="AO35" s="225"/>
      <c r="AP35" s="225"/>
      <c r="AQ35" s="225"/>
      <c r="AR35" s="225"/>
      <c r="AS35" s="225"/>
      <c r="AT35" s="225"/>
      <c r="AU35" s="225"/>
      <c r="AV35" s="225"/>
      <c r="AW35" s="225"/>
      <c r="AX35" s="225"/>
      <c r="AY35" s="225"/>
      <c r="AZ35" s="225"/>
      <c r="BA35" s="225"/>
      <c r="BB35" s="225"/>
      <c r="BC35" s="225"/>
      <c r="BD35" s="225"/>
      <c r="BE35" s="225"/>
      <c r="BF35" s="225"/>
      <c r="BG35" s="225"/>
      <c r="BH35" s="225"/>
      <c r="BI35" s="225"/>
      <c r="BJ35" s="225"/>
      <c r="BK35" s="225"/>
      <c r="BL35" s="225"/>
      <c r="BM35" s="225"/>
      <c r="BN35" s="225"/>
      <c r="BO35" s="225"/>
      <c r="BP35" s="225"/>
      <c r="BQ35" s="225"/>
      <c r="BR35" s="225"/>
      <c r="BS35" s="225"/>
      <c r="BT35" s="225"/>
      <c r="BU35" s="225"/>
      <c r="BV35" s="225"/>
      <c r="BW35" s="225"/>
      <c r="BX35" s="225"/>
      <c r="BY35" s="225"/>
      <c r="BZ35" s="225"/>
      <c r="CA35" s="148"/>
      <c r="CB35" s="148"/>
      <c r="CC35" s="148"/>
      <c r="CD35" s="148"/>
      <c r="CE35" s="148"/>
      <c r="CF35" s="225"/>
    </row>
    <row r="36">
      <c r="A36" s="236"/>
      <c r="B36" s="236"/>
      <c r="C36" s="236"/>
      <c r="D36" s="238"/>
      <c r="E36" s="238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236"/>
      <c r="R36" s="225"/>
      <c r="S36" s="225"/>
      <c r="T36" s="225"/>
      <c r="U36" s="225"/>
      <c r="V36" s="225"/>
      <c r="W36" s="225"/>
      <c r="X36" s="225"/>
      <c r="Y36" s="225"/>
      <c r="Z36" s="225"/>
      <c r="AA36" s="225"/>
      <c r="AB36" s="225"/>
      <c r="AC36" s="225"/>
      <c r="AD36" s="225"/>
      <c r="AE36" s="225"/>
      <c r="AF36" s="225"/>
      <c r="AG36" s="225"/>
      <c r="AH36" s="225"/>
      <c r="AI36" s="225"/>
      <c r="AJ36" s="225"/>
      <c r="AK36" s="225"/>
      <c r="AL36" s="225"/>
      <c r="AM36" s="225"/>
      <c r="AN36" s="225"/>
      <c r="AO36" s="225"/>
      <c r="AP36" s="225"/>
      <c r="AQ36" s="225"/>
      <c r="AR36" s="225"/>
      <c r="AS36" s="225"/>
      <c r="AT36" s="225"/>
      <c r="AU36" s="225"/>
      <c r="AV36" s="225"/>
      <c r="AW36" s="225"/>
      <c r="AX36" s="225"/>
      <c r="AY36" s="225"/>
      <c r="AZ36" s="225"/>
      <c r="BA36" s="225"/>
      <c r="BB36" s="225"/>
      <c r="BC36" s="225"/>
      <c r="BD36" s="225"/>
      <c r="BE36" s="225"/>
      <c r="BF36" s="225"/>
      <c r="BG36" s="225"/>
      <c r="BH36" s="225"/>
      <c r="BI36" s="225"/>
      <c r="BJ36" s="225"/>
      <c r="BK36" s="225"/>
      <c r="BL36" s="225"/>
      <c r="BM36" s="225"/>
      <c r="BN36" s="225"/>
      <c r="BO36" s="225"/>
      <c r="BP36" s="225"/>
      <c r="BQ36" s="225"/>
      <c r="BR36" s="225"/>
      <c r="BS36" s="225"/>
      <c r="BT36" s="225"/>
      <c r="BU36" s="225"/>
      <c r="BV36" s="225"/>
      <c r="BW36" s="225"/>
      <c r="BX36" s="225"/>
      <c r="BY36" s="225"/>
      <c r="BZ36" s="225"/>
      <c r="CA36" s="148"/>
      <c r="CB36" s="148"/>
      <c r="CC36" s="148"/>
      <c r="CD36" s="148"/>
      <c r="CE36" s="148"/>
      <c r="CF36" s="225"/>
    </row>
    <row r="37">
      <c r="A37" s="236"/>
      <c r="B37" s="236"/>
      <c r="C37" s="236"/>
      <c r="D37" s="238"/>
      <c r="E37" s="238"/>
      <c r="F37" s="238"/>
      <c r="G37" s="238"/>
      <c r="H37" s="238"/>
      <c r="I37" s="238"/>
      <c r="J37" s="238"/>
      <c r="K37" s="238"/>
      <c r="L37" s="238"/>
      <c r="M37" s="238"/>
      <c r="N37" s="238"/>
      <c r="O37" s="238"/>
      <c r="P37" s="238"/>
      <c r="Q37" s="236"/>
      <c r="R37" s="236"/>
      <c r="S37" s="236"/>
      <c r="T37" s="236"/>
      <c r="U37" s="236"/>
      <c r="V37" s="236"/>
      <c r="W37" s="236"/>
      <c r="X37" s="236"/>
      <c r="Y37" s="236"/>
      <c r="Z37" s="236"/>
      <c r="AA37" s="236"/>
      <c r="AB37" s="236"/>
      <c r="AC37" s="236"/>
      <c r="AD37" s="236"/>
      <c r="AE37" s="236"/>
      <c r="AF37" s="236"/>
      <c r="AG37" s="236"/>
      <c r="AH37" s="236"/>
      <c r="AI37" s="236"/>
      <c r="AJ37" s="236"/>
      <c r="AK37" s="236"/>
      <c r="AL37" s="236"/>
      <c r="AM37" s="236"/>
      <c r="AN37" s="236"/>
      <c r="AO37" s="236"/>
      <c r="AP37" s="236"/>
      <c r="AQ37" s="236"/>
      <c r="AR37" s="236"/>
      <c r="AS37" s="236"/>
      <c r="AT37" s="236"/>
      <c r="AU37" s="236"/>
      <c r="AV37" s="236"/>
      <c r="AW37" s="236"/>
      <c r="AX37" s="236"/>
      <c r="AY37" s="236"/>
      <c r="AZ37" s="236"/>
      <c r="BA37" s="236"/>
      <c r="BB37" s="236"/>
      <c r="BC37" s="236"/>
      <c r="BD37" s="236"/>
      <c r="BE37" s="236"/>
      <c r="BF37" s="236"/>
      <c r="BG37" s="236"/>
      <c r="BH37" s="236"/>
      <c r="BI37" s="236"/>
      <c r="BJ37" s="236"/>
      <c r="BK37" s="236"/>
      <c r="BL37" s="236"/>
      <c r="BM37" s="236"/>
      <c r="BN37" s="236"/>
      <c r="BO37" s="236"/>
      <c r="BP37" s="236"/>
      <c r="BQ37" s="236"/>
      <c r="BR37" s="236"/>
      <c r="BS37" s="236"/>
      <c r="BT37" s="236"/>
      <c r="BU37" s="236"/>
      <c r="BV37" s="236"/>
      <c r="BW37" s="236"/>
      <c r="BX37" s="236"/>
      <c r="BY37" s="236"/>
      <c r="BZ37" s="236"/>
      <c r="CA37" s="238"/>
      <c r="CB37" s="238"/>
      <c r="CC37" s="238"/>
      <c r="CD37" s="238"/>
      <c r="CE37" s="238"/>
      <c r="CF37" s="236"/>
    </row>
    <row r="38">
      <c r="A38" s="236"/>
      <c r="B38" s="236"/>
      <c r="C38" s="236"/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38"/>
      <c r="O38" s="238"/>
      <c r="P38" s="238"/>
      <c r="Q38" s="236"/>
      <c r="R38" s="236"/>
      <c r="S38" s="236"/>
      <c r="T38" s="236"/>
      <c r="U38" s="236"/>
      <c r="V38" s="236"/>
      <c r="W38" s="236"/>
      <c r="X38" s="236"/>
      <c r="Y38" s="236"/>
      <c r="Z38" s="236"/>
      <c r="AA38" s="236"/>
      <c r="AB38" s="236"/>
      <c r="AC38" s="236"/>
      <c r="AD38" s="236"/>
      <c r="AE38" s="236"/>
      <c r="AF38" s="236"/>
      <c r="AG38" s="236"/>
      <c r="AH38" s="236"/>
      <c r="AI38" s="236"/>
      <c r="AJ38" s="236"/>
      <c r="AK38" s="236"/>
      <c r="AL38" s="236"/>
      <c r="AM38" s="236"/>
      <c r="AN38" s="236"/>
      <c r="AO38" s="236"/>
      <c r="AP38" s="236"/>
      <c r="AQ38" s="236"/>
      <c r="AR38" s="236"/>
      <c r="AS38" s="236"/>
      <c r="AT38" s="236"/>
      <c r="AU38" s="236"/>
      <c r="AV38" s="236"/>
      <c r="AW38" s="236"/>
      <c r="AX38" s="236"/>
      <c r="AY38" s="236"/>
      <c r="AZ38" s="236"/>
      <c r="BA38" s="236"/>
      <c r="BB38" s="236"/>
      <c r="BC38" s="236"/>
      <c r="BD38" s="236"/>
      <c r="BE38" s="236"/>
      <c r="BF38" s="236"/>
      <c r="BG38" s="236"/>
      <c r="BH38" s="236"/>
      <c r="BI38" s="236"/>
      <c r="BJ38" s="236"/>
      <c r="BK38" s="236"/>
      <c r="BL38" s="236"/>
      <c r="BM38" s="236"/>
      <c r="BN38" s="236"/>
      <c r="BO38" s="236"/>
      <c r="BP38" s="236"/>
      <c r="BQ38" s="236"/>
      <c r="BR38" s="236"/>
      <c r="BS38" s="236"/>
      <c r="BT38" s="236"/>
      <c r="BU38" s="236"/>
      <c r="BV38" s="236"/>
      <c r="BW38" s="236"/>
      <c r="BX38" s="236"/>
      <c r="BY38" s="236"/>
      <c r="BZ38" s="236"/>
      <c r="CA38" s="238"/>
      <c r="CB38" s="238"/>
      <c r="CC38" s="238"/>
      <c r="CD38" s="238"/>
      <c r="CE38" s="238"/>
      <c r="CF38" s="236"/>
    </row>
    <row r="39">
      <c r="A39" s="236"/>
      <c r="B39" s="236"/>
      <c r="C39" s="236"/>
      <c r="D39" s="238"/>
      <c r="E39" s="238"/>
      <c r="F39" s="238"/>
      <c r="G39" s="238"/>
      <c r="H39" s="238"/>
      <c r="I39" s="238"/>
      <c r="J39" s="238"/>
      <c r="K39" s="238"/>
      <c r="L39" s="238"/>
      <c r="M39" s="238"/>
      <c r="N39" s="238"/>
      <c r="O39" s="238"/>
      <c r="P39" s="238"/>
      <c r="Q39" s="236"/>
      <c r="R39" s="236"/>
      <c r="S39" s="236"/>
      <c r="T39" s="236"/>
      <c r="U39" s="236"/>
      <c r="V39" s="236"/>
      <c r="W39" s="236"/>
      <c r="X39" s="236"/>
      <c r="Y39" s="236"/>
      <c r="Z39" s="236"/>
      <c r="AA39" s="236"/>
      <c r="AB39" s="236"/>
      <c r="AC39" s="236"/>
      <c r="AD39" s="236"/>
      <c r="AE39" s="236"/>
      <c r="AF39" s="236"/>
      <c r="AG39" s="236"/>
      <c r="AH39" s="236"/>
      <c r="AI39" s="236"/>
      <c r="AJ39" s="236"/>
      <c r="AK39" s="236"/>
      <c r="AL39" s="236"/>
      <c r="AM39" s="236"/>
      <c r="AN39" s="236"/>
      <c r="AO39" s="236"/>
      <c r="AP39" s="236"/>
      <c r="AQ39" s="236"/>
      <c r="AR39" s="236"/>
      <c r="AS39" s="236"/>
      <c r="AT39" s="236"/>
      <c r="AU39" s="236"/>
      <c r="AV39" s="236"/>
      <c r="AW39" s="236"/>
      <c r="AX39" s="236"/>
      <c r="AY39" s="236"/>
      <c r="AZ39" s="236"/>
      <c r="BA39" s="236"/>
      <c r="BB39" s="236"/>
      <c r="BC39" s="236"/>
      <c r="BD39" s="236"/>
      <c r="BE39" s="236"/>
      <c r="BF39" s="236"/>
      <c r="BG39" s="236"/>
      <c r="BH39" s="236"/>
      <c r="BI39" s="236"/>
      <c r="BJ39" s="236"/>
      <c r="BK39" s="236"/>
      <c r="BL39" s="236"/>
      <c r="BM39" s="236"/>
      <c r="BN39" s="236"/>
      <c r="BO39" s="236"/>
      <c r="BP39" s="236"/>
      <c r="BQ39" s="236"/>
      <c r="BR39" s="236"/>
      <c r="BS39" s="236"/>
      <c r="BT39" s="236"/>
      <c r="BU39" s="236"/>
      <c r="BV39" s="236"/>
      <c r="BW39" s="236"/>
      <c r="BX39" s="236"/>
      <c r="BY39" s="236"/>
      <c r="BZ39" s="236"/>
      <c r="CA39" s="238"/>
      <c r="CB39" s="238"/>
      <c r="CC39" s="238"/>
      <c r="CD39" s="238"/>
      <c r="CE39" s="238"/>
      <c r="CF39" s="236"/>
    </row>
    <row r="40">
      <c r="A40" s="236"/>
      <c r="B40" s="236"/>
      <c r="C40" s="236"/>
      <c r="D40" s="238"/>
      <c r="E40" s="238"/>
      <c r="F40" s="238"/>
      <c r="G40" s="238"/>
      <c r="H40" s="238"/>
      <c r="I40" s="238"/>
      <c r="J40" s="238"/>
      <c r="K40" s="238"/>
      <c r="L40" s="238"/>
      <c r="M40" s="238"/>
      <c r="N40" s="238"/>
      <c r="O40" s="238"/>
      <c r="P40" s="238"/>
      <c r="Q40" s="236"/>
      <c r="R40" s="236"/>
      <c r="S40" s="236"/>
      <c r="T40" s="236"/>
      <c r="U40" s="236"/>
      <c r="V40" s="236"/>
      <c r="W40" s="236"/>
      <c r="X40" s="236"/>
      <c r="Y40" s="236"/>
      <c r="Z40" s="236"/>
      <c r="AA40" s="236"/>
      <c r="AB40" s="236"/>
      <c r="AC40" s="236"/>
      <c r="AD40" s="236"/>
      <c r="AE40" s="236"/>
      <c r="AF40" s="236"/>
      <c r="AG40" s="236"/>
      <c r="AH40" s="236"/>
      <c r="AI40" s="236"/>
      <c r="AJ40" s="236"/>
      <c r="AK40" s="236"/>
      <c r="AL40" s="236"/>
      <c r="AM40" s="236"/>
      <c r="AN40" s="236"/>
      <c r="AO40" s="236"/>
      <c r="AP40" s="236"/>
      <c r="AQ40" s="236"/>
      <c r="AR40" s="236"/>
      <c r="AS40" s="236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6"/>
      <c r="BH40" s="236"/>
      <c r="BI40" s="236"/>
      <c r="BJ40" s="236"/>
      <c r="BK40" s="236"/>
      <c r="BL40" s="236"/>
      <c r="BM40" s="236"/>
      <c r="BN40" s="236"/>
      <c r="BO40" s="236"/>
      <c r="BP40" s="236"/>
      <c r="BQ40" s="236"/>
      <c r="BR40" s="236"/>
      <c r="BS40" s="236"/>
      <c r="BT40" s="236"/>
      <c r="BU40" s="236"/>
      <c r="BV40" s="236"/>
      <c r="BW40" s="236"/>
      <c r="BX40" s="236"/>
      <c r="BY40" s="236"/>
      <c r="BZ40" s="236"/>
      <c r="CA40" s="238"/>
      <c r="CB40" s="238"/>
      <c r="CC40" s="238"/>
      <c r="CD40" s="238"/>
      <c r="CE40" s="238"/>
      <c r="CF40" s="236"/>
    </row>
    <row r="41">
      <c r="A41" s="236"/>
      <c r="B41" s="236"/>
      <c r="C41" s="236"/>
      <c r="D41" s="238"/>
      <c r="E41" s="238"/>
      <c r="F41" s="238"/>
      <c r="G41" s="238"/>
      <c r="H41" s="238"/>
      <c r="I41" s="238"/>
      <c r="J41" s="238"/>
      <c r="K41" s="238"/>
      <c r="L41" s="238"/>
      <c r="M41" s="238"/>
      <c r="N41" s="238"/>
      <c r="O41" s="238"/>
      <c r="P41" s="238"/>
      <c r="Q41" s="236"/>
      <c r="R41" s="236"/>
      <c r="S41" s="236"/>
      <c r="T41" s="236"/>
      <c r="U41" s="236"/>
      <c r="V41" s="236"/>
      <c r="W41" s="236"/>
      <c r="X41" s="236"/>
      <c r="Y41" s="236"/>
      <c r="Z41" s="236"/>
      <c r="AA41" s="236"/>
      <c r="AB41" s="236"/>
      <c r="AC41" s="236"/>
      <c r="AD41" s="236"/>
      <c r="AE41" s="236"/>
      <c r="AF41" s="236"/>
      <c r="AG41" s="236"/>
      <c r="AH41" s="236"/>
      <c r="AI41" s="236"/>
      <c r="AJ41" s="236"/>
      <c r="AK41" s="236"/>
      <c r="AL41" s="236"/>
      <c r="AM41" s="236"/>
      <c r="AN41" s="236"/>
      <c r="AO41" s="236"/>
      <c r="AP41" s="236"/>
      <c r="AQ41" s="236"/>
      <c r="AR41" s="236"/>
      <c r="AS41" s="236"/>
      <c r="AT41" s="236"/>
      <c r="AU41" s="236"/>
      <c r="AV41" s="236"/>
      <c r="AW41" s="236"/>
      <c r="AX41" s="236"/>
      <c r="AY41" s="236"/>
      <c r="AZ41" s="236"/>
      <c r="BA41" s="236"/>
      <c r="BB41" s="236"/>
      <c r="BC41" s="236"/>
      <c r="BD41" s="236"/>
      <c r="BE41" s="236"/>
      <c r="BF41" s="236"/>
      <c r="BG41" s="236"/>
      <c r="BH41" s="236"/>
      <c r="BI41" s="236"/>
      <c r="BJ41" s="236"/>
      <c r="BK41" s="236"/>
      <c r="BL41" s="236"/>
      <c r="BM41" s="236"/>
      <c r="BN41" s="236"/>
      <c r="BO41" s="236"/>
      <c r="BP41" s="236"/>
      <c r="BQ41" s="236"/>
      <c r="BR41" s="236"/>
      <c r="BS41" s="236"/>
      <c r="BT41" s="236"/>
      <c r="BU41" s="236"/>
      <c r="BV41" s="236"/>
      <c r="BW41" s="236"/>
      <c r="BX41" s="236"/>
      <c r="BY41" s="236"/>
      <c r="BZ41" s="236"/>
      <c r="CA41" s="238"/>
      <c r="CB41" s="238"/>
      <c r="CC41" s="238"/>
      <c r="CD41" s="238"/>
      <c r="CE41" s="238"/>
      <c r="CF41" s="236"/>
    </row>
    <row r="42">
      <c r="A42" s="236"/>
      <c r="B42" s="236"/>
      <c r="C42" s="236"/>
      <c r="D42" s="238"/>
      <c r="E42" s="238"/>
      <c r="F42" s="238"/>
      <c r="G42" s="238"/>
      <c r="H42" s="238"/>
      <c r="I42" s="238"/>
      <c r="J42" s="238"/>
      <c r="K42" s="238"/>
      <c r="L42" s="238"/>
      <c r="M42" s="238"/>
      <c r="N42" s="238"/>
      <c r="O42" s="238"/>
      <c r="P42" s="238"/>
      <c r="Q42" s="236"/>
      <c r="R42" s="236"/>
      <c r="S42" s="236"/>
      <c r="T42" s="236"/>
      <c r="U42" s="236"/>
      <c r="V42" s="236"/>
      <c r="W42" s="236"/>
      <c r="X42" s="236"/>
      <c r="Y42" s="236"/>
      <c r="Z42" s="236"/>
      <c r="AA42" s="236"/>
      <c r="AB42" s="236"/>
      <c r="AC42" s="236"/>
      <c r="AD42" s="236"/>
      <c r="AE42" s="236"/>
      <c r="AF42" s="236"/>
      <c r="AG42" s="236"/>
      <c r="AH42" s="236"/>
      <c r="AI42" s="236"/>
      <c r="AJ42" s="236"/>
      <c r="AK42" s="236"/>
      <c r="AL42" s="236"/>
      <c r="AM42" s="236"/>
      <c r="AN42" s="236"/>
      <c r="AO42" s="236"/>
      <c r="AP42" s="236"/>
      <c r="AQ42" s="236"/>
      <c r="AR42" s="236"/>
      <c r="AS42" s="236"/>
      <c r="AT42" s="236"/>
      <c r="AU42" s="236"/>
      <c r="AV42" s="236"/>
      <c r="AW42" s="236"/>
      <c r="AX42" s="236"/>
      <c r="AY42" s="236"/>
      <c r="AZ42" s="236"/>
      <c r="BA42" s="236"/>
      <c r="BB42" s="236"/>
      <c r="BC42" s="236"/>
      <c r="BD42" s="236"/>
      <c r="BE42" s="236"/>
      <c r="BF42" s="236"/>
      <c r="BG42" s="236"/>
      <c r="BH42" s="236"/>
      <c r="BI42" s="236"/>
      <c r="BJ42" s="236"/>
      <c r="BK42" s="236"/>
      <c r="BL42" s="236"/>
      <c r="BM42" s="236"/>
      <c r="BN42" s="236"/>
      <c r="BO42" s="236"/>
      <c r="BP42" s="236"/>
      <c r="BQ42" s="236"/>
      <c r="BR42" s="236"/>
      <c r="BS42" s="236"/>
      <c r="BT42" s="236"/>
      <c r="BU42" s="236"/>
      <c r="BV42" s="236"/>
      <c r="BW42" s="236"/>
      <c r="BX42" s="236"/>
      <c r="BY42" s="236"/>
      <c r="BZ42" s="236"/>
      <c r="CA42" s="238"/>
      <c r="CB42" s="238"/>
      <c r="CC42" s="238"/>
      <c r="CD42" s="238"/>
      <c r="CE42" s="238"/>
      <c r="CF42" s="236"/>
    </row>
    <row r="43">
      <c r="A43" s="236"/>
      <c r="B43" s="236"/>
      <c r="C43" s="236"/>
      <c r="D43" s="238"/>
      <c r="E43" s="238"/>
      <c r="F43" s="238"/>
      <c r="G43" s="238"/>
      <c r="H43" s="238"/>
      <c r="I43" s="238"/>
      <c r="J43" s="238"/>
      <c r="K43" s="238"/>
      <c r="L43" s="238"/>
      <c r="M43" s="238"/>
      <c r="N43" s="238"/>
      <c r="O43" s="238"/>
      <c r="P43" s="238"/>
      <c r="Q43" s="236"/>
      <c r="R43" s="236"/>
      <c r="S43" s="236"/>
      <c r="T43" s="236"/>
      <c r="U43" s="236"/>
      <c r="V43" s="236"/>
      <c r="W43" s="236"/>
      <c r="X43" s="236"/>
      <c r="Y43" s="236"/>
      <c r="Z43" s="236"/>
      <c r="AA43" s="236"/>
      <c r="AB43" s="236"/>
      <c r="AC43" s="236"/>
      <c r="AD43" s="236"/>
      <c r="AE43" s="236"/>
      <c r="AF43" s="236"/>
      <c r="AG43" s="236"/>
      <c r="AH43" s="236"/>
      <c r="AI43" s="236"/>
      <c r="AJ43" s="236"/>
      <c r="AK43" s="236"/>
      <c r="AL43" s="236"/>
      <c r="AM43" s="236"/>
      <c r="AN43" s="236"/>
      <c r="AO43" s="236"/>
      <c r="AP43" s="236"/>
      <c r="AQ43" s="236"/>
      <c r="AR43" s="236"/>
      <c r="AS43" s="236"/>
      <c r="AT43" s="236"/>
      <c r="AU43" s="236"/>
      <c r="AV43" s="236"/>
      <c r="AW43" s="236"/>
      <c r="AX43" s="236"/>
      <c r="AY43" s="236"/>
      <c r="AZ43" s="236"/>
      <c r="BA43" s="236"/>
      <c r="BB43" s="236"/>
      <c r="BC43" s="236"/>
      <c r="BD43" s="236"/>
      <c r="BE43" s="236"/>
      <c r="BF43" s="236"/>
      <c r="BG43" s="236"/>
      <c r="BH43" s="236"/>
      <c r="BI43" s="236"/>
      <c r="BJ43" s="236"/>
      <c r="BK43" s="236"/>
      <c r="BL43" s="236"/>
      <c r="BM43" s="236"/>
      <c r="BN43" s="236"/>
      <c r="BO43" s="236"/>
      <c r="BP43" s="236"/>
      <c r="BQ43" s="236"/>
      <c r="BR43" s="236"/>
      <c r="BS43" s="236"/>
      <c r="BT43" s="236"/>
      <c r="BU43" s="236"/>
      <c r="BV43" s="236"/>
      <c r="BW43" s="236"/>
      <c r="BX43" s="236"/>
      <c r="BY43" s="236"/>
      <c r="BZ43" s="236"/>
      <c r="CA43" s="238"/>
      <c r="CB43" s="238"/>
      <c r="CC43" s="238"/>
      <c r="CD43" s="238"/>
      <c r="CE43" s="238"/>
      <c r="CF43" s="236"/>
    </row>
    <row r="44">
      <c r="A44" s="236"/>
      <c r="B44" s="236"/>
      <c r="C44" s="236"/>
      <c r="D44" s="238"/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8"/>
      <c r="P44" s="238"/>
      <c r="Q44" s="236"/>
      <c r="R44" s="236"/>
      <c r="S44" s="236"/>
      <c r="T44" s="236"/>
      <c r="U44" s="236"/>
      <c r="V44" s="236"/>
      <c r="W44" s="236"/>
      <c r="X44" s="236"/>
      <c r="Y44" s="236"/>
      <c r="Z44" s="236"/>
      <c r="AA44" s="236"/>
      <c r="AB44" s="236"/>
      <c r="AC44" s="236"/>
      <c r="AD44" s="236"/>
      <c r="AE44" s="236"/>
      <c r="AF44" s="236"/>
      <c r="AG44" s="236"/>
      <c r="AH44" s="236"/>
      <c r="AI44" s="236"/>
      <c r="AJ44" s="236"/>
      <c r="AK44" s="236"/>
      <c r="AL44" s="236"/>
      <c r="AM44" s="236"/>
      <c r="AN44" s="236"/>
      <c r="AO44" s="236"/>
      <c r="AP44" s="236"/>
      <c r="AQ44" s="236"/>
      <c r="AR44" s="236"/>
      <c r="AS44" s="236"/>
      <c r="AT44" s="236"/>
      <c r="AU44" s="236"/>
      <c r="AV44" s="236"/>
      <c r="AW44" s="236"/>
      <c r="AX44" s="236"/>
      <c r="AY44" s="236"/>
      <c r="AZ44" s="236"/>
      <c r="BA44" s="236"/>
      <c r="BB44" s="236"/>
      <c r="BC44" s="236"/>
      <c r="BD44" s="236"/>
      <c r="BE44" s="236"/>
      <c r="BF44" s="236"/>
      <c r="BG44" s="236"/>
      <c r="BH44" s="236"/>
      <c r="BI44" s="236"/>
      <c r="BJ44" s="236"/>
      <c r="BK44" s="236"/>
      <c r="BL44" s="236"/>
      <c r="BM44" s="236"/>
      <c r="BN44" s="236"/>
      <c r="BO44" s="236"/>
      <c r="BP44" s="236"/>
      <c r="BQ44" s="236"/>
      <c r="BR44" s="236"/>
      <c r="BS44" s="236"/>
      <c r="BT44" s="236"/>
      <c r="BU44" s="236"/>
      <c r="BV44" s="236"/>
      <c r="BW44" s="236"/>
      <c r="BX44" s="236"/>
      <c r="BY44" s="236"/>
      <c r="BZ44" s="236"/>
      <c r="CA44" s="238"/>
      <c r="CB44" s="238"/>
      <c r="CC44" s="238"/>
      <c r="CD44" s="238"/>
      <c r="CE44" s="238"/>
      <c r="CF44" s="236"/>
    </row>
    <row r="45">
      <c r="A45" s="236"/>
      <c r="B45" s="236"/>
      <c r="C45" s="236"/>
      <c r="D45" s="238"/>
      <c r="E45" s="238"/>
      <c r="F45" s="238"/>
      <c r="G45" s="238"/>
      <c r="H45" s="238"/>
      <c r="I45" s="238"/>
      <c r="J45" s="238"/>
      <c r="K45" s="238"/>
      <c r="L45" s="238"/>
      <c r="M45" s="238"/>
      <c r="N45" s="238"/>
      <c r="O45" s="238"/>
      <c r="P45" s="238"/>
      <c r="Q45" s="236"/>
      <c r="R45" s="236"/>
      <c r="S45" s="236"/>
      <c r="T45" s="236"/>
      <c r="U45" s="236"/>
      <c r="V45" s="236"/>
      <c r="W45" s="236"/>
      <c r="X45" s="236"/>
      <c r="Y45" s="236"/>
      <c r="Z45" s="236"/>
      <c r="AA45" s="236"/>
      <c r="AB45" s="236"/>
      <c r="AC45" s="236"/>
      <c r="AD45" s="236"/>
      <c r="AE45" s="236"/>
      <c r="AF45" s="236"/>
      <c r="AG45" s="236"/>
      <c r="AH45" s="236"/>
      <c r="AI45" s="236"/>
      <c r="AJ45" s="236"/>
      <c r="AK45" s="236"/>
      <c r="AL45" s="236"/>
      <c r="AM45" s="236"/>
      <c r="AN45" s="236"/>
      <c r="AO45" s="236"/>
      <c r="AP45" s="236"/>
      <c r="AQ45" s="236"/>
      <c r="AR45" s="236"/>
      <c r="AS45" s="236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36"/>
      <c r="BG45" s="236"/>
      <c r="BH45" s="236"/>
      <c r="BI45" s="236"/>
      <c r="BJ45" s="236"/>
      <c r="BK45" s="236"/>
      <c r="BL45" s="236"/>
      <c r="BM45" s="236"/>
      <c r="BN45" s="236"/>
      <c r="BO45" s="236"/>
      <c r="BP45" s="236"/>
      <c r="BQ45" s="236"/>
      <c r="BR45" s="236"/>
      <c r="BS45" s="236"/>
      <c r="BT45" s="236"/>
      <c r="BU45" s="236"/>
      <c r="BV45" s="236"/>
      <c r="BW45" s="236"/>
      <c r="BX45" s="236"/>
      <c r="BY45" s="236"/>
      <c r="BZ45" s="236"/>
      <c r="CA45" s="238"/>
      <c r="CB45" s="238"/>
      <c r="CC45" s="238"/>
      <c r="CD45" s="238"/>
      <c r="CE45" s="238"/>
      <c r="CF45" s="236"/>
    </row>
    <row r="46">
      <c r="A46" s="236"/>
      <c r="B46" s="236"/>
      <c r="C46" s="236"/>
      <c r="D46" s="238"/>
      <c r="E46" s="238"/>
      <c r="F46" s="238"/>
      <c r="G46" s="238"/>
      <c r="H46" s="238"/>
      <c r="I46" s="238"/>
      <c r="J46" s="238"/>
      <c r="K46" s="238"/>
      <c r="L46" s="238"/>
      <c r="M46" s="238"/>
      <c r="N46" s="238"/>
      <c r="O46" s="238"/>
      <c r="P46" s="238"/>
      <c r="Q46" s="236"/>
      <c r="R46" s="236"/>
      <c r="S46" s="236"/>
      <c r="T46" s="236"/>
      <c r="U46" s="236"/>
      <c r="V46" s="236"/>
      <c r="W46" s="236"/>
      <c r="X46" s="236"/>
      <c r="Y46" s="236"/>
      <c r="Z46" s="236"/>
      <c r="AA46" s="236"/>
      <c r="AB46" s="236"/>
      <c r="AC46" s="236"/>
      <c r="AD46" s="236"/>
      <c r="AE46" s="236"/>
      <c r="AF46" s="236"/>
      <c r="AG46" s="236"/>
      <c r="AH46" s="236"/>
      <c r="AI46" s="236"/>
      <c r="AJ46" s="236"/>
      <c r="AK46" s="236"/>
      <c r="AL46" s="236"/>
      <c r="AM46" s="236"/>
      <c r="AN46" s="236"/>
      <c r="AO46" s="236"/>
      <c r="AP46" s="236"/>
      <c r="AQ46" s="236"/>
      <c r="AR46" s="236"/>
      <c r="AS46" s="236"/>
      <c r="AT46" s="236"/>
      <c r="AU46" s="236"/>
      <c r="AV46" s="236"/>
      <c r="AW46" s="236"/>
      <c r="AX46" s="236"/>
      <c r="AY46" s="236"/>
      <c r="AZ46" s="236"/>
      <c r="BA46" s="236"/>
      <c r="BB46" s="236"/>
      <c r="BC46" s="236"/>
      <c r="BD46" s="236"/>
      <c r="BE46" s="236"/>
      <c r="BF46" s="236"/>
      <c r="BG46" s="236"/>
      <c r="BH46" s="236"/>
      <c r="BI46" s="236"/>
      <c r="BJ46" s="236"/>
      <c r="BK46" s="236"/>
      <c r="BL46" s="236"/>
      <c r="BM46" s="236"/>
      <c r="BN46" s="236"/>
      <c r="BO46" s="236"/>
      <c r="BP46" s="236"/>
      <c r="BQ46" s="236"/>
      <c r="BR46" s="236"/>
      <c r="BS46" s="236"/>
      <c r="BT46" s="236"/>
      <c r="BU46" s="236"/>
      <c r="BV46" s="236"/>
      <c r="BW46" s="236"/>
      <c r="BX46" s="236"/>
      <c r="BY46" s="236"/>
      <c r="BZ46" s="236"/>
      <c r="CA46" s="238"/>
      <c r="CB46" s="238"/>
      <c r="CC46" s="238"/>
      <c r="CD46" s="238"/>
      <c r="CE46" s="238"/>
      <c r="CF46" s="236"/>
    </row>
    <row r="47">
      <c r="A47" s="236"/>
      <c r="B47" s="236"/>
      <c r="C47" s="236"/>
      <c r="D47" s="238"/>
      <c r="E47" s="238"/>
      <c r="F47" s="238"/>
      <c r="G47" s="238"/>
      <c r="H47" s="238"/>
      <c r="I47" s="238"/>
      <c r="J47" s="238"/>
      <c r="K47" s="238"/>
      <c r="L47" s="238"/>
      <c r="M47" s="238"/>
      <c r="N47" s="238"/>
      <c r="O47" s="238"/>
      <c r="P47" s="238"/>
      <c r="Q47" s="236"/>
      <c r="R47" s="236"/>
      <c r="S47" s="236"/>
      <c r="T47" s="236"/>
      <c r="U47" s="236"/>
      <c r="V47" s="236"/>
      <c r="W47" s="236"/>
      <c r="X47" s="236"/>
      <c r="Y47" s="236"/>
      <c r="Z47" s="236"/>
      <c r="AA47" s="236"/>
      <c r="AB47" s="236"/>
      <c r="AC47" s="236"/>
      <c r="AD47" s="236"/>
      <c r="AE47" s="236"/>
      <c r="AF47" s="236"/>
      <c r="AG47" s="236"/>
      <c r="AH47" s="236"/>
      <c r="AI47" s="236"/>
      <c r="AJ47" s="236"/>
      <c r="AK47" s="236"/>
      <c r="AL47" s="236"/>
      <c r="AM47" s="236"/>
      <c r="AN47" s="236"/>
      <c r="AO47" s="236"/>
      <c r="AP47" s="236"/>
      <c r="AQ47" s="236"/>
      <c r="AR47" s="236"/>
      <c r="AS47" s="236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6"/>
      <c r="BH47" s="236"/>
      <c r="BI47" s="236"/>
      <c r="BJ47" s="236"/>
      <c r="BK47" s="236"/>
      <c r="BL47" s="236"/>
      <c r="BM47" s="236"/>
      <c r="BN47" s="236"/>
      <c r="BO47" s="236"/>
      <c r="BP47" s="236"/>
      <c r="BQ47" s="236"/>
      <c r="BR47" s="236"/>
      <c r="BS47" s="236"/>
      <c r="BT47" s="236"/>
      <c r="BU47" s="236"/>
      <c r="BV47" s="236"/>
      <c r="BW47" s="236"/>
      <c r="BX47" s="236"/>
      <c r="BY47" s="236"/>
      <c r="BZ47" s="236"/>
      <c r="CA47" s="238"/>
      <c r="CB47" s="238"/>
      <c r="CC47" s="238"/>
      <c r="CD47" s="238"/>
      <c r="CE47" s="238"/>
      <c r="CF47" s="236"/>
    </row>
    <row r="48">
      <c r="A48" s="236"/>
      <c r="B48" s="236"/>
      <c r="C48" s="236"/>
      <c r="D48" s="238"/>
      <c r="E48" s="238"/>
      <c r="F48" s="238"/>
      <c r="G48" s="238"/>
      <c r="H48" s="238"/>
      <c r="I48" s="238"/>
      <c r="J48" s="238"/>
      <c r="K48" s="238"/>
      <c r="L48" s="238"/>
      <c r="M48" s="238"/>
      <c r="N48" s="238"/>
      <c r="O48" s="238"/>
      <c r="P48" s="238"/>
      <c r="Q48" s="236"/>
      <c r="R48" s="240"/>
      <c r="S48" s="240"/>
      <c r="T48" s="240"/>
      <c r="U48" s="240"/>
      <c r="V48" s="240"/>
      <c r="W48" s="240"/>
      <c r="X48" s="240"/>
      <c r="Y48" s="240"/>
      <c r="Z48" s="240"/>
      <c r="AA48" s="240"/>
      <c r="AB48" s="240"/>
      <c r="AC48" s="240"/>
      <c r="AD48" s="240"/>
      <c r="AE48" s="240"/>
      <c r="AF48" s="240"/>
      <c r="AG48" s="240"/>
      <c r="AH48" s="240"/>
      <c r="AI48" s="240"/>
      <c r="AJ48" s="240"/>
      <c r="AK48" s="240"/>
      <c r="AL48" s="240"/>
      <c r="AM48" s="240"/>
      <c r="AN48" s="240"/>
      <c r="AO48" s="240"/>
      <c r="AP48" s="240"/>
      <c r="AQ48" s="240"/>
      <c r="AR48" s="240"/>
      <c r="AS48" s="240"/>
      <c r="AT48" s="240"/>
      <c r="AU48" s="240"/>
      <c r="AV48" s="240"/>
      <c r="AW48" s="240"/>
      <c r="AX48" s="240"/>
      <c r="AY48" s="240"/>
      <c r="AZ48" s="240"/>
      <c r="BA48" s="240"/>
      <c r="BB48" s="240"/>
      <c r="BC48" s="240"/>
      <c r="BD48" s="240"/>
      <c r="BE48" s="240"/>
      <c r="BF48" s="240"/>
      <c r="BG48" s="240"/>
      <c r="BH48" s="240"/>
      <c r="BI48" s="240"/>
      <c r="BJ48" s="240"/>
      <c r="BK48" s="240"/>
      <c r="BL48" s="240"/>
      <c r="BM48" s="240"/>
      <c r="BN48" s="240"/>
      <c r="BO48" s="240"/>
      <c r="BP48" s="240"/>
      <c r="BQ48" s="240"/>
      <c r="BR48" s="240"/>
      <c r="BS48" s="240"/>
      <c r="BT48" s="240"/>
      <c r="BU48" s="240"/>
      <c r="BV48" s="240"/>
      <c r="BW48" s="240"/>
      <c r="BX48" s="240"/>
      <c r="BY48" s="240"/>
      <c r="BZ48" s="240"/>
      <c r="CA48" s="238"/>
      <c r="CB48" s="238"/>
      <c r="CC48" s="238"/>
      <c r="CD48" s="238"/>
      <c r="CE48" s="238"/>
      <c r="CF48" s="240"/>
    </row>
    <row r="49">
      <c r="A49" s="236"/>
      <c r="B49" s="236"/>
      <c r="C49" s="236"/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8"/>
      <c r="P49" s="238"/>
      <c r="Q49" s="236"/>
      <c r="R49" s="240"/>
      <c r="S49" s="240"/>
      <c r="T49" s="240"/>
      <c r="U49" s="240"/>
      <c r="V49" s="240"/>
      <c r="W49" s="240"/>
      <c r="X49" s="240"/>
      <c r="Y49" s="240"/>
      <c r="Z49" s="240"/>
      <c r="AA49" s="240"/>
      <c r="AB49" s="240"/>
      <c r="AC49" s="240"/>
      <c r="AD49" s="240"/>
      <c r="AE49" s="240"/>
      <c r="AF49" s="240"/>
      <c r="AG49" s="240"/>
      <c r="AH49" s="240"/>
      <c r="AI49" s="240"/>
      <c r="AJ49" s="240"/>
      <c r="AK49" s="240"/>
      <c r="AL49" s="240"/>
      <c r="AM49" s="240"/>
      <c r="AN49" s="240"/>
      <c r="AO49" s="240"/>
      <c r="AP49" s="240"/>
      <c r="AQ49" s="240"/>
      <c r="AR49" s="240"/>
      <c r="AS49" s="240"/>
      <c r="AT49" s="240"/>
      <c r="AU49" s="240"/>
      <c r="AV49" s="240"/>
      <c r="AW49" s="240"/>
      <c r="AX49" s="240"/>
      <c r="AY49" s="240"/>
      <c r="AZ49" s="240"/>
      <c r="BA49" s="240"/>
      <c r="BB49" s="240"/>
      <c r="BC49" s="240"/>
      <c r="BD49" s="240"/>
      <c r="BE49" s="240"/>
      <c r="BF49" s="240"/>
      <c r="BG49" s="240"/>
      <c r="BH49" s="240"/>
      <c r="BI49" s="240"/>
      <c r="BJ49" s="240"/>
      <c r="BK49" s="240"/>
      <c r="BL49" s="240"/>
      <c r="BM49" s="240"/>
      <c r="BN49" s="240"/>
      <c r="BO49" s="240"/>
      <c r="BP49" s="240"/>
      <c r="BQ49" s="240"/>
      <c r="BR49" s="240"/>
      <c r="BS49" s="240"/>
      <c r="BT49" s="240"/>
      <c r="BU49" s="240"/>
      <c r="BV49" s="240"/>
      <c r="BW49" s="240"/>
      <c r="BX49" s="240"/>
      <c r="BY49" s="240"/>
      <c r="BZ49" s="240"/>
      <c r="CA49" s="238"/>
      <c r="CB49" s="238"/>
      <c r="CC49" s="238"/>
      <c r="CD49" s="238"/>
      <c r="CE49" s="238"/>
      <c r="CF49" s="240"/>
    </row>
    <row r="50">
      <c r="A50" s="236"/>
      <c r="B50" s="236"/>
      <c r="C50" s="236"/>
      <c r="D50" s="238"/>
      <c r="E50" s="238"/>
      <c r="F50" s="238"/>
      <c r="G50" s="238"/>
      <c r="H50" s="238"/>
      <c r="I50" s="238"/>
      <c r="J50" s="238"/>
      <c r="K50" s="238"/>
      <c r="L50" s="238"/>
      <c r="M50" s="238"/>
      <c r="N50" s="238"/>
      <c r="O50" s="238"/>
      <c r="P50" s="238"/>
      <c r="Q50" s="236"/>
      <c r="R50" s="240"/>
      <c r="S50" s="240"/>
      <c r="T50" s="240"/>
      <c r="U50" s="240"/>
      <c r="V50" s="240"/>
      <c r="W50" s="240"/>
      <c r="X50" s="240"/>
      <c r="Y50" s="240"/>
      <c r="Z50" s="240"/>
      <c r="AA50" s="240"/>
      <c r="AB50" s="240"/>
      <c r="AC50" s="240"/>
      <c r="AD50" s="240"/>
      <c r="AE50" s="240"/>
      <c r="AF50" s="240"/>
      <c r="AG50" s="240"/>
      <c r="AH50" s="240"/>
      <c r="AI50" s="240"/>
      <c r="AJ50" s="240"/>
      <c r="AK50" s="240"/>
      <c r="AL50" s="240"/>
      <c r="AM50" s="240"/>
      <c r="AN50" s="240"/>
      <c r="AO50" s="240"/>
      <c r="AP50" s="240"/>
      <c r="AQ50" s="240"/>
      <c r="AR50" s="240"/>
      <c r="AS50" s="240"/>
      <c r="AT50" s="240"/>
      <c r="AU50" s="240"/>
      <c r="AV50" s="240"/>
      <c r="AW50" s="240"/>
      <c r="AX50" s="240"/>
      <c r="AY50" s="240"/>
      <c r="AZ50" s="240"/>
      <c r="BA50" s="240"/>
      <c r="BB50" s="240"/>
      <c r="BC50" s="240"/>
      <c r="BD50" s="240"/>
      <c r="BE50" s="240"/>
      <c r="BF50" s="240"/>
      <c r="BG50" s="240"/>
      <c r="BH50" s="240"/>
      <c r="BI50" s="240"/>
      <c r="BJ50" s="240"/>
      <c r="BK50" s="240"/>
      <c r="BL50" s="240"/>
      <c r="BM50" s="240"/>
      <c r="BN50" s="240"/>
      <c r="BO50" s="240"/>
      <c r="BP50" s="240"/>
      <c r="BQ50" s="240"/>
      <c r="BR50" s="240"/>
      <c r="BS50" s="240"/>
      <c r="BT50" s="240"/>
      <c r="BU50" s="240"/>
      <c r="BV50" s="240"/>
      <c r="BW50" s="240"/>
      <c r="BX50" s="240"/>
      <c r="BY50" s="240"/>
      <c r="BZ50" s="240"/>
      <c r="CA50" s="238"/>
      <c r="CB50" s="238"/>
      <c r="CC50" s="238"/>
      <c r="CD50" s="238"/>
      <c r="CE50" s="238"/>
      <c r="CF50" s="240"/>
    </row>
    <row r="51">
      <c r="A51" s="236"/>
      <c r="B51" s="236"/>
      <c r="C51" s="236"/>
      <c r="D51" s="238"/>
      <c r="E51" s="238"/>
      <c r="F51" s="238"/>
      <c r="G51" s="238"/>
      <c r="H51" s="238"/>
      <c r="I51" s="238"/>
      <c r="J51" s="238"/>
      <c r="K51" s="238"/>
      <c r="L51" s="238"/>
      <c r="M51" s="238"/>
      <c r="N51" s="238"/>
      <c r="O51" s="238"/>
      <c r="P51" s="238"/>
      <c r="Q51" s="236"/>
      <c r="R51" s="240"/>
      <c r="S51" s="240"/>
      <c r="T51" s="240"/>
      <c r="U51" s="240"/>
      <c r="V51" s="240"/>
      <c r="W51" s="240"/>
      <c r="X51" s="240"/>
      <c r="Y51" s="240"/>
      <c r="Z51" s="240"/>
      <c r="AA51" s="240"/>
      <c r="AB51" s="240"/>
      <c r="AC51" s="240"/>
      <c r="AD51" s="240"/>
      <c r="AE51" s="240"/>
      <c r="AF51" s="240"/>
      <c r="AG51" s="240"/>
      <c r="AH51" s="240"/>
      <c r="AI51" s="240"/>
      <c r="AJ51" s="240"/>
      <c r="AK51" s="240"/>
      <c r="AL51" s="240"/>
      <c r="AM51" s="240"/>
      <c r="AN51" s="240"/>
      <c r="AO51" s="240"/>
      <c r="AP51" s="240"/>
      <c r="AQ51" s="240"/>
      <c r="AR51" s="240"/>
      <c r="AS51" s="240"/>
      <c r="AT51" s="240"/>
      <c r="AU51" s="240"/>
      <c r="AV51" s="240"/>
      <c r="AW51" s="240"/>
      <c r="AX51" s="240"/>
      <c r="AY51" s="240"/>
      <c r="AZ51" s="240"/>
      <c r="BA51" s="240"/>
      <c r="BB51" s="240"/>
      <c r="BC51" s="240"/>
      <c r="BD51" s="240"/>
      <c r="BE51" s="240"/>
      <c r="BF51" s="240"/>
      <c r="BG51" s="240"/>
      <c r="BH51" s="240"/>
      <c r="BI51" s="240"/>
      <c r="BJ51" s="240"/>
      <c r="BK51" s="240"/>
      <c r="BL51" s="240"/>
      <c r="BM51" s="240"/>
      <c r="BN51" s="240"/>
      <c r="BO51" s="240"/>
      <c r="BP51" s="240"/>
      <c r="BQ51" s="240"/>
      <c r="BR51" s="240"/>
      <c r="BS51" s="240"/>
      <c r="BT51" s="240"/>
      <c r="BU51" s="240"/>
      <c r="BV51" s="240"/>
      <c r="BW51" s="240"/>
      <c r="BX51" s="240"/>
      <c r="BY51" s="240"/>
      <c r="BZ51" s="240"/>
      <c r="CA51" s="238"/>
      <c r="CB51" s="238"/>
      <c r="CC51" s="238"/>
      <c r="CD51" s="238"/>
      <c r="CE51" s="238"/>
      <c r="CF51" s="240"/>
    </row>
    <row r="52">
      <c r="A52" s="236"/>
      <c r="B52" s="236"/>
      <c r="C52" s="236"/>
      <c r="D52" s="238"/>
      <c r="E52" s="238"/>
      <c r="F52" s="238"/>
      <c r="G52" s="238"/>
      <c r="H52" s="238"/>
      <c r="I52" s="238"/>
      <c r="J52" s="238"/>
      <c r="K52" s="238"/>
      <c r="L52" s="238"/>
      <c r="M52" s="238"/>
      <c r="N52" s="238"/>
      <c r="O52" s="238"/>
      <c r="P52" s="238"/>
      <c r="Q52" s="236"/>
      <c r="R52" s="240"/>
      <c r="S52" s="240"/>
      <c r="T52" s="240"/>
      <c r="U52" s="240"/>
      <c r="V52" s="240"/>
      <c r="W52" s="240"/>
      <c r="X52" s="240"/>
      <c r="Y52" s="240"/>
      <c r="Z52" s="240"/>
      <c r="AA52" s="240"/>
      <c r="AB52" s="240"/>
      <c r="AC52" s="240"/>
      <c r="AD52" s="240"/>
      <c r="AE52" s="240"/>
      <c r="AF52" s="240"/>
      <c r="AG52" s="240"/>
      <c r="AH52" s="240"/>
      <c r="AI52" s="240"/>
      <c r="AJ52" s="240"/>
      <c r="AK52" s="240"/>
      <c r="AL52" s="240"/>
      <c r="AM52" s="240"/>
      <c r="AN52" s="240"/>
      <c r="AO52" s="240"/>
      <c r="AP52" s="240"/>
      <c r="AQ52" s="240"/>
      <c r="AR52" s="240"/>
      <c r="AS52" s="240"/>
      <c r="AT52" s="240"/>
      <c r="AU52" s="240"/>
      <c r="AV52" s="240"/>
      <c r="AW52" s="240"/>
      <c r="AX52" s="240"/>
      <c r="AY52" s="240"/>
      <c r="AZ52" s="240"/>
      <c r="BA52" s="240"/>
      <c r="BB52" s="240"/>
      <c r="BC52" s="240"/>
      <c r="BD52" s="240"/>
      <c r="BE52" s="240"/>
      <c r="BF52" s="240"/>
      <c r="BG52" s="240"/>
      <c r="BH52" s="240"/>
      <c r="BI52" s="240"/>
      <c r="BJ52" s="240"/>
      <c r="BK52" s="240"/>
      <c r="BL52" s="240"/>
      <c r="BM52" s="240"/>
      <c r="BN52" s="240"/>
      <c r="BO52" s="240"/>
      <c r="BP52" s="240"/>
      <c r="BQ52" s="240"/>
      <c r="BR52" s="240"/>
      <c r="BS52" s="240"/>
      <c r="BT52" s="240"/>
      <c r="BU52" s="240"/>
      <c r="BV52" s="240"/>
      <c r="BW52" s="240"/>
      <c r="BX52" s="240"/>
      <c r="BY52" s="240"/>
      <c r="BZ52" s="240"/>
      <c r="CA52" s="238"/>
      <c r="CB52" s="238"/>
      <c r="CC52" s="238"/>
      <c r="CD52" s="238"/>
      <c r="CE52" s="238"/>
      <c r="CF52" s="240"/>
    </row>
    <row r="53">
      <c r="A53" s="236"/>
      <c r="B53" s="236"/>
      <c r="C53" s="236"/>
      <c r="D53" s="238"/>
      <c r="E53" s="238"/>
      <c r="F53" s="238"/>
      <c r="G53" s="238"/>
      <c r="H53" s="238"/>
      <c r="I53" s="238"/>
      <c r="J53" s="238"/>
      <c r="K53" s="238"/>
      <c r="L53" s="238"/>
      <c r="M53" s="238"/>
      <c r="N53" s="238"/>
      <c r="O53" s="238"/>
      <c r="P53" s="238"/>
      <c r="Q53" s="236"/>
      <c r="R53" s="240"/>
      <c r="S53" s="240"/>
      <c r="T53" s="240"/>
      <c r="U53" s="240"/>
      <c r="V53" s="240"/>
      <c r="W53" s="240"/>
      <c r="X53" s="240"/>
      <c r="Y53" s="240"/>
      <c r="Z53" s="240"/>
      <c r="AA53" s="240"/>
      <c r="AB53" s="240"/>
      <c r="AC53" s="240"/>
      <c r="AD53" s="240"/>
      <c r="AE53" s="240"/>
      <c r="AF53" s="240"/>
      <c r="AG53" s="240"/>
      <c r="AH53" s="240"/>
      <c r="AI53" s="240"/>
      <c r="AJ53" s="240"/>
      <c r="AK53" s="240"/>
      <c r="AL53" s="240"/>
      <c r="AM53" s="240"/>
      <c r="AN53" s="240"/>
      <c r="AO53" s="240"/>
      <c r="AP53" s="240"/>
      <c r="AQ53" s="240"/>
      <c r="AR53" s="240"/>
      <c r="AS53" s="240"/>
      <c r="AT53" s="240"/>
      <c r="AU53" s="240"/>
      <c r="AV53" s="240"/>
      <c r="AW53" s="240"/>
      <c r="AX53" s="240"/>
      <c r="AY53" s="240"/>
      <c r="AZ53" s="240"/>
      <c r="BA53" s="240"/>
      <c r="BB53" s="240"/>
      <c r="BC53" s="240"/>
      <c r="BD53" s="240"/>
      <c r="BE53" s="240"/>
      <c r="BF53" s="240"/>
      <c r="BG53" s="240"/>
      <c r="BH53" s="240"/>
      <c r="BI53" s="240"/>
      <c r="BJ53" s="240"/>
      <c r="BK53" s="240"/>
      <c r="BL53" s="240"/>
      <c r="BM53" s="240"/>
      <c r="BN53" s="240"/>
      <c r="BO53" s="240"/>
      <c r="BP53" s="240"/>
      <c r="BQ53" s="240"/>
      <c r="BR53" s="240"/>
      <c r="BS53" s="240"/>
      <c r="BT53" s="240"/>
      <c r="BU53" s="240"/>
      <c r="BV53" s="240"/>
      <c r="BW53" s="240"/>
      <c r="BX53" s="240"/>
      <c r="BY53" s="240"/>
      <c r="BZ53" s="240"/>
      <c r="CA53" s="238"/>
      <c r="CB53" s="238"/>
      <c r="CC53" s="238"/>
      <c r="CD53" s="238"/>
      <c r="CE53" s="238"/>
      <c r="CF53" s="240"/>
    </row>
    <row r="54">
      <c r="A54" s="236"/>
      <c r="B54" s="236"/>
      <c r="C54" s="236"/>
      <c r="D54" s="238"/>
      <c r="E54" s="238"/>
      <c r="F54" s="238"/>
      <c r="G54" s="238"/>
      <c r="H54" s="238"/>
      <c r="I54" s="238"/>
      <c r="J54" s="238"/>
      <c r="K54" s="238"/>
      <c r="L54" s="238"/>
      <c r="M54" s="238"/>
      <c r="N54" s="238"/>
      <c r="O54" s="238"/>
      <c r="P54" s="238"/>
      <c r="Q54" s="236"/>
      <c r="R54" s="240"/>
      <c r="S54" s="240"/>
      <c r="T54" s="240"/>
      <c r="U54" s="240"/>
      <c r="V54" s="240"/>
      <c r="W54" s="240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0"/>
      <c r="AI54" s="240"/>
      <c r="AJ54" s="240"/>
      <c r="AK54" s="240"/>
      <c r="AL54" s="240"/>
      <c r="AM54" s="240"/>
      <c r="AN54" s="240"/>
      <c r="AO54" s="240"/>
      <c r="AP54" s="240"/>
      <c r="AQ54" s="240"/>
      <c r="AR54" s="240"/>
      <c r="AS54" s="240"/>
      <c r="AT54" s="240"/>
      <c r="AU54" s="240"/>
      <c r="AV54" s="240"/>
      <c r="AW54" s="240"/>
      <c r="AX54" s="240"/>
      <c r="AY54" s="240"/>
      <c r="AZ54" s="240"/>
      <c r="BA54" s="240"/>
      <c r="BB54" s="240"/>
      <c r="BC54" s="240"/>
      <c r="BD54" s="240"/>
      <c r="BE54" s="240"/>
      <c r="BF54" s="240"/>
      <c r="BG54" s="240"/>
      <c r="BH54" s="240"/>
      <c r="BI54" s="240"/>
      <c r="BJ54" s="240"/>
      <c r="BK54" s="240"/>
      <c r="BL54" s="240"/>
      <c r="BM54" s="240"/>
      <c r="BN54" s="240"/>
      <c r="BO54" s="240"/>
      <c r="BP54" s="240"/>
      <c r="BQ54" s="240"/>
      <c r="BR54" s="240"/>
      <c r="BS54" s="240"/>
      <c r="BT54" s="240"/>
      <c r="BU54" s="240"/>
      <c r="BV54" s="240"/>
      <c r="BW54" s="240"/>
      <c r="BX54" s="240"/>
      <c r="BY54" s="240"/>
      <c r="BZ54" s="240"/>
      <c r="CA54" s="238"/>
      <c r="CB54" s="238"/>
      <c r="CC54" s="238"/>
      <c r="CD54" s="238"/>
      <c r="CE54" s="238"/>
      <c r="CF54" s="240"/>
    </row>
    <row r="55">
      <c r="A55" s="236"/>
      <c r="B55" s="236"/>
      <c r="C55" s="236"/>
      <c r="D55" s="238"/>
      <c r="E55" s="238"/>
      <c r="F55" s="238"/>
      <c r="G55" s="238"/>
      <c r="H55" s="238"/>
      <c r="I55" s="238"/>
      <c r="J55" s="238"/>
      <c r="K55" s="238"/>
      <c r="L55" s="238"/>
      <c r="M55" s="238"/>
      <c r="N55" s="238"/>
      <c r="O55" s="238"/>
      <c r="P55" s="238"/>
      <c r="Q55" s="236"/>
      <c r="R55" s="236"/>
      <c r="S55" s="236"/>
      <c r="T55" s="236"/>
      <c r="U55" s="236"/>
      <c r="V55" s="236"/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  <c r="AH55" s="236"/>
      <c r="AI55" s="236"/>
      <c r="AJ55" s="236"/>
      <c r="AK55" s="236"/>
      <c r="AL55" s="236"/>
      <c r="AM55" s="236"/>
      <c r="AN55" s="236"/>
      <c r="AO55" s="236"/>
      <c r="AP55" s="236"/>
      <c r="AQ55" s="236"/>
      <c r="AR55" s="236"/>
      <c r="AS55" s="236"/>
      <c r="AT55" s="236"/>
      <c r="AU55" s="236"/>
      <c r="AV55" s="236"/>
      <c r="AW55" s="236"/>
      <c r="AX55" s="236"/>
      <c r="AY55" s="236"/>
      <c r="AZ55" s="236"/>
      <c r="BA55" s="236"/>
      <c r="BB55" s="236"/>
      <c r="BC55" s="236"/>
      <c r="BD55" s="236"/>
      <c r="BE55" s="236"/>
      <c r="BF55" s="236"/>
      <c r="BG55" s="236"/>
      <c r="BH55" s="236"/>
      <c r="BI55" s="236"/>
      <c r="BJ55" s="236"/>
      <c r="BK55" s="236"/>
      <c r="BL55" s="236"/>
      <c r="BM55" s="236"/>
      <c r="BN55" s="236"/>
      <c r="BO55" s="236"/>
      <c r="BP55" s="236"/>
      <c r="BQ55" s="236"/>
      <c r="BR55" s="236"/>
      <c r="BS55" s="236"/>
      <c r="BT55" s="236"/>
      <c r="BU55" s="236"/>
      <c r="BV55" s="236"/>
      <c r="BW55" s="236"/>
      <c r="BX55" s="236"/>
      <c r="BY55" s="236"/>
      <c r="BZ55" s="236"/>
      <c r="CA55" s="238"/>
      <c r="CB55" s="238"/>
      <c r="CC55" s="238"/>
      <c r="CD55" s="238"/>
      <c r="CE55" s="238"/>
      <c r="CF55" s="236"/>
    </row>
    <row r="56">
      <c r="A56" s="236"/>
      <c r="B56" s="236"/>
      <c r="C56" s="236"/>
      <c r="D56" s="238"/>
      <c r="E56" s="238"/>
      <c r="F56" s="238"/>
      <c r="G56" s="238"/>
      <c r="H56" s="238"/>
      <c r="I56" s="238"/>
      <c r="J56" s="238"/>
      <c r="K56" s="238"/>
      <c r="L56" s="238"/>
      <c r="M56" s="238"/>
      <c r="N56" s="238"/>
      <c r="O56" s="238"/>
      <c r="P56" s="238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  <c r="AH56" s="236"/>
      <c r="AI56" s="236"/>
      <c r="AJ56" s="236"/>
      <c r="AK56" s="236"/>
      <c r="AL56" s="236"/>
      <c r="AM56" s="236"/>
      <c r="AN56" s="236"/>
      <c r="AO56" s="236"/>
      <c r="AP56" s="236"/>
      <c r="AQ56" s="236"/>
      <c r="AR56" s="236"/>
      <c r="AS56" s="236"/>
      <c r="AT56" s="236"/>
      <c r="AU56" s="236"/>
      <c r="AV56" s="236"/>
      <c r="AW56" s="236"/>
      <c r="AX56" s="236"/>
      <c r="AY56" s="236"/>
      <c r="AZ56" s="236"/>
      <c r="BA56" s="236"/>
      <c r="BB56" s="236"/>
      <c r="BC56" s="236"/>
      <c r="BD56" s="236"/>
      <c r="BE56" s="236"/>
      <c r="BF56" s="236"/>
      <c r="BG56" s="236"/>
      <c r="BH56" s="236"/>
      <c r="BI56" s="236"/>
      <c r="BJ56" s="236"/>
      <c r="BK56" s="236"/>
      <c r="BL56" s="236"/>
      <c r="BM56" s="236"/>
      <c r="BN56" s="236"/>
      <c r="BO56" s="236"/>
      <c r="BP56" s="236"/>
      <c r="BQ56" s="236"/>
      <c r="BR56" s="236"/>
      <c r="BS56" s="236"/>
      <c r="BT56" s="236"/>
      <c r="BU56" s="236"/>
      <c r="BV56" s="236"/>
      <c r="BW56" s="236"/>
      <c r="BX56" s="236"/>
      <c r="BY56" s="236"/>
      <c r="BZ56" s="236"/>
      <c r="CA56" s="238"/>
      <c r="CB56" s="238"/>
      <c r="CC56" s="238"/>
      <c r="CD56" s="238"/>
      <c r="CE56" s="238"/>
      <c r="CF56" s="236"/>
    </row>
    <row r="57">
      <c r="A57" s="236"/>
      <c r="B57" s="236"/>
      <c r="C57" s="236"/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8"/>
      <c r="P57" s="238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  <c r="AH57" s="236"/>
      <c r="AI57" s="236"/>
      <c r="AJ57" s="236"/>
      <c r="AK57" s="236"/>
      <c r="AL57" s="236"/>
      <c r="AM57" s="236"/>
      <c r="AN57" s="236"/>
      <c r="AO57" s="236"/>
      <c r="AP57" s="236"/>
      <c r="AQ57" s="236"/>
      <c r="AR57" s="236"/>
      <c r="AS57" s="236"/>
      <c r="AT57" s="236"/>
      <c r="AU57" s="236"/>
      <c r="AV57" s="236"/>
      <c r="AW57" s="236"/>
      <c r="AX57" s="236"/>
      <c r="AY57" s="236"/>
      <c r="AZ57" s="236"/>
      <c r="BA57" s="236"/>
      <c r="BB57" s="236"/>
      <c r="BC57" s="236"/>
      <c r="BD57" s="236"/>
      <c r="BE57" s="236"/>
      <c r="BF57" s="236"/>
      <c r="BG57" s="236"/>
      <c r="BH57" s="236"/>
      <c r="BI57" s="236"/>
      <c r="BJ57" s="236"/>
      <c r="BK57" s="236"/>
      <c r="BL57" s="236"/>
      <c r="BM57" s="236"/>
      <c r="BN57" s="236"/>
      <c r="BO57" s="236"/>
      <c r="BP57" s="236"/>
      <c r="BQ57" s="236"/>
      <c r="BR57" s="236"/>
      <c r="BS57" s="236"/>
      <c r="BT57" s="236"/>
      <c r="BU57" s="236"/>
      <c r="BV57" s="236"/>
      <c r="BW57" s="236"/>
      <c r="BX57" s="236"/>
      <c r="BY57" s="236"/>
      <c r="BZ57" s="236"/>
      <c r="CA57" s="238"/>
      <c r="CB57" s="238"/>
      <c r="CC57" s="238"/>
      <c r="CD57" s="238"/>
      <c r="CE57" s="238"/>
      <c r="CF57" s="236"/>
    </row>
    <row r="58">
      <c r="A58" s="236"/>
      <c r="B58" s="236"/>
      <c r="C58" s="236"/>
      <c r="D58" s="238"/>
      <c r="E58" s="238"/>
      <c r="F58" s="238"/>
      <c r="G58" s="238"/>
      <c r="H58" s="238"/>
      <c r="I58" s="238"/>
      <c r="J58" s="238"/>
      <c r="K58" s="238"/>
      <c r="L58" s="238"/>
      <c r="M58" s="238"/>
      <c r="N58" s="238"/>
      <c r="O58" s="238"/>
      <c r="P58" s="238"/>
      <c r="Q58" s="236"/>
      <c r="R58" s="236"/>
      <c r="S58" s="236"/>
      <c r="T58" s="236"/>
      <c r="U58" s="236"/>
      <c r="V58" s="236"/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  <c r="AH58" s="236"/>
      <c r="AI58" s="236"/>
      <c r="AJ58" s="236"/>
      <c r="AK58" s="236"/>
      <c r="AL58" s="236"/>
      <c r="AM58" s="236"/>
      <c r="AN58" s="236"/>
      <c r="AO58" s="236"/>
      <c r="AP58" s="236"/>
      <c r="AQ58" s="236"/>
      <c r="AR58" s="236"/>
      <c r="AS58" s="236"/>
      <c r="AT58" s="236"/>
      <c r="AU58" s="236"/>
      <c r="AV58" s="236"/>
      <c r="AW58" s="236"/>
      <c r="AX58" s="236"/>
      <c r="AY58" s="236"/>
      <c r="AZ58" s="236"/>
      <c r="BA58" s="236"/>
      <c r="BB58" s="236"/>
      <c r="BC58" s="236"/>
      <c r="BD58" s="236"/>
      <c r="BE58" s="236"/>
      <c r="BF58" s="236"/>
      <c r="BG58" s="236"/>
      <c r="BH58" s="236"/>
      <c r="BI58" s="236"/>
      <c r="BJ58" s="236"/>
      <c r="BK58" s="236"/>
      <c r="BL58" s="236"/>
      <c r="BM58" s="236"/>
      <c r="BN58" s="236"/>
      <c r="BO58" s="236"/>
      <c r="BP58" s="236"/>
      <c r="BQ58" s="236"/>
      <c r="BR58" s="236"/>
      <c r="BS58" s="236"/>
      <c r="BT58" s="236"/>
      <c r="BU58" s="236"/>
      <c r="BV58" s="236"/>
      <c r="BW58" s="236"/>
      <c r="BX58" s="236"/>
      <c r="BY58" s="236"/>
      <c r="BZ58" s="236"/>
      <c r="CA58" s="238"/>
      <c r="CB58" s="238"/>
      <c r="CC58" s="238"/>
      <c r="CD58" s="238"/>
      <c r="CE58" s="238"/>
      <c r="CF58" s="236"/>
    </row>
    <row r="59">
      <c r="A59" s="236"/>
      <c r="B59" s="236"/>
      <c r="C59" s="236"/>
      <c r="D59" s="238"/>
      <c r="E59" s="238"/>
      <c r="F59" s="238"/>
      <c r="G59" s="238"/>
      <c r="H59" s="238"/>
      <c r="I59" s="238"/>
      <c r="J59" s="238"/>
      <c r="K59" s="238"/>
      <c r="L59" s="238"/>
      <c r="M59" s="238"/>
      <c r="N59" s="238"/>
      <c r="O59" s="238"/>
      <c r="P59" s="238"/>
      <c r="Q59" s="236"/>
      <c r="R59" s="236"/>
      <c r="S59" s="236"/>
      <c r="T59" s="236"/>
      <c r="U59" s="236"/>
      <c r="V59" s="236"/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  <c r="AH59" s="236"/>
      <c r="AI59" s="236"/>
      <c r="AJ59" s="236"/>
      <c r="AK59" s="236"/>
      <c r="AL59" s="236"/>
      <c r="AM59" s="236"/>
      <c r="AN59" s="236"/>
      <c r="AO59" s="236"/>
      <c r="AP59" s="236"/>
      <c r="AQ59" s="236"/>
      <c r="AR59" s="236"/>
      <c r="AS59" s="236"/>
      <c r="AT59" s="236"/>
      <c r="AU59" s="236"/>
      <c r="AV59" s="236"/>
      <c r="AW59" s="236"/>
      <c r="AX59" s="236"/>
      <c r="AY59" s="236"/>
      <c r="AZ59" s="236"/>
      <c r="BA59" s="236"/>
      <c r="BB59" s="236"/>
      <c r="BC59" s="236"/>
      <c r="BD59" s="236"/>
      <c r="BE59" s="236"/>
      <c r="BF59" s="236"/>
      <c r="BG59" s="236"/>
      <c r="BH59" s="236"/>
      <c r="BI59" s="236"/>
      <c r="BJ59" s="236"/>
      <c r="BK59" s="236"/>
      <c r="BL59" s="236"/>
      <c r="BM59" s="236"/>
      <c r="BN59" s="236"/>
      <c r="BO59" s="236"/>
      <c r="BP59" s="236"/>
      <c r="BQ59" s="236"/>
      <c r="BR59" s="236"/>
      <c r="BS59" s="236"/>
      <c r="BT59" s="236"/>
      <c r="BU59" s="236"/>
      <c r="BV59" s="236"/>
      <c r="BW59" s="236"/>
      <c r="BX59" s="236"/>
      <c r="BY59" s="236"/>
      <c r="BZ59" s="236"/>
      <c r="CA59" s="238"/>
      <c r="CB59" s="238"/>
      <c r="CC59" s="238"/>
      <c r="CD59" s="238"/>
      <c r="CE59" s="238"/>
      <c r="CF59" s="236"/>
    </row>
    <row r="60">
      <c r="A60" s="236"/>
      <c r="B60" s="236"/>
      <c r="C60" s="236"/>
      <c r="D60" s="238"/>
      <c r="E60" s="238"/>
      <c r="F60" s="238"/>
      <c r="G60" s="238"/>
      <c r="H60" s="238"/>
      <c r="I60" s="238"/>
      <c r="J60" s="238"/>
      <c r="K60" s="238"/>
      <c r="L60" s="238"/>
      <c r="M60" s="238"/>
      <c r="N60" s="238"/>
      <c r="O60" s="238"/>
      <c r="P60" s="238"/>
      <c r="Q60" s="236"/>
      <c r="R60" s="236"/>
      <c r="S60" s="236"/>
      <c r="T60" s="236"/>
      <c r="U60" s="236"/>
      <c r="V60" s="236"/>
      <c r="W60" s="236"/>
      <c r="X60" s="236"/>
      <c r="Y60" s="236"/>
      <c r="Z60" s="236"/>
      <c r="AA60" s="236"/>
      <c r="AB60" s="236"/>
      <c r="AC60" s="236"/>
      <c r="AD60" s="236"/>
      <c r="AE60" s="236"/>
      <c r="AF60" s="236"/>
      <c r="AG60" s="236"/>
      <c r="AH60" s="236"/>
      <c r="AI60" s="236"/>
      <c r="AJ60" s="236"/>
      <c r="AK60" s="236"/>
      <c r="AL60" s="236"/>
      <c r="AM60" s="236"/>
      <c r="AN60" s="236"/>
      <c r="AO60" s="236"/>
      <c r="AP60" s="236"/>
      <c r="AQ60" s="236"/>
      <c r="AR60" s="236"/>
      <c r="AS60" s="236"/>
      <c r="AT60" s="236"/>
      <c r="AU60" s="236"/>
      <c r="AV60" s="236"/>
      <c r="AW60" s="236"/>
      <c r="AX60" s="236"/>
      <c r="AY60" s="236"/>
      <c r="AZ60" s="236"/>
      <c r="BA60" s="236"/>
      <c r="BB60" s="236"/>
      <c r="BC60" s="236"/>
      <c r="BD60" s="236"/>
      <c r="BE60" s="236"/>
      <c r="BF60" s="236"/>
      <c r="BG60" s="236"/>
      <c r="BH60" s="236"/>
      <c r="BI60" s="236"/>
      <c r="BJ60" s="236"/>
      <c r="BK60" s="236"/>
      <c r="BL60" s="236"/>
      <c r="BM60" s="236"/>
      <c r="BN60" s="236"/>
      <c r="BO60" s="236"/>
      <c r="BP60" s="236"/>
      <c r="BQ60" s="236"/>
      <c r="BR60" s="236"/>
      <c r="BS60" s="236"/>
      <c r="BT60" s="236"/>
      <c r="BU60" s="236"/>
      <c r="BV60" s="236"/>
      <c r="BW60" s="236"/>
      <c r="BX60" s="236"/>
      <c r="BY60" s="236"/>
      <c r="BZ60" s="236"/>
      <c r="CA60" s="238"/>
      <c r="CB60" s="238"/>
      <c r="CC60" s="238"/>
      <c r="CD60" s="238"/>
      <c r="CE60" s="238"/>
      <c r="CF60" s="236"/>
    </row>
    <row r="61">
      <c r="A61" s="236"/>
      <c r="B61" s="236"/>
      <c r="C61" s="236"/>
      <c r="D61" s="238"/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/>
      <c r="P61" s="238"/>
      <c r="Q61" s="236"/>
      <c r="R61" s="236"/>
      <c r="S61" s="236"/>
      <c r="T61" s="236"/>
      <c r="U61" s="236"/>
      <c r="V61" s="236"/>
      <c r="W61" s="236"/>
      <c r="X61" s="236"/>
      <c r="Y61" s="236"/>
      <c r="Z61" s="236"/>
      <c r="AA61" s="236"/>
      <c r="AB61" s="236"/>
      <c r="AC61" s="236"/>
      <c r="AD61" s="236"/>
      <c r="AE61" s="236"/>
      <c r="AF61" s="236"/>
      <c r="AG61" s="236"/>
      <c r="AH61" s="236"/>
      <c r="AI61" s="236"/>
      <c r="AJ61" s="236"/>
      <c r="AK61" s="236"/>
      <c r="AL61" s="236"/>
      <c r="AM61" s="236"/>
      <c r="AN61" s="236"/>
      <c r="AO61" s="236"/>
      <c r="AP61" s="236"/>
      <c r="AQ61" s="236"/>
      <c r="AR61" s="236"/>
      <c r="AS61" s="236"/>
      <c r="AT61" s="236"/>
      <c r="AU61" s="236"/>
      <c r="AV61" s="236"/>
      <c r="AW61" s="236"/>
      <c r="AX61" s="236"/>
      <c r="AY61" s="236"/>
      <c r="AZ61" s="236"/>
      <c r="BA61" s="236"/>
      <c r="BB61" s="236"/>
      <c r="BC61" s="236"/>
      <c r="BD61" s="236"/>
      <c r="BE61" s="236"/>
      <c r="BF61" s="236"/>
      <c r="BG61" s="236"/>
      <c r="BH61" s="236"/>
      <c r="BI61" s="236"/>
      <c r="BJ61" s="236"/>
      <c r="BK61" s="236"/>
      <c r="BL61" s="236"/>
      <c r="BM61" s="236"/>
      <c r="BN61" s="236"/>
      <c r="BO61" s="236"/>
      <c r="BP61" s="236"/>
      <c r="BQ61" s="236"/>
      <c r="BR61" s="236"/>
      <c r="BS61" s="236"/>
      <c r="BT61" s="236"/>
      <c r="BU61" s="236"/>
      <c r="BV61" s="236"/>
      <c r="BW61" s="236"/>
      <c r="BX61" s="236"/>
      <c r="BY61" s="236"/>
      <c r="BZ61" s="236"/>
      <c r="CA61" s="238"/>
      <c r="CB61" s="238"/>
      <c r="CC61" s="238"/>
      <c r="CD61" s="238"/>
      <c r="CE61" s="238"/>
      <c r="CF61" s="236"/>
    </row>
    <row r="62">
      <c r="A62" s="236"/>
      <c r="B62" s="236"/>
      <c r="C62" s="236"/>
      <c r="D62" s="238"/>
      <c r="E62" s="238"/>
      <c r="F62" s="238"/>
      <c r="G62" s="238"/>
      <c r="H62" s="238"/>
      <c r="I62" s="238"/>
      <c r="J62" s="238"/>
      <c r="K62" s="238"/>
      <c r="L62" s="238"/>
      <c r="M62" s="238"/>
      <c r="N62" s="238"/>
      <c r="O62" s="238"/>
      <c r="P62" s="238"/>
      <c r="Q62" s="236"/>
      <c r="R62" s="236"/>
      <c r="S62" s="236"/>
      <c r="T62" s="236"/>
      <c r="U62" s="236"/>
      <c r="V62" s="236"/>
      <c r="W62" s="236"/>
      <c r="X62" s="236"/>
      <c r="Y62" s="236"/>
      <c r="Z62" s="236"/>
      <c r="AA62" s="236"/>
      <c r="AB62" s="236"/>
      <c r="AC62" s="236"/>
      <c r="AD62" s="236"/>
      <c r="AE62" s="236"/>
      <c r="AF62" s="236"/>
      <c r="AG62" s="236"/>
      <c r="AH62" s="236"/>
      <c r="AI62" s="236"/>
      <c r="AJ62" s="236"/>
      <c r="AK62" s="236"/>
      <c r="AL62" s="236"/>
      <c r="AM62" s="236"/>
      <c r="AN62" s="236"/>
      <c r="AO62" s="236"/>
      <c r="AP62" s="236"/>
      <c r="AQ62" s="236"/>
      <c r="AR62" s="236"/>
      <c r="AS62" s="236"/>
      <c r="AT62" s="236"/>
      <c r="AU62" s="236"/>
      <c r="AV62" s="236"/>
      <c r="AW62" s="236"/>
      <c r="AX62" s="236"/>
      <c r="AY62" s="236"/>
      <c r="AZ62" s="236"/>
      <c r="BA62" s="236"/>
      <c r="BB62" s="236"/>
      <c r="BC62" s="236"/>
      <c r="BD62" s="236"/>
      <c r="BE62" s="236"/>
      <c r="BF62" s="236"/>
      <c r="BG62" s="236"/>
      <c r="BH62" s="236"/>
      <c r="BI62" s="236"/>
      <c r="BJ62" s="236"/>
      <c r="BK62" s="236"/>
      <c r="BL62" s="236"/>
      <c r="BM62" s="236"/>
      <c r="BN62" s="236"/>
      <c r="BO62" s="236"/>
      <c r="BP62" s="236"/>
      <c r="BQ62" s="236"/>
      <c r="BR62" s="236"/>
      <c r="BS62" s="236"/>
      <c r="BT62" s="236"/>
      <c r="BU62" s="236"/>
      <c r="BV62" s="236"/>
      <c r="BW62" s="236"/>
      <c r="BX62" s="236"/>
      <c r="BY62" s="236"/>
      <c r="BZ62" s="236"/>
      <c r="CA62" s="238"/>
      <c r="CB62" s="238"/>
      <c r="CC62" s="238"/>
      <c r="CD62" s="238"/>
      <c r="CE62" s="238"/>
      <c r="CF62" s="236"/>
    </row>
    <row r="63">
      <c r="A63" s="236"/>
      <c r="B63" s="236"/>
      <c r="C63" s="236"/>
      <c r="D63" s="238"/>
      <c r="E63" s="238"/>
      <c r="F63" s="238"/>
      <c r="G63" s="238"/>
      <c r="H63" s="238"/>
      <c r="I63" s="238"/>
      <c r="J63" s="238"/>
      <c r="K63" s="238"/>
      <c r="L63" s="238"/>
      <c r="M63" s="238"/>
      <c r="N63" s="238"/>
      <c r="O63" s="238"/>
      <c r="P63" s="238"/>
      <c r="Q63" s="236"/>
      <c r="R63" s="236"/>
      <c r="S63" s="236"/>
      <c r="T63" s="236"/>
      <c r="U63" s="236"/>
      <c r="V63" s="236"/>
      <c r="W63" s="236"/>
      <c r="X63" s="236"/>
      <c r="Y63" s="236"/>
      <c r="Z63" s="236"/>
      <c r="AA63" s="236"/>
      <c r="AB63" s="236"/>
      <c r="AC63" s="236"/>
      <c r="AD63" s="236"/>
      <c r="AE63" s="236"/>
      <c r="AF63" s="236"/>
      <c r="AG63" s="236"/>
      <c r="AH63" s="236"/>
      <c r="AI63" s="236"/>
      <c r="AJ63" s="236"/>
      <c r="AK63" s="236"/>
      <c r="AL63" s="236"/>
      <c r="AM63" s="236"/>
      <c r="AN63" s="236"/>
      <c r="AO63" s="236"/>
      <c r="AP63" s="236"/>
      <c r="AQ63" s="236"/>
      <c r="AR63" s="236"/>
      <c r="AS63" s="236"/>
      <c r="AT63" s="236"/>
      <c r="AU63" s="236"/>
      <c r="AV63" s="236"/>
      <c r="AW63" s="236"/>
      <c r="AX63" s="236"/>
      <c r="AY63" s="236"/>
      <c r="AZ63" s="236"/>
      <c r="BA63" s="236"/>
      <c r="BB63" s="236"/>
      <c r="BC63" s="236"/>
      <c r="BD63" s="236"/>
      <c r="BE63" s="236"/>
      <c r="BF63" s="236"/>
      <c r="BG63" s="236"/>
      <c r="BH63" s="236"/>
      <c r="BI63" s="236"/>
      <c r="BJ63" s="236"/>
      <c r="BK63" s="236"/>
      <c r="BL63" s="236"/>
      <c r="BM63" s="236"/>
      <c r="BN63" s="236"/>
      <c r="BO63" s="236"/>
      <c r="BP63" s="236"/>
      <c r="BQ63" s="236"/>
      <c r="BR63" s="236"/>
      <c r="BS63" s="236"/>
      <c r="BT63" s="236"/>
      <c r="BU63" s="236"/>
      <c r="BV63" s="236"/>
      <c r="BW63" s="236"/>
      <c r="BX63" s="236"/>
      <c r="BY63" s="236"/>
      <c r="BZ63" s="236"/>
      <c r="CA63" s="238"/>
      <c r="CB63" s="238"/>
      <c r="CC63" s="238"/>
      <c r="CD63" s="238"/>
      <c r="CE63" s="238"/>
      <c r="CF63" s="236"/>
    </row>
    <row r="64">
      <c r="A64" s="236"/>
      <c r="B64" s="236"/>
      <c r="C64" s="236"/>
      <c r="D64" s="238"/>
      <c r="E64" s="238"/>
      <c r="F64" s="238"/>
      <c r="G64" s="238"/>
      <c r="H64" s="238"/>
      <c r="I64" s="238"/>
      <c r="J64" s="238"/>
      <c r="K64" s="238"/>
      <c r="L64" s="238"/>
      <c r="M64" s="238"/>
      <c r="N64" s="238"/>
      <c r="O64" s="238"/>
      <c r="P64" s="238"/>
      <c r="Q64" s="236"/>
      <c r="R64" s="236"/>
      <c r="S64" s="236"/>
      <c r="T64" s="236"/>
      <c r="U64" s="236"/>
      <c r="V64" s="236"/>
      <c r="W64" s="236"/>
      <c r="X64" s="236"/>
      <c r="Y64" s="236"/>
      <c r="Z64" s="236"/>
      <c r="AA64" s="236"/>
      <c r="AB64" s="236"/>
      <c r="AC64" s="236"/>
      <c r="AD64" s="236"/>
      <c r="AE64" s="236"/>
      <c r="AF64" s="236"/>
      <c r="AG64" s="236"/>
      <c r="AH64" s="236"/>
      <c r="AI64" s="236"/>
      <c r="AJ64" s="236"/>
      <c r="AK64" s="236"/>
      <c r="AL64" s="236"/>
      <c r="AM64" s="236"/>
      <c r="AN64" s="236"/>
      <c r="AO64" s="236"/>
      <c r="AP64" s="236"/>
      <c r="AQ64" s="236"/>
      <c r="AR64" s="236"/>
      <c r="AS64" s="236"/>
      <c r="AT64" s="236"/>
      <c r="AU64" s="236"/>
      <c r="AV64" s="236"/>
      <c r="AW64" s="236"/>
      <c r="AX64" s="236"/>
      <c r="AY64" s="236"/>
      <c r="AZ64" s="236"/>
      <c r="BA64" s="236"/>
      <c r="BB64" s="236"/>
      <c r="BC64" s="236"/>
      <c r="BD64" s="236"/>
      <c r="BE64" s="236"/>
      <c r="BF64" s="236"/>
      <c r="BG64" s="236"/>
      <c r="BH64" s="236"/>
      <c r="BI64" s="236"/>
      <c r="BJ64" s="236"/>
      <c r="BK64" s="236"/>
      <c r="BL64" s="236"/>
      <c r="BM64" s="236"/>
      <c r="BN64" s="236"/>
      <c r="BO64" s="236"/>
      <c r="BP64" s="236"/>
      <c r="BQ64" s="236"/>
      <c r="BR64" s="236"/>
      <c r="BS64" s="236"/>
      <c r="BT64" s="236"/>
      <c r="BU64" s="236"/>
      <c r="BV64" s="236"/>
      <c r="BW64" s="236"/>
      <c r="BX64" s="236"/>
      <c r="BY64" s="236"/>
      <c r="BZ64" s="236"/>
      <c r="CA64" s="238"/>
      <c r="CB64" s="238"/>
      <c r="CC64" s="238"/>
      <c r="CD64" s="238"/>
      <c r="CE64" s="238"/>
      <c r="CF64" s="236"/>
    </row>
    <row r="65">
      <c r="A65" s="236"/>
      <c r="B65" s="236"/>
      <c r="C65" s="236"/>
      <c r="D65" s="238"/>
      <c r="E65" s="238"/>
      <c r="F65" s="238"/>
      <c r="G65" s="238"/>
      <c r="H65" s="238"/>
      <c r="I65" s="238"/>
      <c r="J65" s="238"/>
      <c r="K65" s="238"/>
      <c r="L65" s="238"/>
      <c r="M65" s="238"/>
      <c r="N65" s="238"/>
      <c r="O65" s="238"/>
      <c r="P65" s="238"/>
      <c r="Q65" s="236"/>
      <c r="R65" s="240"/>
      <c r="S65" s="240"/>
      <c r="T65" s="240"/>
      <c r="U65" s="240"/>
      <c r="V65" s="240"/>
      <c r="W65" s="240"/>
      <c r="X65" s="240"/>
      <c r="Y65" s="240"/>
      <c r="Z65" s="240"/>
      <c r="AA65" s="240"/>
      <c r="AB65" s="240"/>
      <c r="AC65" s="240"/>
      <c r="AD65" s="240"/>
      <c r="AE65" s="240"/>
      <c r="AF65" s="240"/>
      <c r="AG65" s="240"/>
      <c r="AH65" s="240"/>
      <c r="AI65" s="240"/>
      <c r="AJ65" s="240"/>
      <c r="AK65" s="240"/>
      <c r="AL65" s="240"/>
      <c r="AM65" s="240"/>
      <c r="AN65" s="240"/>
      <c r="AO65" s="240"/>
      <c r="AP65" s="240"/>
      <c r="AQ65" s="240"/>
      <c r="AR65" s="240"/>
      <c r="AS65" s="240"/>
      <c r="AT65" s="240"/>
      <c r="AU65" s="240"/>
      <c r="AV65" s="240"/>
      <c r="AW65" s="240"/>
      <c r="AX65" s="240"/>
      <c r="AY65" s="240"/>
      <c r="AZ65" s="240"/>
      <c r="BA65" s="240"/>
      <c r="BB65" s="240"/>
      <c r="BC65" s="240"/>
      <c r="BD65" s="240"/>
      <c r="BE65" s="240"/>
      <c r="BF65" s="240"/>
      <c r="BG65" s="240"/>
      <c r="BH65" s="240"/>
      <c r="BI65" s="240"/>
      <c r="BJ65" s="240"/>
      <c r="BK65" s="240"/>
      <c r="BL65" s="240"/>
      <c r="BM65" s="240"/>
      <c r="BN65" s="240"/>
      <c r="BO65" s="240"/>
      <c r="BP65" s="240"/>
      <c r="BQ65" s="240"/>
      <c r="BR65" s="240"/>
      <c r="BS65" s="240"/>
      <c r="BT65" s="240"/>
      <c r="BU65" s="240"/>
      <c r="BV65" s="240"/>
      <c r="BW65" s="240"/>
      <c r="BX65" s="240"/>
      <c r="BY65" s="240"/>
      <c r="BZ65" s="240"/>
      <c r="CA65" s="238"/>
      <c r="CB65" s="238"/>
      <c r="CC65" s="238"/>
      <c r="CD65" s="238"/>
      <c r="CE65" s="238"/>
      <c r="CF65" s="240"/>
    </row>
    <row r="66">
      <c r="A66" s="236"/>
      <c r="B66" s="236"/>
      <c r="C66" s="236"/>
      <c r="D66" s="238"/>
      <c r="E66" s="238"/>
      <c r="F66" s="238"/>
      <c r="G66" s="238"/>
      <c r="H66" s="238"/>
      <c r="I66" s="238"/>
      <c r="J66" s="238"/>
      <c r="K66" s="238"/>
      <c r="L66" s="238"/>
      <c r="M66" s="238"/>
      <c r="N66" s="238"/>
      <c r="O66" s="238"/>
      <c r="P66" s="238"/>
      <c r="Q66" s="236"/>
      <c r="R66" s="236"/>
      <c r="S66" s="236"/>
      <c r="T66" s="236"/>
      <c r="U66" s="236"/>
      <c r="V66" s="236"/>
      <c r="W66" s="236"/>
      <c r="X66" s="236"/>
      <c r="Y66" s="236"/>
      <c r="Z66" s="236"/>
      <c r="AA66" s="236"/>
      <c r="AB66" s="236"/>
      <c r="AC66" s="236"/>
      <c r="AD66" s="236"/>
      <c r="AE66" s="236"/>
      <c r="AF66" s="236"/>
      <c r="AG66" s="236"/>
      <c r="AH66" s="236"/>
      <c r="AI66" s="236"/>
      <c r="AJ66" s="236"/>
      <c r="AK66" s="236"/>
      <c r="AL66" s="236"/>
      <c r="AM66" s="236"/>
      <c r="AN66" s="236"/>
      <c r="AO66" s="236"/>
      <c r="AP66" s="236"/>
      <c r="AQ66" s="236"/>
      <c r="AR66" s="236"/>
      <c r="AS66" s="236"/>
      <c r="AT66" s="236"/>
      <c r="AU66" s="236"/>
      <c r="AV66" s="236"/>
      <c r="AW66" s="236"/>
      <c r="AX66" s="236"/>
      <c r="AY66" s="236"/>
      <c r="AZ66" s="236"/>
      <c r="BA66" s="236"/>
      <c r="BB66" s="236"/>
      <c r="BC66" s="236"/>
      <c r="BD66" s="236"/>
      <c r="BE66" s="236"/>
      <c r="BF66" s="236"/>
      <c r="BG66" s="236"/>
      <c r="BH66" s="236"/>
      <c r="BI66" s="236"/>
      <c r="BJ66" s="236"/>
      <c r="BK66" s="236"/>
      <c r="BL66" s="236"/>
      <c r="BM66" s="236"/>
      <c r="BN66" s="236"/>
      <c r="BO66" s="236"/>
      <c r="BP66" s="236"/>
      <c r="BQ66" s="236"/>
      <c r="BR66" s="236"/>
      <c r="BS66" s="236"/>
      <c r="BT66" s="236"/>
      <c r="BU66" s="236"/>
      <c r="BV66" s="236"/>
      <c r="BW66" s="236"/>
      <c r="BX66" s="236"/>
      <c r="BY66" s="236"/>
      <c r="BZ66" s="236"/>
      <c r="CA66" s="238"/>
      <c r="CB66" s="238"/>
      <c r="CC66" s="238"/>
      <c r="CD66" s="238"/>
      <c r="CE66" s="238"/>
      <c r="CF66" s="236"/>
    </row>
    <row r="67">
      <c r="A67" s="236"/>
      <c r="B67" s="236"/>
      <c r="C67" s="236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8"/>
      <c r="Q67" s="236"/>
      <c r="R67" s="236"/>
      <c r="S67" s="236"/>
      <c r="T67" s="236"/>
      <c r="U67" s="236"/>
      <c r="V67" s="236"/>
      <c r="W67" s="236"/>
      <c r="X67" s="236"/>
      <c r="Y67" s="236"/>
      <c r="Z67" s="236"/>
      <c r="AA67" s="236"/>
      <c r="AB67" s="236"/>
      <c r="AC67" s="236"/>
      <c r="AD67" s="236"/>
      <c r="AE67" s="236"/>
      <c r="AF67" s="236"/>
      <c r="AG67" s="236"/>
      <c r="AH67" s="236"/>
      <c r="AI67" s="236"/>
      <c r="AJ67" s="236"/>
      <c r="AK67" s="236"/>
      <c r="AL67" s="236"/>
      <c r="AM67" s="236"/>
      <c r="AN67" s="236"/>
      <c r="AO67" s="236"/>
      <c r="AP67" s="236"/>
      <c r="AQ67" s="236"/>
      <c r="AR67" s="236"/>
      <c r="AS67" s="236"/>
      <c r="AT67" s="236"/>
      <c r="AU67" s="236"/>
      <c r="AV67" s="236"/>
      <c r="AW67" s="236"/>
      <c r="AX67" s="236"/>
      <c r="AY67" s="236"/>
      <c r="AZ67" s="236"/>
      <c r="BA67" s="236"/>
      <c r="BB67" s="236"/>
      <c r="BC67" s="236"/>
      <c r="BD67" s="236"/>
      <c r="BE67" s="236"/>
      <c r="BF67" s="236"/>
      <c r="BG67" s="236"/>
      <c r="BH67" s="236"/>
      <c r="BI67" s="236"/>
      <c r="BJ67" s="236"/>
      <c r="BK67" s="236"/>
      <c r="BL67" s="236"/>
      <c r="BM67" s="236"/>
      <c r="BN67" s="236"/>
      <c r="BO67" s="236"/>
      <c r="BP67" s="236"/>
      <c r="BQ67" s="236"/>
      <c r="BR67" s="236"/>
      <c r="BS67" s="236"/>
      <c r="BT67" s="236"/>
      <c r="BU67" s="236"/>
      <c r="BV67" s="236"/>
      <c r="BW67" s="236"/>
      <c r="BX67" s="236"/>
      <c r="BY67" s="236"/>
      <c r="BZ67" s="236"/>
      <c r="CA67" s="238"/>
      <c r="CB67" s="238"/>
      <c r="CC67" s="238"/>
      <c r="CD67" s="238"/>
      <c r="CE67" s="238"/>
      <c r="CF67" s="236"/>
    </row>
    <row r="68">
      <c r="A68" s="236"/>
      <c r="B68" s="236"/>
      <c r="C68" s="236"/>
      <c r="D68" s="238"/>
      <c r="E68" s="238"/>
      <c r="F68" s="238"/>
      <c r="G68" s="238"/>
      <c r="H68" s="238"/>
      <c r="I68" s="238"/>
      <c r="J68" s="238"/>
      <c r="K68" s="238"/>
      <c r="L68" s="238"/>
      <c r="M68" s="238"/>
      <c r="N68" s="238"/>
      <c r="O68" s="238"/>
      <c r="P68" s="238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  <c r="AR68" s="236"/>
      <c r="AS68" s="236"/>
      <c r="AT68" s="236"/>
      <c r="AU68" s="236"/>
      <c r="AV68" s="236"/>
      <c r="AW68" s="236"/>
      <c r="AX68" s="236"/>
      <c r="AY68" s="236"/>
      <c r="AZ68" s="236"/>
      <c r="BA68" s="236"/>
      <c r="BB68" s="236"/>
      <c r="BC68" s="236"/>
      <c r="BD68" s="236"/>
      <c r="BE68" s="236"/>
      <c r="BF68" s="236"/>
      <c r="BG68" s="236"/>
      <c r="BH68" s="236"/>
      <c r="BI68" s="236"/>
      <c r="BJ68" s="236"/>
      <c r="BK68" s="236"/>
      <c r="BL68" s="236"/>
      <c r="BM68" s="236"/>
      <c r="BN68" s="236"/>
      <c r="BO68" s="236"/>
      <c r="BP68" s="236"/>
      <c r="BQ68" s="236"/>
      <c r="BR68" s="236"/>
      <c r="BS68" s="236"/>
      <c r="BT68" s="236"/>
      <c r="BU68" s="236"/>
      <c r="BV68" s="236"/>
      <c r="BW68" s="236"/>
      <c r="BX68" s="236"/>
      <c r="BY68" s="236"/>
      <c r="BZ68" s="236"/>
      <c r="CA68" s="238"/>
      <c r="CB68" s="238"/>
      <c r="CC68" s="238"/>
      <c r="CD68" s="238"/>
      <c r="CE68" s="238"/>
      <c r="CF68" s="236"/>
    </row>
    <row r="69">
      <c r="A69" s="236"/>
      <c r="B69" s="236"/>
      <c r="C69" s="236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8"/>
      <c r="Q69" s="236"/>
      <c r="R69" s="236"/>
      <c r="S69" s="236"/>
      <c r="T69" s="236"/>
      <c r="U69" s="236"/>
      <c r="V69" s="236"/>
      <c r="W69" s="236"/>
      <c r="X69" s="236"/>
      <c r="Y69" s="236"/>
      <c r="Z69" s="236"/>
      <c r="AA69" s="236"/>
      <c r="AB69" s="236"/>
      <c r="AC69" s="236"/>
      <c r="AD69" s="236"/>
      <c r="AE69" s="236"/>
      <c r="AF69" s="236"/>
      <c r="AG69" s="236"/>
      <c r="AH69" s="236"/>
      <c r="AI69" s="236"/>
      <c r="AJ69" s="236"/>
      <c r="AK69" s="236"/>
      <c r="AL69" s="236"/>
      <c r="AM69" s="236"/>
      <c r="AN69" s="236"/>
      <c r="AO69" s="236"/>
      <c r="AP69" s="236"/>
      <c r="AQ69" s="236"/>
      <c r="AR69" s="236"/>
      <c r="AS69" s="236"/>
      <c r="AT69" s="236"/>
      <c r="AU69" s="236"/>
      <c r="AV69" s="236"/>
      <c r="AW69" s="236"/>
      <c r="AX69" s="236"/>
      <c r="AY69" s="236"/>
      <c r="AZ69" s="236"/>
      <c r="BA69" s="236"/>
      <c r="BB69" s="236"/>
      <c r="BC69" s="236"/>
      <c r="BD69" s="236"/>
      <c r="BE69" s="236"/>
      <c r="BF69" s="236"/>
      <c r="BG69" s="236"/>
      <c r="BH69" s="236"/>
      <c r="BI69" s="236"/>
      <c r="BJ69" s="236"/>
      <c r="BK69" s="236"/>
      <c r="BL69" s="236"/>
      <c r="BM69" s="236"/>
      <c r="BN69" s="236"/>
      <c r="BO69" s="236"/>
      <c r="BP69" s="236"/>
      <c r="BQ69" s="236"/>
      <c r="BR69" s="236"/>
      <c r="BS69" s="236"/>
      <c r="BT69" s="236"/>
      <c r="BU69" s="236"/>
      <c r="BV69" s="236"/>
      <c r="BW69" s="236"/>
      <c r="BX69" s="236"/>
      <c r="BY69" s="236"/>
      <c r="BZ69" s="236"/>
      <c r="CA69" s="238"/>
      <c r="CB69" s="238"/>
      <c r="CC69" s="238"/>
      <c r="CD69" s="238"/>
      <c r="CE69" s="238"/>
      <c r="CF69" s="236"/>
    </row>
    <row r="70">
      <c r="A70" s="236"/>
      <c r="B70" s="236"/>
      <c r="C70" s="236"/>
      <c r="D70" s="238"/>
      <c r="E70" s="238"/>
      <c r="F70" s="238"/>
      <c r="G70" s="238"/>
      <c r="H70" s="238"/>
      <c r="I70" s="238"/>
      <c r="J70" s="238"/>
      <c r="K70" s="238"/>
      <c r="L70" s="238"/>
      <c r="M70" s="238"/>
      <c r="N70" s="238"/>
      <c r="O70" s="238"/>
      <c r="P70" s="238"/>
      <c r="Q70" s="236"/>
      <c r="R70" s="236"/>
      <c r="S70" s="236"/>
      <c r="T70" s="236"/>
      <c r="U70" s="236"/>
      <c r="V70" s="236"/>
      <c r="W70" s="236"/>
      <c r="X70" s="236"/>
      <c r="Y70" s="236"/>
      <c r="Z70" s="236"/>
      <c r="AA70" s="236"/>
      <c r="AB70" s="236"/>
      <c r="AC70" s="236"/>
      <c r="AD70" s="236"/>
      <c r="AE70" s="236"/>
      <c r="AF70" s="236"/>
      <c r="AG70" s="236"/>
      <c r="AH70" s="236"/>
      <c r="AI70" s="236"/>
      <c r="AJ70" s="236"/>
      <c r="AK70" s="236"/>
      <c r="AL70" s="236"/>
      <c r="AM70" s="236"/>
      <c r="AN70" s="236"/>
      <c r="AO70" s="236"/>
      <c r="AP70" s="236"/>
      <c r="AQ70" s="236"/>
      <c r="AR70" s="236"/>
      <c r="AS70" s="236"/>
      <c r="AT70" s="236"/>
      <c r="AU70" s="236"/>
      <c r="AV70" s="236"/>
      <c r="AW70" s="236"/>
      <c r="AX70" s="236"/>
      <c r="AY70" s="236"/>
      <c r="AZ70" s="236"/>
      <c r="BA70" s="236"/>
      <c r="BB70" s="236"/>
      <c r="BC70" s="236"/>
      <c r="BD70" s="236"/>
      <c r="BE70" s="236"/>
      <c r="BF70" s="236"/>
      <c r="BG70" s="236"/>
      <c r="BH70" s="236"/>
      <c r="BI70" s="236"/>
      <c r="BJ70" s="236"/>
      <c r="BK70" s="236"/>
      <c r="BL70" s="236"/>
      <c r="BM70" s="236"/>
      <c r="BN70" s="236"/>
      <c r="BO70" s="236"/>
      <c r="BP70" s="236"/>
      <c r="BQ70" s="236"/>
      <c r="BR70" s="236"/>
      <c r="BS70" s="236"/>
      <c r="BT70" s="236"/>
      <c r="BU70" s="236"/>
      <c r="BV70" s="236"/>
      <c r="BW70" s="236"/>
      <c r="BX70" s="236"/>
      <c r="BY70" s="236"/>
      <c r="BZ70" s="236"/>
      <c r="CA70" s="238"/>
      <c r="CB70" s="238"/>
      <c r="CC70" s="238"/>
      <c r="CD70" s="238"/>
      <c r="CE70" s="238"/>
      <c r="CF70" s="236"/>
    </row>
    <row r="71">
      <c r="A71" s="236"/>
      <c r="B71" s="236"/>
      <c r="C71" s="236"/>
      <c r="D71" s="238"/>
      <c r="E71" s="238"/>
      <c r="F71" s="238"/>
      <c r="G71" s="238"/>
      <c r="H71" s="238"/>
      <c r="I71" s="238"/>
      <c r="J71" s="238"/>
      <c r="K71" s="238"/>
      <c r="L71" s="238"/>
      <c r="M71" s="238"/>
      <c r="N71" s="238"/>
      <c r="O71" s="238"/>
      <c r="P71" s="238"/>
      <c r="Q71" s="236"/>
      <c r="R71" s="236"/>
      <c r="S71" s="236"/>
      <c r="T71" s="236"/>
      <c r="U71" s="236"/>
      <c r="V71" s="236"/>
      <c r="W71" s="236"/>
      <c r="X71" s="236"/>
      <c r="Y71" s="236"/>
      <c r="Z71" s="236"/>
      <c r="AA71" s="236"/>
      <c r="AB71" s="236"/>
      <c r="AC71" s="236"/>
      <c r="AD71" s="236"/>
      <c r="AE71" s="236"/>
      <c r="AF71" s="236"/>
      <c r="AG71" s="236"/>
      <c r="AH71" s="236"/>
      <c r="AI71" s="236"/>
      <c r="AJ71" s="236"/>
      <c r="AK71" s="236"/>
      <c r="AL71" s="236"/>
      <c r="AM71" s="236"/>
      <c r="AN71" s="236"/>
      <c r="AO71" s="236"/>
      <c r="AP71" s="236"/>
      <c r="AQ71" s="236"/>
      <c r="AR71" s="236"/>
      <c r="AS71" s="236"/>
      <c r="AT71" s="236"/>
      <c r="AU71" s="236"/>
      <c r="AV71" s="236"/>
      <c r="AW71" s="236"/>
      <c r="AX71" s="236"/>
      <c r="AY71" s="236"/>
      <c r="AZ71" s="236"/>
      <c r="BA71" s="236"/>
      <c r="BB71" s="236"/>
      <c r="BC71" s="236"/>
      <c r="BD71" s="236"/>
      <c r="BE71" s="236"/>
      <c r="BF71" s="236"/>
      <c r="BG71" s="236"/>
      <c r="BH71" s="236"/>
      <c r="BI71" s="236"/>
      <c r="BJ71" s="236"/>
      <c r="BK71" s="236"/>
      <c r="BL71" s="236"/>
      <c r="BM71" s="236"/>
      <c r="BN71" s="236"/>
      <c r="BO71" s="236"/>
      <c r="BP71" s="236"/>
      <c r="BQ71" s="236"/>
      <c r="BR71" s="236"/>
      <c r="BS71" s="236"/>
      <c r="BT71" s="236"/>
      <c r="BU71" s="236"/>
      <c r="BV71" s="236"/>
      <c r="BW71" s="236"/>
      <c r="BX71" s="236"/>
      <c r="BY71" s="236"/>
      <c r="BZ71" s="236"/>
      <c r="CA71" s="238"/>
      <c r="CB71" s="238"/>
      <c r="CC71" s="238"/>
      <c r="CD71" s="238"/>
      <c r="CE71" s="238"/>
      <c r="CF71" s="236"/>
    </row>
    <row r="72">
      <c r="A72" s="236"/>
      <c r="B72" s="236"/>
      <c r="C72" s="236"/>
      <c r="D72" s="238"/>
      <c r="E72" s="238"/>
      <c r="F72" s="238"/>
      <c r="G72" s="238"/>
      <c r="H72" s="238"/>
      <c r="I72" s="238"/>
      <c r="J72" s="238"/>
      <c r="K72" s="238"/>
      <c r="L72" s="238"/>
      <c r="M72" s="238"/>
      <c r="N72" s="238"/>
      <c r="O72" s="238"/>
      <c r="P72" s="238"/>
      <c r="Q72" s="236"/>
      <c r="R72" s="236"/>
      <c r="S72" s="236"/>
      <c r="T72" s="236"/>
      <c r="U72" s="236"/>
      <c r="V72" s="236"/>
      <c r="W72" s="236"/>
      <c r="X72" s="236"/>
      <c r="Y72" s="236"/>
      <c r="Z72" s="236"/>
      <c r="AA72" s="236"/>
      <c r="AB72" s="236"/>
      <c r="AC72" s="236"/>
      <c r="AD72" s="236"/>
      <c r="AE72" s="236"/>
      <c r="AF72" s="236"/>
      <c r="AG72" s="236"/>
      <c r="AH72" s="236"/>
      <c r="AI72" s="236"/>
      <c r="AJ72" s="236"/>
      <c r="AK72" s="236"/>
      <c r="AL72" s="236"/>
      <c r="AM72" s="236"/>
      <c r="AN72" s="236"/>
      <c r="AO72" s="236"/>
      <c r="AP72" s="236"/>
      <c r="AQ72" s="236"/>
      <c r="AR72" s="236"/>
      <c r="AS72" s="236"/>
      <c r="AT72" s="236"/>
      <c r="AU72" s="236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236"/>
      <c r="BG72" s="236"/>
      <c r="BH72" s="236"/>
      <c r="BI72" s="236"/>
      <c r="BJ72" s="236"/>
      <c r="BK72" s="236"/>
      <c r="BL72" s="236"/>
      <c r="BM72" s="236"/>
      <c r="BN72" s="236"/>
      <c r="BO72" s="236"/>
      <c r="BP72" s="236"/>
      <c r="BQ72" s="236"/>
      <c r="BR72" s="236"/>
      <c r="BS72" s="236"/>
      <c r="BT72" s="236"/>
      <c r="BU72" s="236"/>
      <c r="BV72" s="236"/>
      <c r="BW72" s="236"/>
      <c r="BX72" s="236"/>
      <c r="BY72" s="236"/>
      <c r="BZ72" s="236"/>
      <c r="CA72" s="238"/>
      <c r="CB72" s="238"/>
      <c r="CC72" s="238"/>
      <c r="CD72" s="238"/>
      <c r="CE72" s="238"/>
      <c r="CF72" s="236"/>
    </row>
    <row r="73">
      <c r="A73" s="236"/>
      <c r="B73" s="236"/>
      <c r="C73" s="236"/>
      <c r="D73" s="238"/>
      <c r="E73" s="238"/>
      <c r="F73" s="238"/>
      <c r="G73" s="238"/>
      <c r="H73" s="238"/>
      <c r="I73" s="238"/>
      <c r="J73" s="238"/>
      <c r="K73" s="238"/>
      <c r="L73" s="238"/>
      <c r="M73" s="238"/>
      <c r="N73" s="238"/>
      <c r="O73" s="238"/>
      <c r="P73" s="238"/>
      <c r="Q73" s="236"/>
      <c r="R73" s="236"/>
      <c r="S73" s="236"/>
      <c r="T73" s="236"/>
      <c r="U73" s="236"/>
      <c r="V73" s="236"/>
      <c r="W73" s="236"/>
      <c r="X73" s="236"/>
      <c r="Y73" s="236"/>
      <c r="Z73" s="236"/>
      <c r="AA73" s="236"/>
      <c r="AB73" s="236"/>
      <c r="AC73" s="236"/>
      <c r="AD73" s="236"/>
      <c r="AE73" s="236"/>
      <c r="AF73" s="236"/>
      <c r="AG73" s="236"/>
      <c r="AH73" s="236"/>
      <c r="AI73" s="236"/>
      <c r="AJ73" s="236"/>
      <c r="AK73" s="236"/>
      <c r="AL73" s="236"/>
      <c r="AM73" s="236"/>
      <c r="AN73" s="236"/>
      <c r="AO73" s="236"/>
      <c r="AP73" s="236"/>
      <c r="AQ73" s="236"/>
      <c r="AR73" s="236"/>
      <c r="AS73" s="236"/>
      <c r="AT73" s="236"/>
      <c r="AU73" s="236"/>
      <c r="AV73" s="236"/>
      <c r="AW73" s="236"/>
      <c r="AX73" s="236"/>
      <c r="AY73" s="236"/>
      <c r="AZ73" s="236"/>
      <c r="BA73" s="236"/>
      <c r="BB73" s="236"/>
      <c r="BC73" s="236"/>
      <c r="BD73" s="236"/>
      <c r="BE73" s="236"/>
      <c r="BF73" s="236"/>
      <c r="BG73" s="236"/>
      <c r="BH73" s="236"/>
      <c r="BI73" s="236"/>
      <c r="BJ73" s="236"/>
      <c r="BK73" s="236"/>
      <c r="BL73" s="236"/>
      <c r="BM73" s="236"/>
      <c r="BN73" s="236"/>
      <c r="BO73" s="236"/>
      <c r="BP73" s="236"/>
      <c r="BQ73" s="236"/>
      <c r="BR73" s="236"/>
      <c r="BS73" s="236"/>
      <c r="BT73" s="236"/>
      <c r="BU73" s="236"/>
      <c r="BV73" s="236"/>
      <c r="BW73" s="236"/>
      <c r="BX73" s="236"/>
      <c r="BY73" s="236"/>
      <c r="BZ73" s="236"/>
      <c r="CA73" s="238"/>
      <c r="CB73" s="238"/>
      <c r="CC73" s="238"/>
      <c r="CD73" s="238"/>
      <c r="CE73" s="238"/>
      <c r="CF73" s="236"/>
    </row>
    <row r="74">
      <c r="A74" s="236"/>
      <c r="B74" s="236"/>
      <c r="C74" s="236"/>
      <c r="D74" s="238"/>
      <c r="E74" s="238"/>
      <c r="F74" s="238"/>
      <c r="G74" s="238"/>
      <c r="H74" s="238"/>
      <c r="I74" s="238"/>
      <c r="J74" s="238"/>
      <c r="K74" s="238"/>
      <c r="L74" s="238"/>
      <c r="M74" s="238"/>
      <c r="N74" s="238"/>
      <c r="O74" s="238"/>
      <c r="P74" s="238"/>
      <c r="Q74" s="236"/>
      <c r="R74" s="236"/>
      <c r="S74" s="236"/>
      <c r="T74" s="236"/>
      <c r="U74" s="236"/>
      <c r="V74" s="236"/>
      <c r="W74" s="236"/>
      <c r="X74" s="236"/>
      <c r="Y74" s="236"/>
      <c r="Z74" s="236"/>
      <c r="AA74" s="236"/>
      <c r="AB74" s="236"/>
      <c r="AC74" s="236"/>
      <c r="AD74" s="236"/>
      <c r="AE74" s="236"/>
      <c r="AF74" s="236"/>
      <c r="AG74" s="236"/>
      <c r="AH74" s="236"/>
      <c r="AI74" s="236"/>
      <c r="AJ74" s="236"/>
      <c r="AK74" s="236"/>
      <c r="AL74" s="236"/>
      <c r="AM74" s="236"/>
      <c r="AN74" s="236"/>
      <c r="AO74" s="236"/>
      <c r="AP74" s="236"/>
      <c r="AQ74" s="236"/>
      <c r="AR74" s="236"/>
      <c r="AS74" s="236"/>
      <c r="AT74" s="236"/>
      <c r="AU74" s="236"/>
      <c r="AV74" s="236"/>
      <c r="AW74" s="236"/>
      <c r="AX74" s="236"/>
      <c r="AY74" s="236"/>
      <c r="AZ74" s="236"/>
      <c r="BA74" s="236"/>
      <c r="BB74" s="236"/>
      <c r="BC74" s="236"/>
      <c r="BD74" s="236"/>
      <c r="BE74" s="236"/>
      <c r="BF74" s="236"/>
      <c r="BG74" s="236"/>
      <c r="BH74" s="236"/>
      <c r="BI74" s="236"/>
      <c r="BJ74" s="236"/>
      <c r="BK74" s="236"/>
      <c r="BL74" s="236"/>
      <c r="BM74" s="236"/>
      <c r="BN74" s="236"/>
      <c r="BO74" s="236"/>
      <c r="BP74" s="236"/>
      <c r="BQ74" s="236"/>
      <c r="BR74" s="236"/>
      <c r="BS74" s="236"/>
      <c r="BT74" s="236"/>
      <c r="BU74" s="236"/>
      <c r="BV74" s="236"/>
      <c r="BW74" s="236"/>
      <c r="BX74" s="236"/>
      <c r="BY74" s="236"/>
      <c r="BZ74" s="236"/>
      <c r="CA74" s="238"/>
      <c r="CB74" s="238"/>
      <c r="CC74" s="238"/>
      <c r="CD74" s="238"/>
      <c r="CE74" s="238"/>
      <c r="CF74" s="236"/>
    </row>
    <row r="75">
      <c r="A75" s="236"/>
      <c r="B75" s="236"/>
      <c r="C75" s="236"/>
      <c r="D75" s="238"/>
      <c r="E75" s="238"/>
      <c r="F75" s="238"/>
      <c r="G75" s="238"/>
      <c r="H75" s="238"/>
      <c r="I75" s="238"/>
      <c r="J75" s="238"/>
      <c r="K75" s="238"/>
      <c r="L75" s="238"/>
      <c r="M75" s="238"/>
      <c r="N75" s="238"/>
      <c r="O75" s="238"/>
      <c r="P75" s="238"/>
      <c r="Q75" s="236"/>
      <c r="R75" s="236"/>
      <c r="S75" s="236"/>
      <c r="T75" s="236"/>
      <c r="U75" s="236"/>
      <c r="V75" s="236"/>
      <c r="W75" s="236"/>
      <c r="X75" s="236"/>
      <c r="Y75" s="236"/>
      <c r="Z75" s="236"/>
      <c r="AA75" s="236"/>
      <c r="AB75" s="236"/>
      <c r="AC75" s="236"/>
      <c r="AD75" s="236"/>
      <c r="AE75" s="236"/>
      <c r="AF75" s="236"/>
      <c r="AG75" s="236"/>
      <c r="AH75" s="236"/>
      <c r="AI75" s="236"/>
      <c r="AJ75" s="236"/>
      <c r="AK75" s="236"/>
      <c r="AL75" s="236"/>
      <c r="AM75" s="236"/>
      <c r="AN75" s="236"/>
      <c r="AO75" s="236"/>
      <c r="AP75" s="236"/>
      <c r="AQ75" s="236"/>
      <c r="AR75" s="236"/>
      <c r="AS75" s="236"/>
      <c r="AT75" s="236"/>
      <c r="AU75" s="236"/>
      <c r="AV75" s="236"/>
      <c r="AW75" s="236"/>
      <c r="AX75" s="236"/>
      <c r="AY75" s="236"/>
      <c r="AZ75" s="236"/>
      <c r="BA75" s="236"/>
      <c r="BB75" s="236"/>
      <c r="BC75" s="236"/>
      <c r="BD75" s="236"/>
      <c r="BE75" s="236"/>
      <c r="BF75" s="236"/>
      <c r="BG75" s="236"/>
      <c r="BH75" s="236"/>
      <c r="BI75" s="236"/>
      <c r="BJ75" s="236"/>
      <c r="BK75" s="236"/>
      <c r="BL75" s="236"/>
      <c r="BM75" s="236"/>
      <c r="BN75" s="236"/>
      <c r="BO75" s="236"/>
      <c r="BP75" s="236"/>
      <c r="BQ75" s="236"/>
      <c r="BR75" s="236"/>
      <c r="BS75" s="236"/>
      <c r="BT75" s="236"/>
      <c r="BU75" s="236"/>
      <c r="BV75" s="236"/>
      <c r="BW75" s="236"/>
      <c r="BX75" s="236"/>
      <c r="BY75" s="236"/>
      <c r="BZ75" s="236"/>
      <c r="CA75" s="238"/>
      <c r="CB75" s="238"/>
      <c r="CC75" s="238"/>
      <c r="CD75" s="238"/>
      <c r="CE75" s="238"/>
      <c r="CF75" s="236"/>
    </row>
    <row r="76">
      <c r="A76" s="236"/>
      <c r="B76" s="236"/>
      <c r="C76" s="236"/>
      <c r="D76" s="238"/>
      <c r="E76" s="238"/>
      <c r="F76" s="238"/>
      <c r="G76" s="238"/>
      <c r="H76" s="238"/>
      <c r="I76" s="238"/>
      <c r="J76" s="238"/>
      <c r="K76" s="238"/>
      <c r="L76" s="238"/>
      <c r="M76" s="238"/>
      <c r="N76" s="238"/>
      <c r="O76" s="238"/>
      <c r="P76" s="238"/>
      <c r="Q76" s="236"/>
      <c r="R76" s="236"/>
      <c r="S76" s="236"/>
      <c r="T76" s="236"/>
      <c r="U76" s="236"/>
      <c r="V76" s="236"/>
      <c r="W76" s="236"/>
      <c r="X76" s="236"/>
      <c r="Y76" s="236"/>
      <c r="Z76" s="236"/>
      <c r="AA76" s="236"/>
      <c r="AB76" s="236"/>
      <c r="AC76" s="236"/>
      <c r="AD76" s="236"/>
      <c r="AE76" s="236"/>
      <c r="AF76" s="236"/>
      <c r="AG76" s="236"/>
      <c r="AH76" s="236"/>
      <c r="AI76" s="236"/>
      <c r="AJ76" s="236"/>
      <c r="AK76" s="236"/>
      <c r="AL76" s="236"/>
      <c r="AM76" s="236"/>
      <c r="AN76" s="236"/>
      <c r="AO76" s="236"/>
      <c r="AP76" s="236"/>
      <c r="AQ76" s="236"/>
      <c r="AR76" s="236"/>
      <c r="AS76" s="236"/>
      <c r="AT76" s="236"/>
      <c r="AU76" s="236"/>
      <c r="AV76" s="236"/>
      <c r="AW76" s="236"/>
      <c r="AX76" s="236"/>
      <c r="AY76" s="236"/>
      <c r="AZ76" s="236"/>
      <c r="BA76" s="236"/>
      <c r="BB76" s="236"/>
      <c r="BC76" s="236"/>
      <c r="BD76" s="236"/>
      <c r="BE76" s="236"/>
      <c r="BF76" s="236"/>
      <c r="BG76" s="236"/>
      <c r="BH76" s="236"/>
      <c r="BI76" s="236"/>
      <c r="BJ76" s="236"/>
      <c r="BK76" s="236"/>
      <c r="BL76" s="236"/>
      <c r="BM76" s="236"/>
      <c r="BN76" s="236"/>
      <c r="BO76" s="236"/>
      <c r="BP76" s="236"/>
      <c r="BQ76" s="236"/>
      <c r="BR76" s="236"/>
      <c r="BS76" s="236"/>
      <c r="BT76" s="236"/>
      <c r="BU76" s="236"/>
      <c r="BV76" s="236"/>
      <c r="BW76" s="236"/>
      <c r="BX76" s="236"/>
      <c r="BY76" s="236"/>
      <c r="BZ76" s="236"/>
      <c r="CA76" s="238"/>
      <c r="CB76" s="238"/>
      <c r="CC76" s="238"/>
      <c r="CD76" s="238"/>
      <c r="CE76" s="238"/>
      <c r="CF76" s="236"/>
    </row>
    <row r="77">
      <c r="A77" s="236"/>
      <c r="B77" s="236"/>
      <c r="C77" s="236"/>
      <c r="D77" s="238"/>
      <c r="E77" s="238"/>
      <c r="F77" s="238"/>
      <c r="G77" s="238"/>
      <c r="H77" s="238"/>
      <c r="I77" s="238"/>
      <c r="J77" s="238"/>
      <c r="K77" s="238"/>
      <c r="L77" s="238"/>
      <c r="M77" s="238"/>
      <c r="N77" s="238"/>
      <c r="O77" s="238"/>
      <c r="P77" s="238"/>
      <c r="Q77" s="236"/>
      <c r="R77" s="236"/>
      <c r="S77" s="236"/>
      <c r="T77" s="236"/>
      <c r="U77" s="236"/>
      <c r="V77" s="236"/>
      <c r="W77" s="236"/>
      <c r="X77" s="236"/>
      <c r="Y77" s="236"/>
      <c r="Z77" s="236"/>
      <c r="AA77" s="236"/>
      <c r="AB77" s="236"/>
      <c r="AC77" s="236"/>
      <c r="AD77" s="236"/>
      <c r="AE77" s="236"/>
      <c r="AF77" s="236"/>
      <c r="AG77" s="236"/>
      <c r="AH77" s="236"/>
      <c r="AI77" s="236"/>
      <c r="AJ77" s="236"/>
      <c r="AK77" s="236"/>
      <c r="AL77" s="236"/>
      <c r="AM77" s="236"/>
      <c r="AN77" s="236"/>
      <c r="AO77" s="236"/>
      <c r="AP77" s="236"/>
      <c r="AQ77" s="236"/>
      <c r="AR77" s="236"/>
      <c r="AS77" s="236"/>
      <c r="AT77" s="236"/>
      <c r="AU77" s="236"/>
      <c r="AV77" s="236"/>
      <c r="AW77" s="236"/>
      <c r="AX77" s="236"/>
      <c r="AY77" s="236"/>
      <c r="AZ77" s="236"/>
      <c r="BA77" s="236"/>
      <c r="BB77" s="236"/>
      <c r="BC77" s="236"/>
      <c r="BD77" s="236"/>
      <c r="BE77" s="236"/>
      <c r="BF77" s="236"/>
      <c r="BG77" s="236"/>
      <c r="BH77" s="236"/>
      <c r="BI77" s="236"/>
      <c r="BJ77" s="236"/>
      <c r="BK77" s="236"/>
      <c r="BL77" s="236"/>
      <c r="BM77" s="236"/>
      <c r="BN77" s="236"/>
      <c r="BO77" s="236"/>
      <c r="BP77" s="236"/>
      <c r="BQ77" s="236"/>
      <c r="BR77" s="236"/>
      <c r="BS77" s="236"/>
      <c r="BT77" s="236"/>
      <c r="BU77" s="236"/>
      <c r="BV77" s="236"/>
      <c r="BW77" s="236"/>
      <c r="BX77" s="236"/>
      <c r="BY77" s="236"/>
      <c r="BZ77" s="236"/>
      <c r="CA77" s="238"/>
      <c r="CB77" s="238"/>
      <c r="CC77" s="238"/>
      <c r="CD77" s="238"/>
      <c r="CE77" s="238"/>
      <c r="CF77" s="236"/>
    </row>
    <row r="78">
      <c r="A78" s="236"/>
      <c r="B78" s="236"/>
      <c r="C78" s="236"/>
      <c r="D78" s="238"/>
      <c r="E78" s="238"/>
      <c r="F78" s="238"/>
      <c r="G78" s="238"/>
      <c r="H78" s="238"/>
      <c r="I78" s="238"/>
      <c r="J78" s="238"/>
      <c r="K78" s="238"/>
      <c r="L78" s="238"/>
      <c r="M78" s="238"/>
      <c r="N78" s="238"/>
      <c r="O78" s="238"/>
      <c r="P78" s="238"/>
      <c r="Q78" s="236"/>
      <c r="R78" s="236"/>
      <c r="S78" s="236"/>
      <c r="T78" s="236"/>
      <c r="U78" s="236"/>
      <c r="V78" s="236"/>
      <c r="W78" s="236"/>
      <c r="X78" s="236"/>
      <c r="Y78" s="236"/>
      <c r="Z78" s="236"/>
      <c r="AA78" s="236"/>
      <c r="AB78" s="236"/>
      <c r="AC78" s="236"/>
      <c r="AD78" s="236"/>
      <c r="AE78" s="236"/>
      <c r="AF78" s="236"/>
      <c r="AG78" s="236"/>
      <c r="AH78" s="236"/>
      <c r="AI78" s="236"/>
      <c r="AJ78" s="236"/>
      <c r="AK78" s="236"/>
      <c r="AL78" s="236"/>
      <c r="AM78" s="236"/>
      <c r="AN78" s="236"/>
      <c r="AO78" s="236"/>
      <c r="AP78" s="236"/>
      <c r="AQ78" s="236"/>
      <c r="AR78" s="236"/>
      <c r="AS78" s="236"/>
      <c r="AT78" s="236"/>
      <c r="AU78" s="236"/>
      <c r="AV78" s="236"/>
      <c r="AW78" s="236"/>
      <c r="AX78" s="236"/>
      <c r="AY78" s="236"/>
      <c r="AZ78" s="236"/>
      <c r="BA78" s="236"/>
      <c r="BB78" s="236"/>
      <c r="BC78" s="236"/>
      <c r="BD78" s="236"/>
      <c r="BE78" s="236"/>
      <c r="BF78" s="236"/>
      <c r="BG78" s="236"/>
      <c r="BH78" s="236"/>
      <c r="BI78" s="236"/>
      <c r="BJ78" s="236"/>
      <c r="BK78" s="236"/>
      <c r="BL78" s="236"/>
      <c r="BM78" s="236"/>
      <c r="BN78" s="236"/>
      <c r="BO78" s="236"/>
      <c r="BP78" s="236"/>
      <c r="BQ78" s="236"/>
      <c r="BR78" s="236"/>
      <c r="BS78" s="236"/>
      <c r="BT78" s="236"/>
      <c r="BU78" s="236"/>
      <c r="BV78" s="236"/>
      <c r="BW78" s="236"/>
      <c r="BX78" s="236"/>
      <c r="BY78" s="236"/>
      <c r="BZ78" s="236"/>
      <c r="CA78" s="238"/>
      <c r="CB78" s="238"/>
      <c r="CC78" s="238"/>
      <c r="CD78" s="238"/>
      <c r="CE78" s="238"/>
      <c r="CF78" s="236"/>
    </row>
    <row r="79">
      <c r="A79" s="236"/>
      <c r="B79" s="236"/>
      <c r="C79" s="236"/>
      <c r="D79" s="238"/>
      <c r="E79" s="238"/>
      <c r="F79" s="238"/>
      <c r="G79" s="238"/>
      <c r="H79" s="238"/>
      <c r="I79" s="238"/>
      <c r="J79" s="238"/>
      <c r="K79" s="238"/>
      <c r="L79" s="238"/>
      <c r="M79" s="238"/>
      <c r="N79" s="238"/>
      <c r="O79" s="238"/>
      <c r="P79" s="238"/>
      <c r="Q79" s="236"/>
      <c r="R79" s="236"/>
      <c r="S79" s="236"/>
      <c r="T79" s="236"/>
      <c r="U79" s="236"/>
      <c r="V79" s="236"/>
      <c r="W79" s="236"/>
      <c r="X79" s="236"/>
      <c r="Y79" s="236"/>
      <c r="Z79" s="236"/>
      <c r="AA79" s="236"/>
      <c r="AB79" s="236"/>
      <c r="AC79" s="236"/>
      <c r="AD79" s="236"/>
      <c r="AE79" s="236"/>
      <c r="AF79" s="236"/>
      <c r="AG79" s="236"/>
      <c r="AH79" s="236"/>
      <c r="AI79" s="236"/>
      <c r="AJ79" s="236"/>
      <c r="AK79" s="236"/>
      <c r="AL79" s="236"/>
      <c r="AM79" s="236"/>
      <c r="AN79" s="236"/>
      <c r="AO79" s="236"/>
      <c r="AP79" s="236"/>
      <c r="AQ79" s="236"/>
      <c r="AR79" s="236"/>
      <c r="AS79" s="236"/>
      <c r="AT79" s="236"/>
      <c r="AU79" s="236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  <c r="BF79" s="236"/>
      <c r="BG79" s="236"/>
      <c r="BH79" s="236"/>
      <c r="BI79" s="236"/>
      <c r="BJ79" s="236"/>
      <c r="BK79" s="236"/>
      <c r="BL79" s="236"/>
      <c r="BM79" s="236"/>
      <c r="BN79" s="236"/>
      <c r="BO79" s="236"/>
      <c r="BP79" s="236"/>
      <c r="BQ79" s="236"/>
      <c r="BR79" s="236"/>
      <c r="BS79" s="236"/>
      <c r="BT79" s="236"/>
      <c r="BU79" s="236"/>
      <c r="BV79" s="236"/>
      <c r="BW79" s="236"/>
      <c r="BX79" s="236"/>
      <c r="BY79" s="236"/>
      <c r="BZ79" s="236"/>
      <c r="CA79" s="238"/>
      <c r="CB79" s="238"/>
      <c r="CC79" s="238"/>
      <c r="CD79" s="238"/>
      <c r="CE79" s="238"/>
      <c r="CF79" s="236"/>
    </row>
    <row r="80">
      <c r="A80" s="236"/>
      <c r="B80" s="236"/>
      <c r="C80" s="236"/>
      <c r="D80" s="238"/>
      <c r="E80" s="238"/>
      <c r="F80" s="238"/>
      <c r="G80" s="238"/>
      <c r="H80" s="238"/>
      <c r="I80" s="238"/>
      <c r="J80" s="238"/>
      <c r="K80" s="238"/>
      <c r="L80" s="238"/>
      <c r="M80" s="238"/>
      <c r="N80" s="238"/>
      <c r="O80" s="238"/>
      <c r="P80" s="238"/>
      <c r="Q80" s="236"/>
      <c r="R80" s="236"/>
      <c r="S80" s="236"/>
      <c r="T80" s="236"/>
      <c r="U80" s="236"/>
      <c r="V80" s="236"/>
      <c r="W80" s="236"/>
      <c r="X80" s="236"/>
      <c r="Y80" s="236"/>
      <c r="Z80" s="236"/>
      <c r="AA80" s="236"/>
      <c r="AB80" s="236"/>
      <c r="AC80" s="236"/>
      <c r="AD80" s="236"/>
      <c r="AE80" s="236"/>
      <c r="AF80" s="236"/>
      <c r="AG80" s="236"/>
      <c r="AH80" s="236"/>
      <c r="AI80" s="236"/>
      <c r="AJ80" s="236"/>
      <c r="AK80" s="236"/>
      <c r="AL80" s="236"/>
      <c r="AM80" s="236"/>
      <c r="AN80" s="236"/>
      <c r="AO80" s="236"/>
      <c r="AP80" s="236"/>
      <c r="AQ80" s="236"/>
      <c r="AR80" s="236"/>
      <c r="AS80" s="236"/>
      <c r="AT80" s="236"/>
      <c r="AU80" s="236"/>
      <c r="AV80" s="236"/>
      <c r="AW80" s="236"/>
      <c r="AX80" s="236"/>
      <c r="AY80" s="236"/>
      <c r="AZ80" s="236"/>
      <c r="BA80" s="236"/>
      <c r="BB80" s="236"/>
      <c r="BC80" s="236"/>
      <c r="BD80" s="236"/>
      <c r="BE80" s="236"/>
      <c r="BF80" s="236"/>
      <c r="BG80" s="236"/>
      <c r="BH80" s="236"/>
      <c r="BI80" s="236"/>
      <c r="BJ80" s="236"/>
      <c r="BK80" s="236"/>
      <c r="BL80" s="236"/>
      <c r="BM80" s="236"/>
      <c r="BN80" s="236"/>
      <c r="BO80" s="236"/>
      <c r="BP80" s="236"/>
      <c r="BQ80" s="236"/>
      <c r="BR80" s="236"/>
      <c r="BS80" s="236"/>
      <c r="BT80" s="236"/>
      <c r="BU80" s="236"/>
      <c r="BV80" s="236"/>
      <c r="BW80" s="236"/>
      <c r="BX80" s="236"/>
      <c r="BY80" s="236"/>
      <c r="BZ80" s="236"/>
      <c r="CA80" s="238"/>
      <c r="CB80" s="238"/>
      <c r="CC80" s="238"/>
      <c r="CD80" s="238"/>
      <c r="CE80" s="238"/>
      <c r="CF80" s="236"/>
    </row>
    <row r="81">
      <c r="A81" s="236"/>
      <c r="B81" s="236"/>
      <c r="C81" s="236"/>
      <c r="D81" s="238"/>
      <c r="E81" s="238"/>
      <c r="F81" s="238"/>
      <c r="G81" s="238"/>
      <c r="H81" s="238"/>
      <c r="I81" s="238"/>
      <c r="J81" s="238"/>
      <c r="K81" s="238"/>
      <c r="L81" s="238"/>
      <c r="M81" s="238"/>
      <c r="N81" s="238"/>
      <c r="O81" s="238"/>
      <c r="P81" s="238"/>
      <c r="Q81" s="236"/>
      <c r="R81" s="236"/>
      <c r="S81" s="236"/>
      <c r="T81" s="236"/>
      <c r="U81" s="236"/>
      <c r="V81" s="236"/>
      <c r="W81" s="236"/>
      <c r="X81" s="236"/>
      <c r="Y81" s="236"/>
      <c r="Z81" s="236"/>
      <c r="AA81" s="236"/>
      <c r="AB81" s="236"/>
      <c r="AC81" s="236"/>
      <c r="AD81" s="236"/>
      <c r="AE81" s="236"/>
      <c r="AF81" s="236"/>
      <c r="AG81" s="236"/>
      <c r="AH81" s="236"/>
      <c r="AI81" s="236"/>
      <c r="AJ81" s="236"/>
      <c r="AK81" s="236"/>
      <c r="AL81" s="236"/>
      <c r="AM81" s="236"/>
      <c r="AN81" s="236"/>
      <c r="AO81" s="236"/>
      <c r="AP81" s="236"/>
      <c r="AQ81" s="236"/>
      <c r="AR81" s="236"/>
      <c r="AS81" s="236"/>
      <c r="AT81" s="236"/>
      <c r="AU81" s="236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  <c r="BF81" s="236"/>
      <c r="BG81" s="236"/>
      <c r="BH81" s="236"/>
      <c r="BI81" s="236"/>
      <c r="BJ81" s="236"/>
      <c r="BK81" s="236"/>
      <c r="BL81" s="236"/>
      <c r="BM81" s="236"/>
      <c r="BN81" s="236"/>
      <c r="BO81" s="236"/>
      <c r="BP81" s="236"/>
      <c r="BQ81" s="236"/>
      <c r="BR81" s="236"/>
      <c r="BS81" s="236"/>
      <c r="BT81" s="236"/>
      <c r="BU81" s="236"/>
      <c r="BV81" s="236"/>
      <c r="BW81" s="236"/>
      <c r="BX81" s="236"/>
      <c r="BY81" s="236"/>
      <c r="BZ81" s="236"/>
      <c r="CA81" s="238"/>
      <c r="CB81" s="238"/>
      <c r="CC81" s="238"/>
      <c r="CD81" s="238"/>
      <c r="CE81" s="238"/>
      <c r="CF81" s="236"/>
    </row>
    <row r="82">
      <c r="A82" s="236"/>
      <c r="B82" s="236"/>
      <c r="C82" s="236"/>
      <c r="D82" s="238"/>
      <c r="E82" s="238"/>
      <c r="F82" s="238"/>
      <c r="G82" s="238"/>
      <c r="H82" s="238"/>
      <c r="I82" s="238"/>
      <c r="J82" s="238"/>
      <c r="K82" s="238"/>
      <c r="L82" s="238"/>
      <c r="M82" s="238"/>
      <c r="N82" s="238"/>
      <c r="O82" s="238"/>
      <c r="P82" s="238"/>
      <c r="Q82" s="236"/>
      <c r="R82" s="236"/>
      <c r="S82" s="236"/>
      <c r="T82" s="236"/>
      <c r="U82" s="236"/>
      <c r="V82" s="236"/>
      <c r="W82" s="236"/>
      <c r="X82" s="236"/>
      <c r="Y82" s="236"/>
      <c r="Z82" s="236"/>
      <c r="AA82" s="236"/>
      <c r="AB82" s="236"/>
      <c r="AC82" s="236"/>
      <c r="AD82" s="236"/>
      <c r="AE82" s="236"/>
      <c r="AF82" s="236"/>
      <c r="AG82" s="236"/>
      <c r="AH82" s="236"/>
      <c r="AI82" s="236"/>
      <c r="AJ82" s="236"/>
      <c r="AK82" s="236"/>
      <c r="AL82" s="236"/>
      <c r="AM82" s="236"/>
      <c r="AN82" s="236"/>
      <c r="AO82" s="236"/>
      <c r="AP82" s="236"/>
      <c r="AQ82" s="236"/>
      <c r="AR82" s="236"/>
      <c r="AS82" s="236"/>
      <c r="AT82" s="236"/>
      <c r="AU82" s="236"/>
      <c r="AV82" s="236"/>
      <c r="AW82" s="236"/>
      <c r="AX82" s="236"/>
      <c r="AY82" s="236"/>
      <c r="AZ82" s="236"/>
      <c r="BA82" s="236"/>
      <c r="BB82" s="236"/>
      <c r="BC82" s="236"/>
      <c r="BD82" s="236"/>
      <c r="BE82" s="236"/>
      <c r="BF82" s="236"/>
      <c r="BG82" s="236"/>
      <c r="BH82" s="236"/>
      <c r="BI82" s="236"/>
      <c r="BJ82" s="236"/>
      <c r="BK82" s="236"/>
      <c r="BL82" s="236"/>
      <c r="BM82" s="236"/>
      <c r="BN82" s="236"/>
      <c r="BO82" s="236"/>
      <c r="BP82" s="236"/>
      <c r="BQ82" s="236"/>
      <c r="BR82" s="236"/>
      <c r="BS82" s="236"/>
      <c r="BT82" s="236"/>
      <c r="BU82" s="236"/>
      <c r="BV82" s="236"/>
      <c r="BW82" s="236"/>
      <c r="BX82" s="236"/>
      <c r="BY82" s="236"/>
      <c r="BZ82" s="236"/>
      <c r="CA82" s="238"/>
      <c r="CB82" s="238"/>
      <c r="CC82" s="238"/>
      <c r="CD82" s="238"/>
      <c r="CE82" s="238"/>
      <c r="CF82" s="236"/>
    </row>
    <row r="83">
      <c r="A83" s="381"/>
      <c r="B83" s="381"/>
      <c r="C83" s="381"/>
      <c r="D83" s="382"/>
      <c r="E83" s="238"/>
      <c r="F83" s="238"/>
      <c r="G83" s="238"/>
      <c r="H83" s="383"/>
      <c r="I83" s="384"/>
      <c r="J83" s="384"/>
      <c r="K83" s="384"/>
      <c r="L83" s="385"/>
      <c r="M83" s="384"/>
      <c r="N83" s="238"/>
      <c r="O83" s="385"/>
      <c r="P83" s="384"/>
      <c r="Q83" s="240"/>
      <c r="R83" s="236"/>
      <c r="S83" s="236"/>
      <c r="T83" s="386"/>
      <c r="U83" s="236"/>
      <c r="V83" s="236"/>
      <c r="W83" s="236"/>
      <c r="X83" s="387"/>
      <c r="Y83" s="236"/>
      <c r="Z83" s="236"/>
      <c r="AA83" s="387"/>
      <c r="AB83" s="236"/>
      <c r="AC83" s="236"/>
      <c r="AD83" s="387"/>
      <c r="AE83" s="236"/>
      <c r="AF83" s="236"/>
      <c r="AG83" s="387"/>
      <c r="AH83" s="236"/>
      <c r="AI83" s="236"/>
      <c r="AJ83" s="236"/>
      <c r="AK83" s="236"/>
      <c r="AL83" s="236"/>
      <c r="AM83" s="236"/>
      <c r="AN83" s="236"/>
      <c r="AO83" s="236"/>
      <c r="AP83" s="236"/>
      <c r="AQ83" s="236"/>
      <c r="AR83" s="236"/>
      <c r="AS83" s="236"/>
      <c r="AT83" s="236"/>
      <c r="AU83" s="236"/>
      <c r="AV83" s="236"/>
      <c r="AW83" s="236"/>
      <c r="AX83" s="236"/>
      <c r="AY83" s="236"/>
      <c r="AZ83" s="236"/>
      <c r="BA83" s="236"/>
      <c r="BB83" s="236"/>
      <c r="BC83" s="236"/>
      <c r="BD83" s="236"/>
      <c r="BE83" s="236"/>
      <c r="BF83" s="236"/>
      <c r="BG83" s="236"/>
      <c r="BH83" s="236"/>
      <c r="BI83" s="236"/>
      <c r="BJ83" s="236"/>
      <c r="BK83" s="236"/>
      <c r="BL83" s="236"/>
      <c r="BM83" s="236"/>
      <c r="BN83" s="236"/>
      <c r="BO83" s="236"/>
      <c r="BP83" s="236"/>
      <c r="BQ83" s="236"/>
      <c r="BR83" s="236"/>
      <c r="BS83" s="236"/>
      <c r="BT83" s="236"/>
      <c r="BU83" s="236"/>
      <c r="BV83" s="236"/>
      <c r="BW83" s="236"/>
      <c r="BX83" s="236"/>
      <c r="BY83" s="236"/>
      <c r="BZ83" s="236"/>
      <c r="CA83" s="238"/>
      <c r="CB83" s="238"/>
      <c r="CC83" s="238"/>
      <c r="CD83" s="238"/>
      <c r="CE83" s="238"/>
      <c r="CF83" s="236"/>
    </row>
    <row r="84">
      <c r="A84" s="381"/>
      <c r="B84" s="381"/>
      <c r="C84" s="381"/>
      <c r="D84" s="382"/>
      <c r="E84" s="238"/>
      <c r="F84" s="238"/>
      <c r="G84" s="238"/>
      <c r="H84" s="383"/>
      <c r="I84" s="384"/>
      <c r="J84" s="384"/>
      <c r="K84" s="384"/>
      <c r="L84" s="385"/>
      <c r="M84" s="384"/>
      <c r="N84" s="238"/>
      <c r="O84" s="385"/>
      <c r="P84" s="384"/>
      <c r="Q84" s="240"/>
      <c r="R84" s="236"/>
      <c r="S84" s="236"/>
      <c r="T84" s="386"/>
      <c r="U84" s="236"/>
      <c r="V84" s="236"/>
      <c r="W84" s="236"/>
      <c r="X84" s="387"/>
      <c r="Y84" s="236"/>
      <c r="Z84" s="236"/>
      <c r="AA84" s="387"/>
      <c r="AB84" s="236"/>
      <c r="AC84" s="236"/>
      <c r="AD84" s="387"/>
      <c r="AE84" s="236"/>
      <c r="AF84" s="236"/>
      <c r="AG84" s="387"/>
      <c r="AH84" s="236"/>
      <c r="AI84" s="236"/>
      <c r="AJ84" s="236"/>
      <c r="AK84" s="236"/>
      <c r="AL84" s="236"/>
      <c r="AM84" s="236"/>
      <c r="AN84" s="236"/>
      <c r="AO84" s="236"/>
      <c r="AP84" s="236"/>
      <c r="AQ84" s="236"/>
      <c r="AR84" s="236"/>
      <c r="AS84" s="236"/>
      <c r="AT84" s="236"/>
      <c r="AU84" s="236"/>
      <c r="AV84" s="236"/>
      <c r="AW84" s="236"/>
      <c r="AX84" s="236"/>
      <c r="AY84" s="236"/>
      <c r="AZ84" s="236"/>
      <c r="BA84" s="236"/>
      <c r="BB84" s="236"/>
      <c r="BC84" s="236"/>
      <c r="BD84" s="236"/>
      <c r="BE84" s="236"/>
      <c r="BF84" s="236"/>
      <c r="BG84" s="236"/>
      <c r="BH84" s="236"/>
      <c r="BI84" s="236"/>
      <c r="BJ84" s="236"/>
      <c r="BK84" s="236"/>
      <c r="BL84" s="236"/>
      <c r="BM84" s="236"/>
      <c r="BN84" s="236"/>
      <c r="BO84" s="236"/>
      <c r="BP84" s="236"/>
      <c r="BQ84" s="236"/>
      <c r="BR84" s="236"/>
      <c r="BS84" s="236"/>
      <c r="BT84" s="236"/>
      <c r="BU84" s="236"/>
      <c r="BV84" s="236"/>
      <c r="BW84" s="236"/>
      <c r="BX84" s="236"/>
      <c r="BY84" s="236"/>
      <c r="BZ84" s="236"/>
      <c r="CA84" s="238"/>
      <c r="CB84" s="238"/>
      <c r="CC84" s="238"/>
      <c r="CD84" s="238"/>
      <c r="CE84" s="238"/>
      <c r="CF84" s="236"/>
    </row>
  </sheetData>
  <mergeCells count="23">
    <mergeCell ref="CA1:CE1"/>
    <mergeCell ref="A2:E2"/>
    <mergeCell ref="F2:Q2"/>
    <mergeCell ref="R2:AH2"/>
    <mergeCell ref="C4:D4"/>
    <mergeCell ref="H5:I5"/>
    <mergeCell ref="L5:M5"/>
    <mergeCell ref="AD5:AE5"/>
    <mergeCell ref="C12:D12"/>
    <mergeCell ref="C20:D20"/>
    <mergeCell ref="C28:D28"/>
    <mergeCell ref="O20:O21"/>
    <mergeCell ref="P20:P21"/>
    <mergeCell ref="AA22:AA23"/>
    <mergeCell ref="O25:O26"/>
    <mergeCell ref="P25:P26"/>
    <mergeCell ref="T5:U5"/>
    <mergeCell ref="X5:Y5"/>
    <mergeCell ref="O10:O11"/>
    <mergeCell ref="P10:P11"/>
    <mergeCell ref="AG14:AG15"/>
    <mergeCell ref="O15:O16"/>
    <mergeCell ref="P15:P16"/>
  </mergeCells>
  <conditionalFormatting sqref="E4:E84 U8:U9 N9 Y10:AA11 U12:U13 N14 AE14:AE15 U16:U17 Y18:AA19 N19 U20:U21 Y22:Y23 N24 N30:N31 N39:N40 N50:N51 N59:N60">
    <cfRule type="expression" dxfId="10" priority="1">
      <formula>AND(ISNUMBER(E4), ISNUMBER(E5), E4 &lt; E5)</formula>
    </cfRule>
  </conditionalFormatting>
  <conditionalFormatting sqref="E4:E84 U8:U9 N9 Y10:AA11 U12:U13 N14 AE14:AE15 U16:U17 Y18:AA19 N19 U20:U21 Y22:Y23 N24 N30:N31 N39:N40 N50:N51 N59:N60">
    <cfRule type="expression" dxfId="10" priority="2">
      <formula>AND(ISNUMBER(E4), ISNUMBER(E3), E4 &lt; E3)</formula>
    </cfRule>
  </conditionalFormatting>
  <conditionalFormatting sqref="E4:E84 U8:U9 N9 Y10:AA11 U12:U13 N14 AE14:AE15 U16:U17 Y18:AA19 N19 U20:U21 Y22:Y23 N24 N30:N31 N39:N40 N50:N51 N59:N60">
    <cfRule type="expression" dxfId="11" priority="3">
      <formula>AND(ISNUMBER(E4), ISNUMBER(E5), E4 &gt; E5)</formula>
    </cfRule>
  </conditionalFormatting>
  <conditionalFormatting sqref="E4:E84 U8:U9 N9 Y10:AA11 U12:U13 N14 AE14:AE15 U16:U17 Y18:AA19 N19 U20:U21 Y22:Y23 N24 N30:N31 N39:N40 N50:N51 N59:N60">
    <cfRule type="expression" dxfId="11" priority="4">
      <formula>AND(ISNUMBER(E4), ISNUMBER(E3), E4 &gt; E3)</formula>
    </cfRule>
  </conditionalFormatting>
  <conditionalFormatting sqref="I8:I9 I13:I14 I18:I19 I23:I24 M25:M26 M20:M21 M15:M16 M10:M11 U8:U9 U12:U13 U16:U17 U20:U21 Y10:Y11 Y18:Y19 Y22:Y23">
    <cfRule type="cellIs" dxfId="11" priority="5" operator="equal">
      <formula>2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3.88"/>
    <col customWidth="1" min="3" max="3" width="51.88"/>
    <col customWidth="1" min="4" max="5" width="18.88"/>
    <col customWidth="1" hidden="1" min="6" max="7" width="3.88"/>
    <col customWidth="1" hidden="1" min="8" max="8" width="18.88"/>
    <col customWidth="1" hidden="1" min="9" max="9" width="3.88"/>
    <col customWidth="1" min="10" max="10" width="3.88"/>
    <col customWidth="1" min="11" max="11" width="3.25"/>
    <col customWidth="1" min="12" max="13" width="18.88"/>
  </cols>
  <sheetData>
    <row r="1">
      <c r="A1" s="255" t="str">
        <f>IFERROR(__xludf.DUMMYFUNCTION("if('Make Public'!C10=""Yes"",importrange('Make Public'!B3,""Participant Information!A1:M""),""TBD"")"),"")</f>
        <v/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>
      <c r="A2" s="256"/>
      <c r="B2" s="257" t="str">
        <f>IFERROR(__xludf.DUMMYFUNCTION("""COMPUTED_VALUE"""),"Tournament Participants - IMPORT")</f>
        <v>Tournament Participants - IMPORT</v>
      </c>
      <c r="C2" s="21"/>
      <c r="D2" s="21"/>
      <c r="E2" s="22"/>
      <c r="F2" s="258"/>
      <c r="G2" s="10"/>
      <c r="H2" s="259" t="str">
        <f>IFERROR(__xludf.DUMMYFUNCTION("""COMPUTED_VALUE"""),"Tournament Seeding")</f>
        <v>Tournament Seeding</v>
      </c>
      <c r="I2" s="22"/>
      <c r="J2" s="38"/>
      <c r="K2" s="257" t="str">
        <f>IFERROR(__xludf.DUMMYFUNCTION("""COMPUTED_VALUE"""),"Tournament Groups")</f>
        <v>Tournament Groups</v>
      </c>
      <c r="L2" s="21"/>
      <c r="M2" s="22"/>
    </row>
    <row r="3">
      <c r="A3" s="256"/>
      <c r="B3" s="261" t="str">
        <f>IFERROR(__xludf.DUMMYFUNCTION("""COMPUTED_VALUE"""),"#")</f>
        <v>#</v>
      </c>
      <c r="C3" s="261" t="str">
        <f>IFERROR(__xludf.DUMMYFUNCTION("""COMPUTED_VALUE"""),"Slot")</f>
        <v>Slot</v>
      </c>
      <c r="D3" s="261" t="str">
        <f>IFERROR(__xludf.DUMMYFUNCTION("""COMPUTED_VALUE"""),"Determined when")</f>
        <v>Determined when</v>
      </c>
      <c r="E3" s="261" t="str">
        <f>IFERROR(__xludf.DUMMYFUNCTION("""COMPUTED_VALUE"""),"Team")</f>
        <v>Team</v>
      </c>
      <c r="F3" s="263"/>
      <c r="G3" s="38"/>
      <c r="H3" s="264"/>
      <c r="I3" s="80"/>
      <c r="J3" s="10"/>
      <c r="K3" s="265" t="str">
        <f>IFERROR(__xludf.DUMMYFUNCTION("""COMPUTED_VALUE"""),"Group Stage")</f>
        <v>Group Stage</v>
      </c>
      <c r="L3" s="266"/>
      <c r="M3" s="19"/>
    </row>
    <row r="4">
      <c r="A4" s="256"/>
      <c r="B4" s="267">
        <f>IFERROR(__xludf.DUMMYFUNCTION("""COMPUTED_VALUE"""),1.0)</f>
        <v>1</v>
      </c>
      <c r="C4" s="268" t="str">
        <f>IFERROR(__xludf.DUMMYFUNCTION("""COMPUTED_VALUE"""),"Title Defender")</f>
        <v>Title Defender</v>
      </c>
      <c r="D4" s="269">
        <f>IFERROR(__xludf.DUMMYFUNCTION("""COMPUTED_VALUE"""),45857.0)</f>
        <v>45857</v>
      </c>
      <c r="E4" s="270" t="str">
        <f>IFERROR(__xludf.DUMMYFUNCTION("""COMPUTED_VALUE"""),"Team Spirit")</f>
        <v>Team Spirit</v>
      </c>
      <c r="F4" s="271"/>
      <c r="G4" s="10"/>
      <c r="H4" s="122" t="str">
        <f>IFERROR(__xludf.DUMMYFUNCTION("""COMPUTED_VALUE"""),"#")</f>
        <v>#</v>
      </c>
      <c r="I4" s="272" t="str">
        <f>IFERROR(__xludf.DUMMYFUNCTION("""COMPUTED_VALUE"""),"Seed")</f>
        <v>Seed</v>
      </c>
      <c r="J4" s="10"/>
      <c r="K4" s="273" t="str">
        <f>IFERROR(__xludf.DUMMYFUNCTION("""COMPUTED_VALUE"""),"#")</f>
        <v>#</v>
      </c>
      <c r="L4" s="274" t="str">
        <f>IFERROR(__xludf.DUMMYFUNCTION("""COMPUTED_VALUE"""),"Group A")</f>
        <v>Group A</v>
      </c>
      <c r="M4" s="274" t="str">
        <f>IFERROR(__xludf.DUMMYFUNCTION("""COMPUTED_VALUE"""),"Group B")</f>
        <v>Group B</v>
      </c>
    </row>
    <row r="5">
      <c r="A5" s="256"/>
      <c r="B5" s="277">
        <f>IFERROR(__xludf.DUMMYFUNCTION("""COMPUTED_VALUE"""),2.0)</f>
        <v>2</v>
      </c>
      <c r="C5" s="279" t="str">
        <f>IFERROR(__xludf.DUMMYFUNCTION("""COMPUTED_VALUE"""),"EPT Tour Ranking")</f>
        <v>EPT Tour Ranking</v>
      </c>
      <c r="D5" s="280">
        <f>IFERROR(__xludf.DUMMYFUNCTION("""COMPUTED_VALUE"""),46166.0)</f>
        <v>46166</v>
      </c>
      <c r="E5" s="281" t="str">
        <f>IFERROR(__xludf.DUMMYFUNCTION("""COMPUTED_VALUE"""),"1W")</f>
        <v>1W</v>
      </c>
      <c r="F5" s="271"/>
      <c r="G5" s="38"/>
      <c r="H5" s="267">
        <f>IFERROR(__xludf.DUMMYFUNCTION("""COMPUTED_VALUE"""),1.0)</f>
        <v>1</v>
      </c>
      <c r="I5" s="283"/>
      <c r="J5" s="38"/>
      <c r="K5" s="285">
        <f>IFERROR(__xludf.DUMMYFUNCTION("""COMPUTED_VALUE"""),1.0)</f>
        <v>1</v>
      </c>
      <c r="L5" s="287" t="str">
        <f>IFERROR(__xludf.DUMMYFUNCTION("""COMPUTED_VALUE"""),"Xtreme Gaming")</f>
        <v>Xtreme Gaming</v>
      </c>
      <c r="M5" s="287" t="str">
        <f>IFERROR(__xludf.DUMMYFUNCTION("""COMPUTED_VALUE"""),"Aurora Gaming")</f>
        <v>Aurora Gaming</v>
      </c>
    </row>
    <row r="6">
      <c r="A6" s="256"/>
      <c r="B6" s="277">
        <f>IFERROR(__xludf.DUMMYFUNCTION("""COMPUTED_VALUE"""),3.0)</f>
        <v>3</v>
      </c>
      <c r="C6" s="279" t="str">
        <f>IFERROR(__xludf.DUMMYFUNCTION("""COMPUTED_VALUE"""),"EPT Tour Ranking")</f>
        <v>EPT Tour Ranking</v>
      </c>
      <c r="D6" s="280">
        <f>IFERROR(__xludf.DUMMYFUNCTION("""COMPUTED_VALUE"""),46166.0)</f>
        <v>46166</v>
      </c>
      <c r="E6" s="281" t="str">
        <f>IFERROR(__xludf.DUMMYFUNCTION("""COMPUTED_VALUE"""),"PVISION")</f>
        <v>PVISION</v>
      </c>
      <c r="F6" s="271"/>
      <c r="G6" s="38"/>
      <c r="H6" s="277">
        <f>IFERROR(__xludf.DUMMYFUNCTION("""COMPUTED_VALUE"""),2.0)</f>
        <v>2</v>
      </c>
      <c r="I6" s="283"/>
      <c r="J6" s="38"/>
      <c r="K6" s="288">
        <f>IFERROR(__xludf.DUMMYFUNCTION("""COMPUTED_VALUE"""),2.0)</f>
        <v>2</v>
      </c>
      <c r="L6" s="113" t="str">
        <f>IFERROR(__xludf.DUMMYFUNCTION("""COMPUTED_VALUE"""),"Team Falcons")</f>
        <v>Team Falcons</v>
      </c>
      <c r="M6" s="113" t="str">
        <f>IFERROR(__xludf.DUMMYFUNCTION("""COMPUTED_VALUE"""),"Team Liquid")</f>
        <v>Team Liquid</v>
      </c>
    </row>
    <row r="7">
      <c r="A7" s="256"/>
      <c r="B7" s="277">
        <f>IFERROR(__xludf.DUMMYFUNCTION("""COMPUTED_VALUE"""),4.0)</f>
        <v>4</v>
      </c>
      <c r="C7" s="279" t="str">
        <f>IFERROR(__xludf.DUMMYFUNCTION("""COMPUTED_VALUE"""),"EPT Tour Ranking")</f>
        <v>EPT Tour Ranking</v>
      </c>
      <c r="D7" s="280">
        <f>IFERROR(__xludf.DUMMYFUNCTION("""COMPUTED_VALUE"""),46166.0)</f>
        <v>46166</v>
      </c>
      <c r="E7" s="281" t="str">
        <f>IFERROR(__xludf.DUMMYFUNCTION("""COMPUTED_VALUE"""),"Aurora Gaming")</f>
        <v>Aurora Gaming</v>
      </c>
      <c r="F7" s="271"/>
      <c r="G7" s="38"/>
      <c r="H7" s="277">
        <f>IFERROR(__xludf.DUMMYFUNCTION("""COMPUTED_VALUE"""),3.0)</f>
        <v>3</v>
      </c>
      <c r="I7" s="283"/>
      <c r="J7" s="38"/>
      <c r="K7" s="288">
        <f>IFERROR(__xludf.DUMMYFUNCTION("""COMPUTED_VALUE"""),3.0)</f>
        <v>3</v>
      </c>
      <c r="L7" s="113" t="str">
        <f>IFERROR(__xludf.DUMMYFUNCTION("""COMPUTED_VALUE"""),"BB Team")</f>
        <v>BB Team</v>
      </c>
      <c r="M7" s="113" t="str">
        <f>IFERROR(__xludf.DUMMYFUNCTION("""COMPUTED_VALUE"""),"PTime")</f>
        <v>PTime</v>
      </c>
    </row>
    <row r="8">
      <c r="A8" s="256"/>
      <c r="B8" s="277">
        <f>IFERROR(__xludf.DUMMYFUNCTION("""COMPUTED_VALUE"""),5.0)</f>
        <v>5</v>
      </c>
      <c r="C8" s="279" t="str">
        <f>IFERROR(__xludf.DUMMYFUNCTION("""COMPUTED_VALUE"""),"EPT Tour Ranking")</f>
        <v>EPT Tour Ranking</v>
      </c>
      <c r="D8" s="280">
        <f>IFERROR(__xludf.DUMMYFUNCTION("""COMPUTED_VALUE"""),46166.0)</f>
        <v>46166</v>
      </c>
      <c r="E8" s="281" t="str">
        <f>IFERROR(__xludf.DUMMYFUNCTION("""COMPUTED_VALUE"""),"Xtreme Gaming")</f>
        <v>Xtreme Gaming</v>
      </c>
      <c r="F8" s="271"/>
      <c r="G8" s="38"/>
      <c r="H8" s="277">
        <f>IFERROR(__xludf.DUMMYFUNCTION("""COMPUTED_VALUE"""),4.0)</f>
        <v>4</v>
      </c>
      <c r="I8" s="283"/>
      <c r="J8" s="38"/>
      <c r="K8" s="288">
        <f>IFERROR(__xludf.DUMMYFUNCTION("""COMPUTED_VALUE"""),4.0)</f>
        <v>4</v>
      </c>
      <c r="L8" s="113" t="str">
        <f>IFERROR(__xludf.DUMMYFUNCTION("""COMPUTED_VALUE"""),"GamerLegion")</f>
        <v>GamerLegion</v>
      </c>
      <c r="M8" s="113" t="str">
        <f>IFERROR(__xludf.DUMMYFUNCTION("""COMPUTED_VALUE"""),"Nigma Galaxy")</f>
        <v>Nigma Galaxy</v>
      </c>
    </row>
    <row r="9">
      <c r="A9" s="256"/>
      <c r="B9" s="277">
        <f>IFERROR(__xludf.DUMMYFUNCTION("""COMPUTED_VALUE"""),6.0)</f>
        <v>6</v>
      </c>
      <c r="C9" s="279" t="str">
        <f>IFERROR(__xludf.DUMMYFUNCTION("""COMPUTED_VALUE"""),"EPT Tour Ranking")</f>
        <v>EPT Tour Ranking</v>
      </c>
      <c r="D9" s="280">
        <f>IFERROR(__xludf.DUMMYFUNCTION("""COMPUTED_VALUE"""),46166.0)</f>
        <v>46166</v>
      </c>
      <c r="E9" s="281" t="str">
        <f>IFERROR(__xludf.DUMMYFUNCTION("""COMPUTED_VALUE"""),"Team Yandex")</f>
        <v>Team Yandex</v>
      </c>
      <c r="F9" s="271"/>
      <c r="G9" s="38"/>
      <c r="H9" s="277">
        <f>IFERROR(__xludf.DUMMYFUNCTION("""COMPUTED_VALUE"""),5.0)</f>
        <v>5</v>
      </c>
      <c r="I9" s="283"/>
      <c r="J9" s="38"/>
      <c r="K9" s="288">
        <f>IFERROR(__xludf.DUMMYFUNCTION("""COMPUTED_VALUE"""),5.0)</f>
        <v>5</v>
      </c>
      <c r="L9" s="113" t="str">
        <f>IFERROR(__xludf.DUMMYFUNCTION("""COMPUTED_VALUE"""),"Poor Rangers")</f>
        <v>Poor Rangers</v>
      </c>
      <c r="M9" s="113" t="str">
        <f>IFERROR(__xludf.DUMMYFUNCTION("""COMPUTED_VALUE"""),"L1 TEAM")</f>
        <v>L1 TEAM</v>
      </c>
    </row>
    <row r="10">
      <c r="A10" s="256"/>
      <c r="B10" s="277">
        <f>IFERROR(__xludf.DUMMYFUNCTION("""COMPUTED_VALUE"""),7.0)</f>
        <v>7</v>
      </c>
      <c r="C10" s="279" t="str">
        <f>IFERROR(__xludf.DUMMYFUNCTION("""COMPUTED_VALUE"""),"EPT Tour Ranking")</f>
        <v>EPT Tour Ranking</v>
      </c>
      <c r="D10" s="280">
        <f>IFERROR(__xludf.DUMMYFUNCTION("""COMPUTED_VALUE"""),46166.0)</f>
        <v>46166</v>
      </c>
      <c r="E10" s="281" t="str">
        <f>IFERROR(__xludf.DUMMYFUNCTION("""COMPUTED_VALUE"""),"Team Falcons")</f>
        <v>Team Falcons</v>
      </c>
      <c r="F10" s="271"/>
      <c r="G10" s="38"/>
      <c r="H10" s="277">
        <f>IFERROR(__xludf.DUMMYFUNCTION("""COMPUTED_VALUE"""),6.0)</f>
        <v>6</v>
      </c>
      <c r="I10" s="283"/>
      <c r="J10" s="38"/>
      <c r="K10" s="288">
        <f>IFERROR(__xludf.DUMMYFUNCTION("""COMPUTED_VALUE"""),6.0)</f>
        <v>6</v>
      </c>
      <c r="L10" s="113" t="str">
        <f>IFERROR(__xludf.DUMMYFUNCTION("""COMPUTED_VALUE"""),"Rune Eaters")</f>
        <v>Rune Eaters</v>
      </c>
      <c r="M10" s="113" t="str">
        <f>IFERROR(__xludf.DUMMYFUNCTION("""COMPUTED_VALUE"""),"Level UP")</f>
        <v>Level UP</v>
      </c>
    </row>
    <row r="11">
      <c r="A11" s="256"/>
      <c r="B11" s="277">
        <f>IFERROR(__xludf.DUMMYFUNCTION("""COMPUTED_VALUE"""),8.0)</f>
        <v>8</v>
      </c>
      <c r="C11" s="279" t="str">
        <f>IFERROR(__xludf.DUMMYFUNCTION("""COMPUTED_VALUE"""),"EPT Tour Ranking")</f>
        <v>EPT Tour Ranking</v>
      </c>
      <c r="D11" s="280">
        <f>IFERROR(__xludf.DUMMYFUNCTION("""COMPUTED_VALUE"""),46166.0)</f>
        <v>46166</v>
      </c>
      <c r="E11" s="281" t="str">
        <f>IFERROR(__xludf.DUMMYFUNCTION("""COMPUTED_VALUE"""),"Team Liquid")</f>
        <v>Team Liquid</v>
      </c>
      <c r="F11" s="271"/>
      <c r="G11" s="38"/>
      <c r="H11" s="277">
        <f>IFERROR(__xludf.DUMMYFUNCTION("""COMPUTED_VALUE"""),7.0)</f>
        <v>7</v>
      </c>
      <c r="I11" s="283"/>
      <c r="J11" s="10"/>
      <c r="K11" s="288" t="str">
        <f>IFERROR(__xludf.DUMMYFUNCTION("""COMPUTED_VALUE"""),"#")</f>
        <v>#</v>
      </c>
      <c r="L11" s="274" t="str">
        <f>IFERROR(__xludf.DUMMYFUNCTION("""COMPUTED_VALUE"""),"Group C")</f>
        <v>Group C</v>
      </c>
      <c r="M11" s="274" t="str">
        <f>IFERROR(__xludf.DUMMYFUNCTION("""COMPUTED_VALUE"""),"Group D")</f>
        <v>Group D</v>
      </c>
    </row>
    <row r="12">
      <c r="A12" s="256"/>
      <c r="B12" s="277">
        <f>IFERROR(__xludf.DUMMYFUNCTION("""COMPUTED_VALUE"""),9.0)</f>
        <v>9</v>
      </c>
      <c r="C12" s="279" t="str">
        <f>IFERROR(__xludf.DUMMYFUNCTION("""COMPUTED_VALUE"""),"EPT Tour Ranking")</f>
        <v>EPT Tour Ranking</v>
      </c>
      <c r="D12" s="280">
        <f>IFERROR(__xludf.DUMMYFUNCTION("""COMPUTED_VALUE"""),46166.0)</f>
        <v>46166</v>
      </c>
      <c r="E12" s="281" t="str">
        <f>IFERROR(__xludf.DUMMYFUNCTION("""COMPUTED_VALUE"""),"BB Team")</f>
        <v>BB Team</v>
      </c>
      <c r="F12" s="271"/>
      <c r="G12" s="38"/>
      <c r="H12" s="277">
        <f>IFERROR(__xludf.DUMMYFUNCTION("""COMPUTED_VALUE"""),8.0)</f>
        <v>8</v>
      </c>
      <c r="I12" s="283"/>
      <c r="J12" s="38"/>
      <c r="K12" s="288">
        <f>IFERROR(__xludf.DUMMYFUNCTION("""COMPUTED_VALUE"""),1.0)</f>
        <v>1</v>
      </c>
      <c r="L12" s="287" t="str">
        <f>IFERROR(__xludf.DUMMYFUNCTION("""COMPUTED_VALUE"""),"PVISION")</f>
        <v>PVISION</v>
      </c>
      <c r="M12" s="287" t="str">
        <f>IFERROR(__xludf.DUMMYFUNCTION("""COMPUTED_VALUE"""),"1W")</f>
        <v>1W</v>
      </c>
    </row>
    <row r="13">
      <c r="A13" s="256"/>
      <c r="B13" s="277">
        <f>IFERROR(__xludf.DUMMYFUNCTION("""COMPUTED_VALUE"""),10.0)</f>
        <v>10</v>
      </c>
      <c r="C13" s="279" t="str">
        <f>IFERROR(__xludf.DUMMYFUNCTION("""COMPUTED_VALUE"""),"EPT Tour Ranking")</f>
        <v>EPT Tour Ranking</v>
      </c>
      <c r="D13" s="280">
        <f>IFERROR(__xludf.DUMMYFUNCTION("""COMPUTED_VALUE"""),46166.0)</f>
        <v>46166</v>
      </c>
      <c r="E13" s="281" t="str">
        <f>IFERROR(__xludf.DUMMYFUNCTION("""COMPUTED_VALUE"""),"MOUZ")</f>
        <v>MOUZ</v>
      </c>
      <c r="F13" s="271"/>
      <c r="G13" s="38"/>
      <c r="H13" s="277">
        <f>IFERROR(__xludf.DUMMYFUNCTION("""COMPUTED_VALUE"""),9.0)</f>
        <v>9</v>
      </c>
      <c r="I13" s="283"/>
      <c r="J13" s="38"/>
      <c r="K13" s="297">
        <f>IFERROR(__xludf.DUMMYFUNCTION("""COMPUTED_VALUE"""),2.0)</f>
        <v>2</v>
      </c>
      <c r="L13" s="113" t="str">
        <f>IFERROR(__xludf.DUMMYFUNCTION("""COMPUTED_VALUE"""),"Team Spirit")</f>
        <v>Team Spirit</v>
      </c>
      <c r="M13" s="113" t="str">
        <f>IFERROR(__xludf.DUMMYFUNCTION("""COMPUTED_VALUE"""),"Team Yandex")</f>
        <v>Team Yandex</v>
      </c>
    </row>
    <row r="14">
      <c r="A14" s="256"/>
      <c r="B14" s="277">
        <f>IFERROR(__xludf.DUMMYFUNCTION("""COMPUTED_VALUE"""),11.0)</f>
        <v>11</v>
      </c>
      <c r="C14" s="279" t="str">
        <f>IFERROR(__xludf.DUMMYFUNCTION("""COMPUTED_VALUE"""),"EPT Tour Ranking")</f>
        <v>EPT Tour Ranking</v>
      </c>
      <c r="D14" s="280">
        <f>IFERROR(__xludf.DUMMYFUNCTION("""COMPUTED_VALUE"""),46166.0)</f>
        <v>46166</v>
      </c>
      <c r="E14" s="281" t="str">
        <f>IFERROR(__xludf.DUMMYFUNCTION("""COMPUTED_VALUE"""),"PTime")</f>
        <v>PTime</v>
      </c>
      <c r="F14" s="271"/>
      <c r="G14" s="38"/>
      <c r="H14" s="277">
        <f>IFERROR(__xludf.DUMMYFUNCTION("""COMPUTED_VALUE"""),10.0)</f>
        <v>10</v>
      </c>
      <c r="I14" s="283"/>
      <c r="J14" s="38"/>
      <c r="K14" s="297">
        <f>IFERROR(__xludf.DUMMYFUNCTION("""COMPUTED_VALUE"""),3.0)</f>
        <v>3</v>
      </c>
      <c r="L14" s="113" t="str">
        <f>IFERROR(__xludf.DUMMYFUNCTION("""COMPUTED_VALUE"""),"MOUZ")</f>
        <v>MOUZ</v>
      </c>
      <c r="M14" s="113" t="str">
        <f>IFERROR(__xludf.DUMMYFUNCTION("""COMPUTED_VALUE"""),"OG Esports")</f>
        <v>OG Esports</v>
      </c>
    </row>
    <row r="15">
      <c r="A15" s="256"/>
      <c r="B15" s="277">
        <f>IFERROR(__xludf.DUMMYFUNCTION("""COMPUTED_VALUE"""),12.0)</f>
        <v>12</v>
      </c>
      <c r="C15" s="279" t="str">
        <f>IFERROR(__xludf.DUMMYFUNCTION("""COMPUTED_VALUE"""),"EPT Tour Ranking")</f>
        <v>EPT Tour Ranking</v>
      </c>
      <c r="D15" s="280">
        <f>IFERROR(__xludf.DUMMYFUNCTION("""COMPUTED_VALUE"""),46166.0)</f>
        <v>46166</v>
      </c>
      <c r="E15" s="281" t="str">
        <f>IFERROR(__xludf.DUMMYFUNCTION("""COMPUTED_VALUE"""),"OG Esports")</f>
        <v>OG Esports</v>
      </c>
      <c r="F15" s="271"/>
      <c r="G15" s="38"/>
      <c r="H15" s="277">
        <f>IFERROR(__xludf.DUMMYFUNCTION("""COMPUTED_VALUE"""),11.0)</f>
        <v>11</v>
      </c>
      <c r="I15" s="283"/>
      <c r="J15" s="38"/>
      <c r="K15" s="297">
        <f>IFERROR(__xludf.DUMMYFUNCTION("""COMPUTED_VALUE"""),4.0)</f>
        <v>4</v>
      </c>
      <c r="L15" s="113" t="str">
        <f>IFERROR(__xludf.DUMMYFUNCTION("""COMPUTED_VALUE"""),"Vici Gaming")</f>
        <v>Vici Gaming</v>
      </c>
      <c r="M15" s="299" t="str">
        <f>IFERROR(__xludf.DUMMYFUNCTION("""COMPUTED_VALUE"""),"Virtus.pro")</f>
        <v>Virtus.pro</v>
      </c>
    </row>
    <row r="16">
      <c r="A16" s="256"/>
      <c r="B16" s="277">
        <f>IFERROR(__xludf.DUMMYFUNCTION("""COMPUTED_VALUE"""),13.0)</f>
        <v>13</v>
      </c>
      <c r="C16" s="279" t="str">
        <f>IFERROR(__xludf.DUMMYFUNCTION("""COMPUTED_VALUE"""),"EPT Tour Ranking")</f>
        <v>EPT Tour Ranking</v>
      </c>
      <c r="D16" s="280">
        <f>IFERROR(__xludf.DUMMYFUNCTION("""COMPUTED_VALUE"""),46166.0)</f>
        <v>46166</v>
      </c>
      <c r="E16" s="300" t="str">
        <f>IFERROR(__xludf.DUMMYFUNCTION("""COMPUTED_VALUE"""),"Virtus.pro")</f>
        <v>Virtus.pro</v>
      </c>
      <c r="F16" s="271"/>
      <c r="G16" s="38"/>
      <c r="H16" s="277">
        <f>IFERROR(__xludf.DUMMYFUNCTION("""COMPUTED_VALUE"""),12.0)</f>
        <v>12</v>
      </c>
      <c r="I16" s="283"/>
      <c r="J16" s="38"/>
      <c r="K16" s="297">
        <f>IFERROR(__xludf.DUMMYFUNCTION("""COMPUTED_VALUE"""),5.0)</f>
        <v>5</v>
      </c>
      <c r="L16" s="113" t="str">
        <f>IFERROR(__xludf.DUMMYFUNCTION("""COMPUTED_VALUE"""),"REKONIX")</f>
        <v>REKONIX</v>
      </c>
      <c r="M16" s="113" t="str">
        <f>IFERROR(__xludf.DUMMYFUNCTION("""COMPUTED_VALUE"""),"LGD Gaming")</f>
        <v>LGD Gaming</v>
      </c>
    </row>
    <row r="17">
      <c r="A17" s="256"/>
      <c r="B17" s="277">
        <f>IFERROR(__xludf.DUMMYFUNCTION("""COMPUTED_VALUE"""),14.0)</f>
        <v>14</v>
      </c>
      <c r="C17" s="279" t="str">
        <f>IFERROR(__xludf.DUMMYFUNCTION("""COMPUTED_VALUE"""),"Asian Champions League (ACL): China")</f>
        <v>Asian Champions League (ACL): China</v>
      </c>
      <c r="D17" s="280">
        <f>IFERROR(__xludf.DUMMYFUNCTION("""COMPUTED_VALUE"""),46145.0)</f>
        <v>46145</v>
      </c>
      <c r="E17" s="281" t="str">
        <f>IFERROR(__xludf.DUMMYFUNCTION("""COMPUTED_VALUE"""),"Vici Gaming")</f>
        <v>Vici Gaming</v>
      </c>
      <c r="F17" s="271"/>
      <c r="G17" s="38"/>
      <c r="H17" s="277">
        <f>IFERROR(__xludf.DUMMYFUNCTION("""COMPUTED_VALUE"""),13.0)</f>
        <v>13</v>
      </c>
      <c r="I17" s="283"/>
      <c r="J17" s="38"/>
      <c r="K17" s="302">
        <f>IFERROR(__xludf.DUMMYFUNCTION("""COMPUTED_VALUE"""),6.0)</f>
        <v>6</v>
      </c>
      <c r="L17" s="303" t="str">
        <f>IFERROR(__xludf.DUMMYFUNCTION("""COMPUTED_VALUE"""),"Team Nemesis")</f>
        <v>Team Nemesis</v>
      </c>
      <c r="M17" s="303" t="str">
        <f>IFERROR(__xludf.DUMMYFUNCTION("""COMPUTED_VALUE"""),"Inner Circle x Insanity")</f>
        <v>Inner Circle x Insanity</v>
      </c>
    </row>
    <row r="18">
      <c r="A18" s="256"/>
      <c r="B18" s="277">
        <f>IFERROR(__xludf.DUMMYFUNCTION("""COMPUTED_VALUE"""),15.0)</f>
        <v>15</v>
      </c>
      <c r="C18" s="279" t="str">
        <f>IFERROR(__xludf.DUMMYFUNCTION("""COMPUTED_VALUE"""),"Dota 2 at ROAD TO EWC 26: Online Qualifier -  Southeast Asia")</f>
        <v>Dota 2 at ROAD TO EWC 26: Online Qualifier -  Southeast Asia</v>
      </c>
      <c r="D18" s="280">
        <f>IFERROR(__xludf.DUMMYFUNCTION("""COMPUTED_VALUE"""),46178.0)</f>
        <v>46178</v>
      </c>
      <c r="E18" s="281" t="str">
        <f>IFERROR(__xludf.DUMMYFUNCTION("""COMPUTED_VALUE"""),"REKONIX")</f>
        <v>REKONIX</v>
      </c>
      <c r="F18" s="271"/>
      <c r="G18" s="38"/>
      <c r="H18" s="277">
        <f>IFERROR(__xludf.DUMMYFUNCTION("""COMPUTED_VALUE"""),14.0)</f>
        <v>14</v>
      </c>
      <c r="I18" s="283"/>
      <c r="J18" s="10"/>
      <c r="K18" s="10"/>
      <c r="L18" s="10"/>
      <c r="M18" s="10"/>
    </row>
    <row r="19">
      <c r="A19" s="256"/>
      <c r="B19" s="304">
        <f>IFERROR(__xludf.DUMMYFUNCTION("""COMPUTED_VALUE"""),16.0)</f>
        <v>16</v>
      </c>
      <c r="C19" s="279" t="str">
        <f>IFERROR(__xludf.DUMMYFUNCTION("""COMPUTED_VALUE"""),"Dota 2 at ROAD TO EWC 26: Online Qualifier -  South America")</f>
        <v>Dota 2 at ROAD TO EWC 26: Online Qualifier -  South America</v>
      </c>
      <c r="D19" s="280">
        <f>IFERROR(__xludf.DUMMYFUNCTION("""COMPUTED_VALUE"""),46176.0)</f>
        <v>46176</v>
      </c>
      <c r="E19" s="281" t="str">
        <f>IFERROR(__xludf.DUMMYFUNCTION("""COMPUTED_VALUE"""),"Team Nemesis")</f>
        <v>Team Nemesis</v>
      </c>
      <c r="F19" s="271"/>
      <c r="G19" s="38"/>
      <c r="H19" s="277">
        <f>IFERROR(__xludf.DUMMYFUNCTION("""COMPUTED_VALUE"""),15.0)</f>
        <v>15</v>
      </c>
      <c r="I19" s="283"/>
      <c r="J19" s="10"/>
      <c r="K19" s="10"/>
      <c r="L19" s="10"/>
      <c r="M19" s="10"/>
    </row>
    <row r="20">
      <c r="A20" s="256"/>
      <c r="B20" s="277">
        <f>IFERROR(__xludf.DUMMYFUNCTION("""COMPUTED_VALUE"""),17.0)</f>
        <v>17</v>
      </c>
      <c r="C20" s="279" t="str">
        <f>IFERROR(__xludf.DUMMYFUNCTION("""COMPUTED_VALUE"""),"Dota 2 at ROAD TO EWC 26: Online Qualifier -  North America")</f>
        <v>Dota 2 at ROAD TO EWC 26: Online Qualifier -  North America</v>
      </c>
      <c r="D20" s="280">
        <f>IFERROR(__xludf.DUMMYFUNCTION("""COMPUTED_VALUE"""),46177.0)</f>
        <v>46177</v>
      </c>
      <c r="E20" s="281" t="str">
        <f>IFERROR(__xludf.DUMMYFUNCTION("""COMPUTED_VALUE"""),"GamerLegion")</f>
        <v>GamerLegion</v>
      </c>
      <c r="F20" s="271"/>
      <c r="G20" s="38"/>
      <c r="H20" s="304">
        <f>IFERROR(__xludf.DUMMYFUNCTION("""COMPUTED_VALUE"""),16.0)</f>
        <v>16</v>
      </c>
      <c r="I20" s="283"/>
      <c r="J20" s="10"/>
      <c r="K20" s="10"/>
      <c r="L20" s="10"/>
      <c r="M20" s="10"/>
    </row>
    <row r="21">
      <c r="A21" s="256"/>
      <c r="B21" s="304">
        <f>IFERROR(__xludf.DUMMYFUNCTION("""COMPUTED_VALUE"""),18.0)</f>
        <v>18</v>
      </c>
      <c r="C21" s="279" t="str">
        <f>IFERROR(__xludf.DUMMYFUNCTION("""COMPUTED_VALUE"""),"Dota 2 at ROAD TO EWC 26: Online Qualifier -  Middle East Southwest Asia")</f>
        <v>Dota 2 at ROAD TO EWC 26: Online Qualifier -  Middle East Southwest Asia</v>
      </c>
      <c r="D21" s="280">
        <f>IFERROR(__xludf.DUMMYFUNCTION("""COMPUTED_VALUE"""),46176.0)</f>
        <v>46176</v>
      </c>
      <c r="E21" s="281" t="str">
        <f>IFERROR(__xludf.DUMMYFUNCTION("""COMPUTED_VALUE"""),"Nigma Galaxy")</f>
        <v>Nigma Galaxy</v>
      </c>
      <c r="F21" s="271"/>
      <c r="G21" s="38"/>
      <c r="H21" s="277">
        <f>IFERROR(__xludf.DUMMYFUNCTION("""COMPUTED_VALUE"""),17.0)</f>
        <v>17</v>
      </c>
      <c r="I21" s="283"/>
      <c r="J21" s="10"/>
      <c r="K21" s="10"/>
      <c r="L21" s="10"/>
      <c r="M21" s="10"/>
    </row>
    <row r="22">
      <c r="A22" s="256"/>
      <c r="B22" s="277">
        <f>IFERROR(__xludf.DUMMYFUNCTION("""COMPUTED_VALUE"""),19.0)</f>
        <v>19</v>
      </c>
      <c r="C22" s="279" t="str">
        <f>IFERROR(__xludf.DUMMYFUNCTION("""COMPUTED_VALUE"""),"Dota 2 at ROAD TO EWC 26: Online Qualifier -  Eastern Europe")</f>
        <v>Dota 2 at ROAD TO EWC 26: Online Qualifier -  Eastern Europe</v>
      </c>
      <c r="D22" s="280">
        <f>IFERROR(__xludf.DUMMYFUNCTION("""COMPUTED_VALUE"""),46176.0)</f>
        <v>46176</v>
      </c>
      <c r="E22" s="281" t="str">
        <f>IFERROR(__xludf.DUMMYFUNCTION("""COMPUTED_VALUE"""),"Level UP")</f>
        <v>Level UP</v>
      </c>
      <c r="F22" s="271"/>
      <c r="G22" s="38"/>
      <c r="H22" s="304">
        <f>IFERROR(__xludf.DUMMYFUNCTION("""COMPUTED_VALUE"""),18.0)</f>
        <v>18</v>
      </c>
      <c r="I22" s="283"/>
      <c r="J22" s="10"/>
      <c r="K22" s="10"/>
      <c r="L22" s="10"/>
      <c r="M22" s="10"/>
    </row>
    <row r="23">
      <c r="A23" s="256"/>
      <c r="B23" s="304">
        <f>IFERROR(__xludf.DUMMYFUNCTION("""COMPUTED_VALUE"""),20.0)</f>
        <v>20</v>
      </c>
      <c r="C23" s="279" t="str">
        <f>IFERROR(__xludf.DUMMYFUNCTION("""COMPUTED_VALUE"""),"Dota 2 at ROAD TO EWC 26: Online Qualifier -  Eastern Europe")</f>
        <v>Dota 2 at ROAD TO EWC 26: Online Qualifier -  Eastern Europe</v>
      </c>
      <c r="D23" s="280">
        <f>IFERROR(__xludf.DUMMYFUNCTION("""COMPUTED_VALUE"""),46176.0)</f>
        <v>46176</v>
      </c>
      <c r="E23" s="281" t="str">
        <f>IFERROR(__xludf.DUMMYFUNCTION("""COMPUTED_VALUE"""),"Poor Rangers")</f>
        <v>Poor Rangers</v>
      </c>
      <c r="F23" s="271"/>
      <c r="G23" s="38"/>
      <c r="H23" s="277">
        <f>IFERROR(__xludf.DUMMYFUNCTION("""COMPUTED_VALUE"""),19.0)</f>
        <v>19</v>
      </c>
      <c r="I23" s="283"/>
      <c r="J23" s="10"/>
      <c r="K23" s="10"/>
      <c r="L23" s="10"/>
      <c r="M23" s="10"/>
    </row>
    <row r="24">
      <c r="A24" s="256"/>
      <c r="B24" s="277">
        <f>IFERROR(__xludf.DUMMYFUNCTION("""COMPUTED_VALUE"""),21.0)</f>
        <v>21</v>
      </c>
      <c r="C24" s="279" t="str">
        <f>IFERROR(__xludf.DUMMYFUNCTION("""COMPUTED_VALUE"""),"Dota 2 at ROAD TO EWC 26: Online Qualifier -  Eastern Europe")</f>
        <v>Dota 2 at ROAD TO EWC 26: Online Qualifier -  Eastern Europe</v>
      </c>
      <c r="D24" s="280">
        <f>IFERROR(__xludf.DUMMYFUNCTION("""COMPUTED_VALUE"""),46176.0)</f>
        <v>46176</v>
      </c>
      <c r="E24" s="281" t="str">
        <f>IFERROR(__xludf.DUMMYFUNCTION("""COMPUTED_VALUE"""),"L1 TEAM")</f>
        <v>L1 TEAM</v>
      </c>
      <c r="F24" s="271"/>
      <c r="G24" s="38"/>
      <c r="H24" s="307">
        <f>IFERROR(__xludf.DUMMYFUNCTION("""COMPUTED_VALUE"""),20.0)</f>
        <v>20</v>
      </c>
      <c r="I24" s="283"/>
      <c r="J24" s="10"/>
      <c r="K24" s="10"/>
      <c r="L24" s="10"/>
      <c r="M24" s="10"/>
    </row>
    <row r="25">
      <c r="A25" s="256"/>
      <c r="B25" s="304">
        <f>IFERROR(__xludf.DUMMYFUNCTION("""COMPUTED_VALUE"""),22.0)</f>
        <v>22</v>
      </c>
      <c r="C25" s="279" t="str">
        <f>IFERROR(__xludf.DUMMYFUNCTION("""COMPUTED_VALUE"""),"Dota 2 at ROAD TO EWC 26: Online Qualifier -  Eastern Europe")</f>
        <v>Dota 2 at ROAD TO EWC 26: Online Qualifier -  Eastern Europe</v>
      </c>
      <c r="D25" s="280">
        <f>IFERROR(__xludf.DUMMYFUNCTION("""COMPUTED_VALUE"""),46176.0)</f>
        <v>46176</v>
      </c>
      <c r="E25" s="281" t="str">
        <f>IFERROR(__xludf.DUMMYFUNCTION("""COMPUTED_VALUE"""),"IC x Insanity")</f>
        <v>IC x Insanity</v>
      </c>
      <c r="F25" s="271"/>
      <c r="G25" s="38"/>
      <c r="H25" s="308">
        <f>IFERROR(__xludf.DUMMYFUNCTION("""COMPUTED_VALUE"""),21.0)</f>
        <v>21</v>
      </c>
      <c r="I25" s="283"/>
      <c r="J25" s="10"/>
      <c r="K25" s="10"/>
      <c r="L25" s="10"/>
      <c r="M25" s="10"/>
    </row>
    <row r="26">
      <c r="A26" s="256"/>
      <c r="B26" s="277">
        <f>IFERROR(__xludf.DUMMYFUNCTION("""COMPUTED_VALUE"""),23.0)</f>
        <v>23</v>
      </c>
      <c r="C26" s="279" t="str">
        <f>IFERROR(__xludf.DUMMYFUNCTION("""COMPUTED_VALUE"""),"Dota 2 at ROAD TO EWC 26: Online Qualifier -  Western Europe")</f>
        <v>Dota 2 at ROAD TO EWC 26: Online Qualifier -  Western Europe</v>
      </c>
      <c r="D26" s="280">
        <f>IFERROR(__xludf.DUMMYFUNCTION("""COMPUTED_VALUE"""),46175.0)</f>
        <v>46175</v>
      </c>
      <c r="E26" s="281" t="str">
        <f>IFERROR(__xludf.DUMMYFUNCTION("""COMPUTED_VALUE"""),"LGD Gaming")</f>
        <v>LGD Gaming</v>
      </c>
      <c r="F26" s="271"/>
      <c r="G26" s="38"/>
      <c r="H26" s="307">
        <f>IFERROR(__xludf.DUMMYFUNCTION("""COMPUTED_VALUE"""),22.0)</f>
        <v>22</v>
      </c>
      <c r="I26" s="283"/>
      <c r="J26" s="10"/>
      <c r="K26" s="10"/>
      <c r="L26" s="10"/>
      <c r="M26" s="10"/>
    </row>
    <row r="27">
      <c r="A27" s="256"/>
      <c r="B27" s="310">
        <f>IFERROR(__xludf.DUMMYFUNCTION("""COMPUTED_VALUE"""),24.0)</f>
        <v>24</v>
      </c>
      <c r="C27" s="311" t="str">
        <f>IFERROR(__xludf.DUMMYFUNCTION("""COMPUTED_VALUE"""),"Dota 2 at ROAD TO EWC 26: Online Qualifier -  Western Europe")</f>
        <v>Dota 2 at ROAD TO EWC 26: Online Qualifier -  Western Europe</v>
      </c>
      <c r="D27" s="312">
        <f>IFERROR(__xludf.DUMMYFUNCTION("""COMPUTED_VALUE"""),46175.0)</f>
        <v>46175</v>
      </c>
      <c r="E27" s="313" t="str">
        <f>IFERROR(__xludf.DUMMYFUNCTION("""COMPUTED_VALUE"""),"Rune Eaters")</f>
        <v>Rune Eaters</v>
      </c>
      <c r="F27" s="271"/>
      <c r="G27" s="38"/>
      <c r="H27" s="308">
        <f>IFERROR(__xludf.DUMMYFUNCTION("""COMPUTED_VALUE"""),23.0)</f>
        <v>23</v>
      </c>
      <c r="I27" s="283"/>
      <c r="J27" s="10"/>
      <c r="K27" s="10"/>
      <c r="L27" s="10"/>
      <c r="M27" s="10"/>
    </row>
    <row r="28">
      <c r="A28" s="256"/>
      <c r="B28" s="10"/>
      <c r="C28" s="10"/>
      <c r="D28" s="10"/>
      <c r="E28" s="10"/>
      <c r="F28" s="10"/>
      <c r="G28" s="38"/>
      <c r="H28" s="314">
        <f>IFERROR(__xludf.DUMMYFUNCTION("""COMPUTED_VALUE"""),24.0)</f>
        <v>24</v>
      </c>
      <c r="I28" s="315"/>
      <c r="J28" s="10"/>
      <c r="K28" s="10"/>
      <c r="L28" s="10"/>
      <c r="M28" s="10"/>
    </row>
  </sheetData>
  <mergeCells count="5">
    <mergeCell ref="B2:E2"/>
    <mergeCell ref="H2:I2"/>
    <mergeCell ref="K2:M2"/>
    <mergeCell ref="H3:I3"/>
    <mergeCell ref="K3:M3"/>
  </mergeCells>
  <hyperlinks>
    <hyperlink r:id="rId1" ref="M15"/>
    <hyperlink r:id="rId2" ref="E16"/>
  </hyperlin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2" max="8" width="18.88"/>
    <col customWidth="1" min="9" max="9" width="14.0"/>
  </cols>
  <sheetData>
    <row r="1">
      <c r="A1" s="317" t="str">
        <f>IFERROR(__xludf.DUMMYFUNCTION("if('Make Public'!C11=""Yes"",importrange('Make Public'!B3,""Participant Rosters!A1:j""),""TBD"")"),"")</f>
        <v/>
      </c>
      <c r="B1" s="195"/>
      <c r="C1" s="195"/>
      <c r="D1" s="195"/>
      <c r="E1" s="195"/>
      <c r="F1" s="195"/>
      <c r="G1" s="195"/>
      <c r="H1" s="195"/>
      <c r="I1" s="195"/>
    </row>
    <row r="2">
      <c r="A2" s="186"/>
      <c r="B2" s="318"/>
      <c r="C2" s="319"/>
      <c r="D2" s="319"/>
      <c r="E2" s="319"/>
      <c r="F2" s="319"/>
      <c r="G2" s="319"/>
      <c r="H2" s="319"/>
      <c r="I2" s="77"/>
    </row>
    <row r="3">
      <c r="A3" s="186"/>
      <c r="B3" s="195"/>
      <c r="C3" s="195"/>
      <c r="D3" s="195"/>
      <c r="E3" s="195"/>
      <c r="F3" s="195"/>
      <c r="G3" s="195"/>
      <c r="H3" s="195"/>
      <c r="I3" s="195"/>
    </row>
    <row r="4">
      <c r="A4" s="186"/>
      <c r="B4" s="320" t="str">
        <f>IFERROR(__xludf.DUMMYFUNCTION("""COMPUTED_VALUE"""),"Team Name")</f>
        <v>Team Name</v>
      </c>
      <c r="C4" s="321" t="str">
        <f>IFERROR(__xludf.DUMMYFUNCTION("""COMPUTED_VALUE"""),"Player/Coach")</f>
        <v>Player/Coach</v>
      </c>
      <c r="D4" s="321" t="str">
        <f>IFERROR(__xludf.DUMMYFUNCTION("""COMPUTED_VALUE"""),"In Game Position")</f>
        <v>In Game Position</v>
      </c>
      <c r="E4" s="321" t="str">
        <f>IFERROR(__xludf.DUMMYFUNCTION("""COMPUTED_VALUE"""),"First Name")</f>
        <v>First Name</v>
      </c>
      <c r="F4" s="321" t="str">
        <f>IFERROR(__xludf.DUMMYFUNCTION("""COMPUTED_VALUE"""),"Last Name")</f>
        <v>Last Name</v>
      </c>
      <c r="G4" s="322" t="str">
        <f>IFERROR(__xludf.DUMMYFUNCTION("""COMPUTED_VALUE"""),"Nickname")</f>
        <v>Nickname</v>
      </c>
      <c r="H4" s="323" t="str">
        <f>IFERROR(__xludf.DUMMYFUNCTION("""COMPUTED_VALUE"""),"Nationality")</f>
        <v>Nationality</v>
      </c>
      <c r="I4" s="324" t="str">
        <f>IFERROR(__xludf.DUMMYFUNCTION("""COMPUTED_VALUE"""),"Seating Position")</f>
        <v>Seating Position</v>
      </c>
    </row>
    <row r="5">
      <c r="A5" s="186"/>
      <c r="B5" s="325" t="str">
        <f>IFERROR(__xludf.DUMMYFUNCTION("""COMPUTED_VALUE"""),"Team Spirit")</f>
        <v>Team Spirit</v>
      </c>
      <c r="C5" s="326" t="str">
        <f>IFERROR(__xludf.DUMMYFUNCTION("""COMPUTED_VALUE"""),"Player")</f>
        <v>Player</v>
      </c>
      <c r="D5" s="326">
        <f>IFERROR(__xludf.DUMMYFUNCTION("""COMPUTED_VALUE"""),1.0)</f>
        <v>1</v>
      </c>
      <c r="E5" s="327" t="str">
        <f>IFERROR(__xludf.DUMMYFUNCTION("""COMPUTED_VALUE"""),"Yatoro")</f>
        <v>Yatoro</v>
      </c>
      <c r="F5" s="327" t="str">
        <f>IFERROR(__xludf.DUMMYFUNCTION("""COMPUTED_VALUE"""),"Illia")</f>
        <v>Illia</v>
      </c>
      <c r="G5" s="327" t="str">
        <f>IFERROR(__xludf.DUMMYFUNCTION("""COMPUTED_VALUE"""),"Muliarchuk")</f>
        <v>Muliarchuk</v>
      </c>
      <c r="H5" s="327" t="str">
        <f>IFERROR(__xludf.DUMMYFUNCTION("""COMPUTED_VALUE"""),"Ukraine")</f>
        <v>Ukraine</v>
      </c>
      <c r="I5" s="328">
        <f>IFERROR(__xludf.DUMMYFUNCTION("""COMPUTED_VALUE"""),1.0)</f>
        <v>1</v>
      </c>
    </row>
    <row r="6">
      <c r="A6" s="186"/>
      <c r="B6" s="325" t="str">
        <f>IFERROR(__xludf.DUMMYFUNCTION("""COMPUTED_VALUE"""),"Team Spirit")</f>
        <v>Team Spirit</v>
      </c>
      <c r="C6" s="326" t="str">
        <f>IFERROR(__xludf.DUMMYFUNCTION("""COMPUTED_VALUE"""),"Player")</f>
        <v>Player</v>
      </c>
      <c r="D6" s="326">
        <f>IFERROR(__xludf.DUMMYFUNCTION("""COMPUTED_VALUE"""),2.0)</f>
        <v>2</v>
      </c>
      <c r="E6" s="327" t="str">
        <f>IFERROR(__xludf.DUMMYFUNCTION("""COMPUTED_VALUE"""),"Larl")</f>
        <v>Larl</v>
      </c>
      <c r="F6" s="327" t="str">
        <f>IFERROR(__xludf.DUMMYFUNCTION("""COMPUTED_VALUE"""),"Denis")</f>
        <v>Denis</v>
      </c>
      <c r="G6" s="327" t="str">
        <f>IFERROR(__xludf.DUMMYFUNCTION("""COMPUTED_VALUE"""),"Sigitov")</f>
        <v>Sigitov</v>
      </c>
      <c r="H6" s="327" t="str">
        <f>IFERROR(__xludf.DUMMYFUNCTION("""COMPUTED_VALUE"""),"Russia")</f>
        <v>Russia</v>
      </c>
      <c r="I6" s="329" t="str">
        <f>IFERROR(__xludf.DUMMYFUNCTION("""COMPUTED_VALUE"""),"3")</f>
        <v>3</v>
      </c>
    </row>
    <row r="7">
      <c r="A7" s="186"/>
      <c r="B7" s="325" t="str">
        <f>IFERROR(__xludf.DUMMYFUNCTION("""COMPUTED_VALUE"""),"Team Spirit")</f>
        <v>Team Spirit</v>
      </c>
      <c r="C7" s="326" t="str">
        <f>IFERROR(__xludf.DUMMYFUNCTION("""COMPUTED_VALUE"""),"Player")</f>
        <v>Player</v>
      </c>
      <c r="D7" s="326">
        <f>IFERROR(__xludf.DUMMYFUNCTION("""COMPUTED_VALUE"""),3.0)</f>
        <v>3</v>
      </c>
      <c r="E7" s="327" t="str">
        <f>IFERROR(__xludf.DUMMYFUNCTION("""COMPUTED_VALUE"""),"Collapse")</f>
        <v>Collapse</v>
      </c>
      <c r="F7" s="327" t="str">
        <f>IFERROR(__xludf.DUMMYFUNCTION("""COMPUTED_VALUE"""),"Magomed")</f>
        <v>Magomed</v>
      </c>
      <c r="G7" s="327" t="str">
        <f>IFERROR(__xludf.DUMMYFUNCTION("""COMPUTED_VALUE"""),"Khalilov")</f>
        <v>Khalilov</v>
      </c>
      <c r="H7" s="327" t="str">
        <f>IFERROR(__xludf.DUMMYFUNCTION("""COMPUTED_VALUE"""),"Russia")</f>
        <v>Russia</v>
      </c>
      <c r="I7" s="329" t="str">
        <f>IFERROR(__xludf.DUMMYFUNCTION("""COMPUTED_VALUE"""),"5")</f>
        <v>5</v>
      </c>
    </row>
    <row r="8">
      <c r="A8" s="186"/>
      <c r="B8" s="325" t="str">
        <f>IFERROR(__xludf.DUMMYFUNCTION("""COMPUTED_VALUE"""),"Team Spirit")</f>
        <v>Team Spirit</v>
      </c>
      <c r="C8" s="326" t="str">
        <f>IFERROR(__xludf.DUMMYFUNCTION("""COMPUTED_VALUE"""),"Player")</f>
        <v>Player</v>
      </c>
      <c r="D8" s="326">
        <f>IFERROR(__xludf.DUMMYFUNCTION("""COMPUTED_VALUE"""),4.0)</f>
        <v>4</v>
      </c>
      <c r="E8" s="327" t="str">
        <f>IFERROR(__xludf.DUMMYFUNCTION("""COMPUTED_VALUE"""),"not me")</f>
        <v>not me</v>
      </c>
      <c r="F8" s="327" t="str">
        <f>IFERROR(__xludf.DUMMYFUNCTION("""COMPUTED_VALUE"""),"Alexsei")</f>
        <v>Alexsei</v>
      </c>
      <c r="G8" s="327" t="str">
        <f>IFERROR(__xludf.DUMMYFUNCTION("""COMPUTED_VALUE"""),"Kosmynin")</f>
        <v>Kosmynin</v>
      </c>
      <c r="H8" s="327" t="str">
        <f>IFERROR(__xludf.DUMMYFUNCTION("""COMPUTED_VALUE"""),"Russia")</f>
        <v>Russia</v>
      </c>
      <c r="I8" s="329" t="str">
        <f>IFERROR(__xludf.DUMMYFUNCTION("""COMPUTED_VALUE"""),"4")</f>
        <v>4</v>
      </c>
    </row>
    <row r="9">
      <c r="A9" s="186"/>
      <c r="B9" s="325" t="str">
        <f>IFERROR(__xludf.DUMMYFUNCTION("""COMPUTED_VALUE"""),"Team Spirit")</f>
        <v>Team Spirit</v>
      </c>
      <c r="C9" s="326" t="str">
        <f>IFERROR(__xludf.DUMMYFUNCTION("""COMPUTED_VALUE"""),"Player")</f>
        <v>Player</v>
      </c>
      <c r="D9" s="326">
        <f>IFERROR(__xludf.DUMMYFUNCTION("""COMPUTED_VALUE"""),5.0)</f>
        <v>5</v>
      </c>
      <c r="E9" s="327" t="str">
        <f>IFERROR(__xludf.DUMMYFUNCTION("""COMPUTED_VALUE"""),"rue")</f>
        <v>rue</v>
      </c>
      <c r="F9" s="327" t="str">
        <f>IFERROR(__xludf.DUMMYFUNCTION("""COMPUTED_VALUE"""),"Aleksandr")</f>
        <v>Aleksandr</v>
      </c>
      <c r="G9" s="327" t="str">
        <f>IFERROR(__xludf.DUMMYFUNCTION("""COMPUTED_VALUE"""),"Filin")</f>
        <v>Filin</v>
      </c>
      <c r="H9" s="327" t="str">
        <f>IFERROR(__xludf.DUMMYFUNCTION("""COMPUTED_VALUE"""),"Russia")</f>
        <v>Russia</v>
      </c>
      <c r="I9" s="329" t="str">
        <f>IFERROR(__xludf.DUMMYFUNCTION("""COMPUTED_VALUE"""),"2")</f>
        <v>2</v>
      </c>
    </row>
    <row r="10">
      <c r="A10" s="186"/>
      <c r="B10" s="325" t="str">
        <f>IFERROR(__xludf.DUMMYFUNCTION("""COMPUTED_VALUE"""),"Team Spirit")</f>
        <v>Team Spirit</v>
      </c>
      <c r="C10" s="326" t="str">
        <f>IFERROR(__xludf.DUMMYFUNCTION("""COMPUTED_VALUE"""),"Coach")</f>
        <v>Coach</v>
      </c>
      <c r="D10" s="326" t="str">
        <f>IFERROR(__xludf.DUMMYFUNCTION("""COMPUTED_VALUE"""),"Coach")</f>
        <v>Coach</v>
      </c>
      <c r="E10" s="327" t="str">
        <f>IFERROR(__xludf.DUMMYFUNCTION("""COMPUTED_VALUE"""),"Miposhka")</f>
        <v>Miposhka</v>
      </c>
      <c r="F10" s="327" t="str">
        <f>IFERROR(__xludf.DUMMYFUNCTION("""COMPUTED_VALUE"""),"Iaroslav")</f>
        <v>Iaroslav</v>
      </c>
      <c r="G10" s="327" t="str">
        <f>IFERROR(__xludf.DUMMYFUNCTION("""COMPUTED_VALUE"""),"Naidenov")</f>
        <v>Naidenov</v>
      </c>
      <c r="H10" s="327" t="str">
        <f>IFERROR(__xludf.DUMMYFUNCTION("""COMPUTED_VALUE"""),"Russia")</f>
        <v>Russia</v>
      </c>
      <c r="I10" s="330"/>
    </row>
    <row r="11">
      <c r="A11" s="186"/>
      <c r="B11" s="331"/>
      <c r="C11" s="332"/>
      <c r="D11" s="332"/>
      <c r="E11" s="332"/>
      <c r="F11" s="332"/>
      <c r="G11" s="332"/>
      <c r="H11" s="333"/>
      <c r="I11" s="333"/>
    </row>
    <row r="12">
      <c r="A12" s="186"/>
      <c r="B12" s="325" t="str">
        <f>IFERROR(__xludf.DUMMYFUNCTION("""COMPUTED_VALUE"""),"1W")</f>
        <v>1W</v>
      </c>
      <c r="C12" s="326" t="str">
        <f>IFERROR(__xludf.DUMMYFUNCTION("""COMPUTED_VALUE"""),"Player")</f>
        <v>Player</v>
      </c>
      <c r="D12" s="326">
        <f>IFERROR(__xludf.DUMMYFUNCTION("""COMPUTED_VALUE"""),1.0)</f>
        <v>1</v>
      </c>
      <c r="E12" s="334" t="str">
        <f>IFERROR(__xludf.DUMMYFUNCTION("""COMPUTED_VALUE"""),"Pure")</f>
        <v>Pure</v>
      </c>
      <c r="F12" s="334" t="str">
        <f>IFERROR(__xludf.DUMMYFUNCTION("""COMPUTED_VALUE"""),"Ivan")</f>
        <v>Ivan</v>
      </c>
      <c r="G12" s="334" t="str">
        <f>IFERROR(__xludf.DUMMYFUNCTION("""COMPUTED_VALUE"""),"Moskalenko")</f>
        <v>Moskalenko</v>
      </c>
      <c r="H12" s="327" t="str">
        <f>IFERROR(__xludf.DUMMYFUNCTION("""COMPUTED_VALUE"""),"Russia")</f>
        <v>Russia</v>
      </c>
      <c r="I12" s="329" t="str">
        <f>IFERROR(__xludf.DUMMYFUNCTION("""COMPUTED_VALUE"""),"5")</f>
        <v>5</v>
      </c>
    </row>
    <row r="13">
      <c r="A13" s="186"/>
      <c r="B13" s="325" t="str">
        <f>IFERROR(__xludf.DUMMYFUNCTION("""COMPUTED_VALUE"""),"1W")</f>
        <v>1W</v>
      </c>
      <c r="C13" s="326" t="str">
        <f>IFERROR(__xludf.DUMMYFUNCTION("""COMPUTED_VALUE"""),"Player")</f>
        <v>Player</v>
      </c>
      <c r="D13" s="326">
        <f>IFERROR(__xludf.DUMMYFUNCTION("""COMPUTED_VALUE"""),2.0)</f>
        <v>2</v>
      </c>
      <c r="E13" s="327" t="str">
        <f>IFERROR(__xludf.DUMMYFUNCTION("""COMPUTED_VALUE"""),"bzm")</f>
        <v>bzm</v>
      </c>
      <c r="F13" s="327" t="str">
        <f>IFERROR(__xludf.DUMMYFUNCTION("""COMPUTED_VALUE"""),"Bozhidar")</f>
        <v>Bozhidar</v>
      </c>
      <c r="G13" s="327" t="str">
        <f>IFERROR(__xludf.DUMMYFUNCTION("""COMPUTED_VALUE"""),"Bogdanov")</f>
        <v>Bogdanov</v>
      </c>
      <c r="H13" s="327" t="str">
        <f>IFERROR(__xludf.DUMMYFUNCTION("""COMPUTED_VALUE"""),"Bulgaria")</f>
        <v>Bulgaria</v>
      </c>
      <c r="I13" s="329" t="str">
        <f>IFERROR(__xludf.DUMMYFUNCTION("""COMPUTED_VALUE"""),"1")</f>
        <v>1</v>
      </c>
    </row>
    <row r="14">
      <c r="A14" s="186"/>
      <c r="B14" s="325" t="str">
        <f>IFERROR(__xludf.DUMMYFUNCTION("""COMPUTED_VALUE"""),"1W")</f>
        <v>1W</v>
      </c>
      <c r="C14" s="326" t="str">
        <f>IFERROR(__xludf.DUMMYFUNCTION("""COMPUTED_VALUE"""),"Player")</f>
        <v>Player</v>
      </c>
      <c r="D14" s="326">
        <f>IFERROR(__xludf.DUMMYFUNCTION("""COMPUTED_VALUE"""),3.0)</f>
        <v>3</v>
      </c>
      <c r="E14" s="327">
        <f>IFERROR(__xludf.DUMMYFUNCTION("""COMPUTED_VALUE"""),33.0)</f>
        <v>33</v>
      </c>
      <c r="F14" s="327" t="str">
        <f>IFERROR(__xludf.DUMMYFUNCTION("""COMPUTED_VALUE"""),"Neta")</f>
        <v>Neta</v>
      </c>
      <c r="G14" s="327" t="str">
        <f>IFERROR(__xludf.DUMMYFUNCTION("""COMPUTED_VALUE"""),"Shapira")</f>
        <v>Shapira</v>
      </c>
      <c r="H14" s="327" t="str">
        <f>IFERROR(__xludf.DUMMYFUNCTION("""COMPUTED_VALUE"""),"Israel")</f>
        <v>Israel</v>
      </c>
      <c r="I14" s="329" t="str">
        <f>IFERROR(__xludf.DUMMYFUNCTION("""COMPUTED_VALUE"""),"3")</f>
        <v>3</v>
      </c>
    </row>
    <row r="15">
      <c r="A15" s="186"/>
      <c r="B15" s="325" t="str">
        <f>IFERROR(__xludf.DUMMYFUNCTION("""COMPUTED_VALUE"""),"1W")</f>
        <v>1W</v>
      </c>
      <c r="C15" s="326" t="str">
        <f>IFERROR(__xludf.DUMMYFUNCTION("""COMPUTED_VALUE"""),"Player")</f>
        <v>Player</v>
      </c>
      <c r="D15" s="326">
        <f>IFERROR(__xludf.DUMMYFUNCTION("""COMPUTED_VALUE"""),4.0)</f>
        <v>4</v>
      </c>
      <c r="E15" s="327" t="str">
        <f>IFERROR(__xludf.DUMMYFUNCTION("""COMPUTED_VALUE"""),"Ari")</f>
        <v>Ari</v>
      </c>
      <c r="F15" s="327" t="str">
        <f>IFERROR(__xludf.DUMMYFUNCTION("""COMPUTED_VALUE"""),"Matt")</f>
        <v>Matt</v>
      </c>
      <c r="G15" s="327" t="str">
        <f>IFERROR(__xludf.DUMMYFUNCTION("""COMPUTED_VALUE"""),"Walker")</f>
        <v>Walker</v>
      </c>
      <c r="H15" s="327" t="str">
        <f>IFERROR(__xludf.DUMMYFUNCTION("""COMPUTED_VALUE"""),"United Kingdom")</f>
        <v>United Kingdom</v>
      </c>
      <c r="I15" s="329" t="str">
        <f>IFERROR(__xludf.DUMMYFUNCTION("""COMPUTED_VALUE"""),"2")</f>
        <v>2</v>
      </c>
    </row>
    <row r="16">
      <c r="A16" s="186"/>
      <c r="B16" s="325" t="str">
        <f>IFERROR(__xludf.DUMMYFUNCTION("""COMPUTED_VALUE"""),"1W")</f>
        <v>1W</v>
      </c>
      <c r="C16" s="326" t="str">
        <f>IFERROR(__xludf.DUMMYFUNCTION("""COMPUTED_VALUE"""),"Player")</f>
        <v>Player</v>
      </c>
      <c r="D16" s="335" t="str">
        <f>IFERROR(__xludf.DUMMYFUNCTION("""COMPUTED_VALUE"""),"5")</f>
        <v>5</v>
      </c>
      <c r="E16" s="327" t="str">
        <f>IFERROR(__xludf.DUMMYFUNCTION("""COMPUTED_VALUE"""),"Whitemon")</f>
        <v>Whitemon</v>
      </c>
      <c r="F16" s="327" t="str">
        <f>IFERROR(__xludf.DUMMYFUNCTION("""COMPUTED_VALUE"""),"Matthew")</f>
        <v>Matthew</v>
      </c>
      <c r="G16" s="327" t="str">
        <f>IFERROR(__xludf.DUMMYFUNCTION("""COMPUTED_VALUE"""),"Filemon")</f>
        <v>Filemon</v>
      </c>
      <c r="H16" s="327" t="str">
        <f>IFERROR(__xludf.DUMMYFUNCTION("""COMPUTED_VALUE"""),"Indonesia")</f>
        <v>Indonesia</v>
      </c>
      <c r="I16" s="329" t="str">
        <f>IFERROR(__xludf.DUMMYFUNCTION("""COMPUTED_VALUE"""),"4")</f>
        <v>4</v>
      </c>
    </row>
    <row r="17">
      <c r="A17" s="186"/>
      <c r="B17" s="325" t="str">
        <f>IFERROR(__xludf.DUMMYFUNCTION("""COMPUTED_VALUE"""),"1W")</f>
        <v>1W</v>
      </c>
      <c r="C17" s="326" t="str">
        <f>IFERROR(__xludf.DUMMYFUNCTION("""COMPUTED_VALUE"""),"Coach")</f>
        <v>Coach</v>
      </c>
      <c r="D17" s="326" t="str">
        <f>IFERROR(__xludf.DUMMYFUNCTION("""COMPUTED_VALUE"""),"Coach")</f>
        <v>Coach</v>
      </c>
      <c r="E17" s="327" t="str">
        <f>IFERROR(__xludf.DUMMYFUNCTION("""COMPUTED_VALUE"""),"MoonMeander")</f>
        <v>MoonMeander</v>
      </c>
      <c r="F17" s="327" t="str">
        <f>IFERROR(__xludf.DUMMYFUNCTION("""COMPUTED_VALUE"""),"David")</f>
        <v>David</v>
      </c>
      <c r="G17" s="327" t="str">
        <f>IFERROR(__xludf.DUMMYFUNCTION("""COMPUTED_VALUE"""),"Tan")</f>
        <v>Tan</v>
      </c>
      <c r="H17" s="327" t="str">
        <f>IFERROR(__xludf.DUMMYFUNCTION("""COMPUTED_VALUE"""),"Canada")</f>
        <v>Canada</v>
      </c>
      <c r="I17" s="330"/>
    </row>
    <row r="18">
      <c r="A18" s="186"/>
      <c r="B18" s="331"/>
      <c r="C18" s="332"/>
      <c r="D18" s="332"/>
      <c r="E18" s="332"/>
      <c r="F18" s="332"/>
      <c r="G18" s="332"/>
      <c r="H18" s="333"/>
      <c r="I18" s="333"/>
    </row>
    <row r="19">
      <c r="A19" s="186"/>
      <c r="B19" s="336" t="str">
        <f>IFERROR(__xludf.DUMMYFUNCTION("""COMPUTED_VALUE"""),"PVISION")</f>
        <v>PVISION</v>
      </c>
      <c r="C19" s="337" t="str">
        <f>IFERROR(__xludf.DUMMYFUNCTION("""COMPUTED_VALUE"""),"Player")</f>
        <v>Player</v>
      </c>
      <c r="D19" s="337">
        <f>IFERROR(__xludf.DUMMYFUNCTION("""COMPUTED_VALUE"""),1.0)</f>
        <v>1</v>
      </c>
      <c r="E19" s="334" t="str">
        <f>IFERROR(__xludf.DUMMYFUNCTION("""COMPUTED_VALUE"""),"Satanic")</f>
        <v>Satanic</v>
      </c>
      <c r="F19" s="334" t="str">
        <f>IFERROR(__xludf.DUMMYFUNCTION("""COMPUTED_VALUE"""),"Alan")</f>
        <v>Alan</v>
      </c>
      <c r="G19" s="334" t="str">
        <f>IFERROR(__xludf.DUMMYFUNCTION("""COMPUTED_VALUE"""),"Gallyamov")</f>
        <v>Gallyamov</v>
      </c>
      <c r="H19" s="327" t="str">
        <f>IFERROR(__xludf.DUMMYFUNCTION("""COMPUTED_VALUE"""),"Russia")</f>
        <v>Russia</v>
      </c>
      <c r="I19" s="329" t="str">
        <f>IFERROR(__xludf.DUMMYFUNCTION("""COMPUTED_VALUE"""),"1")</f>
        <v>1</v>
      </c>
    </row>
    <row r="20">
      <c r="A20" s="186"/>
      <c r="B20" s="338" t="str">
        <f>IFERROR(__xludf.DUMMYFUNCTION("""COMPUTED_VALUE"""),"PVISION")</f>
        <v>PVISION</v>
      </c>
      <c r="C20" s="340" t="str">
        <f>IFERROR(__xludf.DUMMYFUNCTION("""COMPUTED_VALUE"""),"Player")</f>
        <v>Player</v>
      </c>
      <c r="D20" s="340">
        <f>IFERROR(__xludf.DUMMYFUNCTION("""COMPUTED_VALUE"""),2.0)</f>
        <v>2</v>
      </c>
      <c r="E20" s="327" t="str">
        <f>IFERROR(__xludf.DUMMYFUNCTION("""COMPUTED_VALUE"""),"No[o]ne-")</f>
        <v>No[o]ne-</v>
      </c>
      <c r="F20" s="327" t="str">
        <f>IFERROR(__xludf.DUMMYFUNCTION("""COMPUTED_VALUE"""),"Volodymyr ")</f>
        <v>Volodymyr </v>
      </c>
      <c r="G20" s="327" t="str">
        <f>IFERROR(__xludf.DUMMYFUNCTION("""COMPUTED_VALUE"""),"Minenko")</f>
        <v>Minenko</v>
      </c>
      <c r="H20" s="327" t="str">
        <f>IFERROR(__xludf.DUMMYFUNCTION("""COMPUTED_VALUE"""),"Ukraine")</f>
        <v>Ukraine</v>
      </c>
      <c r="I20" s="329" t="str">
        <f>IFERROR(__xludf.DUMMYFUNCTION("""COMPUTED_VALUE"""),"3")</f>
        <v>3</v>
      </c>
    </row>
    <row r="21">
      <c r="A21" s="186"/>
      <c r="B21" s="338" t="str">
        <f>IFERROR(__xludf.DUMMYFUNCTION("""COMPUTED_VALUE"""),"PVISION")</f>
        <v>PVISION</v>
      </c>
      <c r="C21" s="340" t="str">
        <f>IFERROR(__xludf.DUMMYFUNCTION("""COMPUTED_VALUE"""),"Player")</f>
        <v>Player</v>
      </c>
      <c r="D21" s="340">
        <f>IFERROR(__xludf.DUMMYFUNCTION("""COMPUTED_VALUE"""),3.0)</f>
        <v>3</v>
      </c>
      <c r="E21" s="327" t="str">
        <f>IFERROR(__xludf.DUMMYFUNCTION("""COMPUTED_VALUE"""),"Noticed")</f>
        <v>Noticed</v>
      </c>
      <c r="F21" s="327" t="str">
        <f>IFERROR(__xludf.DUMMYFUNCTION("""COMPUTED_VALUE"""),"Ignatenko")</f>
        <v>Ignatenko</v>
      </c>
      <c r="G21" s="327" t="str">
        <f>IFERROR(__xludf.DUMMYFUNCTION("""COMPUTED_VALUE"""),"Evgeniy")</f>
        <v>Evgeniy</v>
      </c>
      <c r="H21" s="327" t="str">
        <f>IFERROR(__xludf.DUMMYFUNCTION("""COMPUTED_VALUE"""),"Russia")</f>
        <v>Russia</v>
      </c>
      <c r="I21" s="329" t="str">
        <f>IFERROR(__xludf.DUMMYFUNCTION("""COMPUTED_VALUE"""),"5")</f>
        <v>5</v>
      </c>
    </row>
    <row r="22">
      <c r="A22" s="186"/>
      <c r="B22" s="338" t="str">
        <f>IFERROR(__xludf.DUMMYFUNCTION("""COMPUTED_VALUE"""),"PVISION")</f>
        <v>PVISION</v>
      </c>
      <c r="C22" s="340" t="str">
        <f>IFERROR(__xludf.DUMMYFUNCTION("""COMPUTED_VALUE"""),"Player")</f>
        <v>Player</v>
      </c>
      <c r="D22" s="340">
        <f>IFERROR(__xludf.DUMMYFUNCTION("""COMPUTED_VALUE"""),4.0)</f>
        <v>4</v>
      </c>
      <c r="E22" s="327" t="str">
        <f>IFERROR(__xludf.DUMMYFUNCTION("""COMPUTED_VALUE"""),"9Class")</f>
        <v>9Class</v>
      </c>
      <c r="F22" s="327" t="str">
        <f>IFERROR(__xludf.DUMMYFUNCTION("""COMPUTED_VALUE"""),"Edgar")</f>
        <v>Edgar</v>
      </c>
      <c r="G22" s="327" t="str">
        <f>IFERROR(__xludf.DUMMYFUNCTION("""COMPUTED_VALUE"""),"Naltakian")</f>
        <v>Naltakian</v>
      </c>
      <c r="H22" s="327" t="str">
        <f>IFERROR(__xludf.DUMMYFUNCTION("""COMPUTED_VALUE"""),"Russia")</f>
        <v>Russia</v>
      </c>
      <c r="I22" s="329" t="str">
        <f>IFERROR(__xludf.DUMMYFUNCTION("""COMPUTED_VALUE"""),"4")</f>
        <v>4</v>
      </c>
    </row>
    <row r="23">
      <c r="A23" s="186"/>
      <c r="B23" s="338" t="str">
        <f>IFERROR(__xludf.DUMMYFUNCTION("""COMPUTED_VALUE"""),"PVISION")</f>
        <v>PVISION</v>
      </c>
      <c r="C23" s="340" t="str">
        <f>IFERROR(__xludf.DUMMYFUNCTION("""COMPUTED_VALUE"""),"Player")</f>
        <v>Player</v>
      </c>
      <c r="D23" s="340">
        <f>IFERROR(__xludf.DUMMYFUNCTION("""COMPUTED_VALUE"""),5.0)</f>
        <v>5</v>
      </c>
      <c r="E23" s="327" t="str">
        <f>IFERROR(__xludf.DUMMYFUNCTION("""COMPUTED_VALUE"""),"Dukalis")</f>
        <v>Dukalis</v>
      </c>
      <c r="F23" s="327" t="str">
        <f>IFERROR(__xludf.DUMMYFUNCTION("""COMPUTED_VALUE"""),"Andrey")</f>
        <v>Andrey</v>
      </c>
      <c r="G23" s="327" t="str">
        <f>IFERROR(__xludf.DUMMYFUNCTION("""COMPUTED_VALUE"""),"Kuropatkin")</f>
        <v>Kuropatkin</v>
      </c>
      <c r="H23" s="327" t="str">
        <f>IFERROR(__xludf.DUMMYFUNCTION("""COMPUTED_VALUE"""),"Russia")</f>
        <v>Russia</v>
      </c>
      <c r="I23" s="329" t="str">
        <f>IFERROR(__xludf.DUMMYFUNCTION("""COMPUTED_VALUE"""),"2")</f>
        <v>2</v>
      </c>
    </row>
    <row r="24">
      <c r="A24" s="186"/>
      <c r="B24" s="338" t="str">
        <f>IFERROR(__xludf.DUMMYFUNCTION("""COMPUTED_VALUE"""),"PVISION")</f>
        <v>PVISION</v>
      </c>
      <c r="C24" s="340" t="str">
        <f>IFERROR(__xludf.DUMMYFUNCTION("""COMPUTED_VALUE"""),"Coach")</f>
        <v>Coach</v>
      </c>
      <c r="D24" s="340" t="str">
        <f>IFERROR(__xludf.DUMMYFUNCTION("""COMPUTED_VALUE"""),"Coach")</f>
        <v>Coach</v>
      </c>
      <c r="E24" s="327" t="str">
        <f>IFERROR(__xludf.DUMMYFUNCTION("""COMPUTED_VALUE"""),"Puppey")</f>
        <v>Puppey</v>
      </c>
      <c r="F24" s="327" t="str">
        <f>IFERROR(__xludf.DUMMYFUNCTION("""COMPUTED_VALUE"""),"Clement")</f>
        <v>Clement</v>
      </c>
      <c r="G24" s="327" t="str">
        <f>IFERROR(__xludf.DUMMYFUNCTION("""COMPUTED_VALUE"""),"Ivanov")</f>
        <v>Ivanov</v>
      </c>
      <c r="H24" s="327" t="str">
        <f>IFERROR(__xludf.DUMMYFUNCTION("""COMPUTED_VALUE"""),"Estonia")</f>
        <v>Estonia</v>
      </c>
      <c r="I24" s="330"/>
    </row>
    <row r="25">
      <c r="A25" s="186"/>
      <c r="B25" s="331" t="str">
        <f>IFERROR(__xludf.DUMMYFUNCTION("""COMPUTED_VALUE"""),"PVISION")</f>
        <v>PVISION</v>
      </c>
      <c r="C25" s="332" t="str">
        <f>IFERROR(__xludf.DUMMYFUNCTION("""COMPUTED_VALUE"""),"Standin")</f>
        <v>Standin</v>
      </c>
      <c r="D25" s="332">
        <f>IFERROR(__xludf.DUMMYFUNCTION("""COMPUTED_VALUE"""),5.0)</f>
        <v>5</v>
      </c>
      <c r="E25" s="342" t="str">
        <f>IFERROR(__xludf.DUMMYFUNCTION("""COMPUTED_VALUE"""),"Tobi")</f>
        <v>Tobi</v>
      </c>
      <c r="F25" s="342" t="str">
        <f>IFERROR(__xludf.DUMMYFUNCTION("""COMPUTED_VALUE"""),"Tobias")</f>
        <v>Tobias</v>
      </c>
      <c r="G25" s="342" t="str">
        <f>IFERROR(__xludf.DUMMYFUNCTION("""COMPUTED_VALUE"""),"Buchner")</f>
        <v>Buchner</v>
      </c>
      <c r="H25" s="343" t="str">
        <f>IFERROR(__xludf.DUMMYFUNCTION("""COMPUTED_VALUE"""),"Austria")</f>
        <v>Austria</v>
      </c>
      <c r="I25" s="333"/>
    </row>
    <row r="26">
      <c r="A26" s="186"/>
      <c r="B26" s="336"/>
      <c r="C26" s="337"/>
      <c r="D26" s="337"/>
      <c r="E26" s="334"/>
      <c r="F26" s="334"/>
      <c r="G26" s="334"/>
      <c r="H26" s="327"/>
      <c r="I26" s="330"/>
    </row>
    <row r="27">
      <c r="A27" s="186"/>
      <c r="B27" s="338" t="str">
        <f>IFERROR(__xludf.DUMMYFUNCTION("""COMPUTED_VALUE"""),"Aurora Gaming")</f>
        <v>Aurora Gaming</v>
      </c>
      <c r="C27" s="340" t="str">
        <f>IFERROR(__xludf.DUMMYFUNCTION("""COMPUTED_VALUE"""),"Player")</f>
        <v>Player</v>
      </c>
      <c r="D27" s="340">
        <f>IFERROR(__xludf.DUMMYFUNCTION("""COMPUTED_VALUE"""),1.0)</f>
        <v>1</v>
      </c>
      <c r="E27" s="327" t="str">
        <f>IFERROR(__xludf.DUMMYFUNCTION("""COMPUTED_VALUE"""),"Nightfall")</f>
        <v>Nightfall</v>
      </c>
      <c r="F27" s="327" t="str">
        <f>IFERROR(__xludf.DUMMYFUNCTION("""COMPUTED_VALUE"""),"Egor")</f>
        <v>Egor</v>
      </c>
      <c r="G27" s="327" t="str">
        <f>IFERROR(__xludf.DUMMYFUNCTION("""COMPUTED_VALUE"""),"Grigorenko")</f>
        <v>Grigorenko</v>
      </c>
      <c r="H27" s="327" t="str">
        <f>IFERROR(__xludf.DUMMYFUNCTION("""COMPUTED_VALUE"""),"Russia")</f>
        <v>Russia</v>
      </c>
      <c r="I27" s="329" t="str">
        <f>IFERROR(__xludf.DUMMYFUNCTION("""COMPUTED_VALUE"""),"5")</f>
        <v>5</v>
      </c>
    </row>
    <row r="28">
      <c r="A28" s="186"/>
      <c r="B28" s="338" t="str">
        <f>IFERROR(__xludf.DUMMYFUNCTION("""COMPUTED_VALUE"""),"Aurora Gaming")</f>
        <v>Aurora Gaming</v>
      </c>
      <c r="C28" s="340" t="str">
        <f>IFERROR(__xludf.DUMMYFUNCTION("""COMPUTED_VALUE"""),"Player")</f>
        <v>Player</v>
      </c>
      <c r="D28" s="340">
        <f>IFERROR(__xludf.DUMMYFUNCTION("""COMPUTED_VALUE"""),2.0)</f>
        <v>2</v>
      </c>
      <c r="E28" s="327" t="str">
        <f>IFERROR(__xludf.DUMMYFUNCTION("""COMPUTED_VALUE"""),"Mikoto")</f>
        <v>Mikoto</v>
      </c>
      <c r="F28" s="327" t="str">
        <f>IFERROR(__xludf.DUMMYFUNCTION("""COMPUTED_VALUE"""),"Rafli")</f>
        <v>Rafli</v>
      </c>
      <c r="G28" s="327" t="str">
        <f>IFERROR(__xludf.DUMMYFUNCTION("""COMPUTED_VALUE"""),"Fathurrahman")</f>
        <v>Fathurrahman</v>
      </c>
      <c r="H28" s="327" t="str">
        <f>IFERROR(__xludf.DUMMYFUNCTION("""COMPUTED_VALUE"""),"Indonesia")</f>
        <v>Indonesia</v>
      </c>
      <c r="I28" s="329" t="str">
        <f>IFERROR(__xludf.DUMMYFUNCTION("""COMPUTED_VALUE"""),"3")</f>
        <v>3</v>
      </c>
    </row>
    <row r="29">
      <c r="A29" s="186"/>
      <c r="B29" s="338" t="str">
        <f>IFERROR(__xludf.DUMMYFUNCTION("""COMPUTED_VALUE"""),"Aurora Gaming")</f>
        <v>Aurora Gaming</v>
      </c>
      <c r="C29" s="340" t="str">
        <f>IFERROR(__xludf.DUMMYFUNCTION("""COMPUTED_VALUE"""),"Player")</f>
        <v>Player</v>
      </c>
      <c r="D29" s="340">
        <f>IFERROR(__xludf.DUMMYFUNCTION("""COMPUTED_VALUE"""),3.0)</f>
        <v>3</v>
      </c>
      <c r="E29" s="327" t="str">
        <f>IFERROR(__xludf.DUMMYFUNCTION("""COMPUTED_VALUE"""),"Ws`")</f>
        <v>Ws`</v>
      </c>
      <c r="F29" s="327" t="str">
        <f>IFERROR(__xludf.DUMMYFUNCTION("""COMPUTED_VALUE"""),"Wei Shan")</f>
        <v>Wei Shan</v>
      </c>
      <c r="G29" s="327" t="str">
        <f>IFERROR(__xludf.DUMMYFUNCTION("""COMPUTED_VALUE"""),"Chung")</f>
        <v>Chung</v>
      </c>
      <c r="H29" s="327" t="str">
        <f>IFERROR(__xludf.DUMMYFUNCTION("""COMPUTED_VALUE"""),"Malaysia")</f>
        <v>Malaysia</v>
      </c>
      <c r="I29" s="329" t="str">
        <f>IFERROR(__xludf.DUMMYFUNCTION("""COMPUTED_VALUE"""),"1")</f>
        <v>1</v>
      </c>
    </row>
    <row r="30">
      <c r="A30" s="186"/>
      <c r="B30" s="338" t="str">
        <f>IFERROR(__xludf.DUMMYFUNCTION("""COMPUTED_VALUE"""),"Aurora Gaming")</f>
        <v>Aurora Gaming</v>
      </c>
      <c r="C30" s="340" t="str">
        <f>IFERROR(__xludf.DUMMYFUNCTION("""COMPUTED_VALUE"""),"Player")</f>
        <v>Player</v>
      </c>
      <c r="D30" s="340">
        <f>IFERROR(__xludf.DUMMYFUNCTION("""COMPUTED_VALUE"""),4.0)</f>
        <v>4</v>
      </c>
      <c r="E30" s="327" t="str">
        <f>IFERROR(__xludf.DUMMYFUNCTION("""COMPUTED_VALUE"""),"Mira")</f>
        <v>Mira</v>
      </c>
      <c r="F30" s="327" t="str">
        <f>IFERROR(__xludf.DUMMYFUNCTION("""COMPUTED_VALUE"""),"Myroslav")</f>
        <v>Myroslav</v>
      </c>
      <c r="G30" s="327" t="str">
        <f>IFERROR(__xludf.DUMMYFUNCTION("""COMPUTED_VALUE"""),"Kolpakov")</f>
        <v>Kolpakov</v>
      </c>
      <c r="H30" s="327" t="str">
        <f>IFERROR(__xludf.DUMMYFUNCTION("""COMPUTED_VALUE"""),"Ukraine")</f>
        <v>Ukraine</v>
      </c>
      <c r="I30" s="329" t="str">
        <f>IFERROR(__xludf.DUMMYFUNCTION("""COMPUTED_VALUE"""),"2")</f>
        <v>2</v>
      </c>
    </row>
    <row r="31">
      <c r="A31" s="186"/>
      <c r="B31" s="338" t="str">
        <f>IFERROR(__xludf.DUMMYFUNCTION("""COMPUTED_VALUE"""),"Aurora Gaming")</f>
        <v>Aurora Gaming</v>
      </c>
      <c r="C31" s="340" t="str">
        <f>IFERROR(__xludf.DUMMYFUNCTION("""COMPUTED_VALUE"""),"Player")</f>
        <v>Player</v>
      </c>
      <c r="D31" s="340">
        <f>IFERROR(__xludf.DUMMYFUNCTION("""COMPUTED_VALUE"""),5.0)</f>
        <v>5</v>
      </c>
      <c r="E31" s="327" t="str">
        <f>IFERROR(__xludf.DUMMYFUNCTION("""COMPUTED_VALUE"""),"kaori")</f>
        <v>kaori</v>
      </c>
      <c r="F31" s="327" t="str">
        <f>IFERROR(__xludf.DUMMYFUNCTION("""COMPUTED_VALUE"""),"Oleh")</f>
        <v>Oleh</v>
      </c>
      <c r="G31" s="327" t="str">
        <f>IFERROR(__xludf.DUMMYFUNCTION("""COMPUTED_VALUE"""),"Medvedok")</f>
        <v>Medvedok</v>
      </c>
      <c r="H31" s="327" t="str">
        <f>IFERROR(__xludf.DUMMYFUNCTION("""COMPUTED_VALUE"""),"Ukraine")</f>
        <v>Ukraine</v>
      </c>
      <c r="I31" s="329" t="str">
        <f>IFERROR(__xludf.DUMMYFUNCTION("""COMPUTED_VALUE"""),"4")</f>
        <v>4</v>
      </c>
    </row>
    <row r="32">
      <c r="A32" s="186"/>
      <c r="B32" s="331" t="str">
        <f>IFERROR(__xludf.DUMMYFUNCTION("""COMPUTED_VALUE"""),"Aurora Gaming")</f>
        <v>Aurora Gaming</v>
      </c>
      <c r="C32" s="332" t="str">
        <f>IFERROR(__xludf.DUMMYFUNCTION("""COMPUTED_VALUE"""),"Coach")</f>
        <v>Coach</v>
      </c>
      <c r="D32" s="332" t="str">
        <f>IFERROR(__xludf.DUMMYFUNCTION("""COMPUTED_VALUE"""),"Coach")</f>
        <v>Coach</v>
      </c>
      <c r="E32" s="342" t="str">
        <f>IFERROR(__xludf.DUMMYFUNCTION("""COMPUTED_VALUE"""),"kpii")</f>
        <v>kpii</v>
      </c>
      <c r="F32" s="342" t="str">
        <f>IFERROR(__xludf.DUMMYFUNCTION("""COMPUTED_VALUE"""),"Damien")</f>
        <v>Damien</v>
      </c>
      <c r="G32" s="342" t="str">
        <f>IFERROR(__xludf.DUMMYFUNCTION("""COMPUTED_VALUE"""),"Chok")</f>
        <v>Chok</v>
      </c>
      <c r="H32" s="343" t="str">
        <f>IFERROR(__xludf.DUMMYFUNCTION("""COMPUTED_VALUE"""),"Australia")</f>
        <v>Australia</v>
      </c>
      <c r="I32" s="333"/>
    </row>
    <row r="33">
      <c r="A33" s="186"/>
      <c r="B33" s="336"/>
      <c r="C33" s="337"/>
      <c r="D33" s="337"/>
      <c r="E33" s="334"/>
      <c r="F33" s="334"/>
      <c r="G33" s="334"/>
      <c r="H33" s="327"/>
      <c r="I33" s="330"/>
    </row>
    <row r="34">
      <c r="A34" s="186"/>
      <c r="B34" s="338" t="str">
        <f>IFERROR(__xludf.DUMMYFUNCTION("""COMPUTED_VALUE"""),"Xtreme Gaming")</f>
        <v>Xtreme Gaming</v>
      </c>
      <c r="C34" s="340" t="str">
        <f>IFERROR(__xludf.DUMMYFUNCTION("""COMPUTED_VALUE"""),"Player")</f>
        <v>Player</v>
      </c>
      <c r="D34" s="340">
        <f>IFERROR(__xludf.DUMMYFUNCTION("""COMPUTED_VALUE"""),1.0)</f>
        <v>1</v>
      </c>
      <c r="E34" s="327" t="str">
        <f>IFERROR(__xludf.DUMMYFUNCTION("""COMPUTED_VALUE"""),"Ame")</f>
        <v>Ame</v>
      </c>
      <c r="F34" s="327" t="str">
        <f>IFERROR(__xludf.DUMMYFUNCTION("""COMPUTED_VALUE"""),"Chunyu")</f>
        <v>Chunyu</v>
      </c>
      <c r="G34" s="327" t="str">
        <f>IFERROR(__xludf.DUMMYFUNCTION("""COMPUTED_VALUE"""),"Wang")</f>
        <v>Wang</v>
      </c>
      <c r="H34" s="327" t="str">
        <f>IFERROR(__xludf.DUMMYFUNCTION("""COMPUTED_VALUE"""),"China")</f>
        <v>China</v>
      </c>
      <c r="I34" s="329" t="str">
        <f>IFERROR(__xludf.DUMMYFUNCTION("""COMPUTED_VALUE"""),"1")</f>
        <v>1</v>
      </c>
    </row>
    <row r="35">
      <c r="A35" s="186"/>
      <c r="B35" s="338" t="str">
        <f>IFERROR(__xludf.DUMMYFUNCTION("""COMPUTED_VALUE"""),"Xtreme Gaming")</f>
        <v>Xtreme Gaming</v>
      </c>
      <c r="C35" s="340" t="str">
        <f>IFERROR(__xludf.DUMMYFUNCTION("""COMPUTED_VALUE"""),"Player")</f>
        <v>Player</v>
      </c>
      <c r="D35" s="340">
        <f>IFERROR(__xludf.DUMMYFUNCTION("""COMPUTED_VALUE"""),2.0)</f>
        <v>2</v>
      </c>
      <c r="E35" s="327" t="str">
        <f>IFERROR(__xludf.DUMMYFUNCTION("""COMPUTED_VALUE"""),"NothingToSay")</f>
        <v>NothingToSay</v>
      </c>
      <c r="F35" s="327" t="str">
        <f>IFERROR(__xludf.DUMMYFUNCTION("""COMPUTED_VALUE"""),"Jin Xiang")</f>
        <v>Jin Xiang</v>
      </c>
      <c r="G35" s="327" t="str">
        <f>IFERROR(__xludf.DUMMYFUNCTION("""COMPUTED_VALUE"""),"Cheng")</f>
        <v>Cheng</v>
      </c>
      <c r="H35" s="327" t="str">
        <f>IFERROR(__xludf.DUMMYFUNCTION("""COMPUTED_VALUE"""),"Malaysia")</f>
        <v>Malaysia</v>
      </c>
      <c r="I35" s="329" t="str">
        <f>IFERROR(__xludf.DUMMYFUNCTION("""COMPUTED_VALUE"""),"3")</f>
        <v>3</v>
      </c>
    </row>
    <row r="36">
      <c r="A36" s="186"/>
      <c r="B36" s="338" t="str">
        <f>IFERROR(__xludf.DUMMYFUNCTION("""COMPUTED_VALUE"""),"Xtreme Gaming")</f>
        <v>Xtreme Gaming</v>
      </c>
      <c r="C36" s="340" t="str">
        <f>IFERROR(__xludf.DUMMYFUNCTION("""COMPUTED_VALUE"""),"Player")</f>
        <v>Player</v>
      </c>
      <c r="D36" s="340">
        <f>IFERROR(__xludf.DUMMYFUNCTION("""COMPUTED_VALUE"""),3.0)</f>
        <v>3</v>
      </c>
      <c r="E36" s="327" t="str">
        <f>IFERROR(__xludf.DUMMYFUNCTION("""COMPUTED_VALUE"""),"Xxs")</f>
        <v>Xxs</v>
      </c>
      <c r="F36" s="327" t="str">
        <f>IFERROR(__xludf.DUMMYFUNCTION("""COMPUTED_VALUE"""),"Jing")</f>
        <v>Jing</v>
      </c>
      <c r="G36" s="327" t="str">
        <f>IFERROR(__xludf.DUMMYFUNCTION("""COMPUTED_VALUE"""),"Lin")</f>
        <v>Lin</v>
      </c>
      <c r="H36" s="327" t="str">
        <f>IFERROR(__xludf.DUMMYFUNCTION("""COMPUTED_VALUE"""),"CHINA")</f>
        <v>CHINA</v>
      </c>
      <c r="I36" s="329" t="str">
        <f>IFERROR(__xludf.DUMMYFUNCTION("""COMPUTED_VALUE"""),"5")</f>
        <v>5</v>
      </c>
    </row>
    <row r="37">
      <c r="A37" s="186"/>
      <c r="B37" s="338" t="str">
        <f>IFERROR(__xludf.DUMMYFUNCTION("""COMPUTED_VALUE"""),"Xtreme Gaming")</f>
        <v>Xtreme Gaming</v>
      </c>
      <c r="C37" s="340" t="str">
        <f>IFERROR(__xludf.DUMMYFUNCTION("""COMPUTED_VALUE"""),"Player")</f>
        <v>Player</v>
      </c>
      <c r="D37" s="340">
        <f>IFERROR(__xludf.DUMMYFUNCTION("""COMPUTED_VALUE"""),4.0)</f>
        <v>4</v>
      </c>
      <c r="E37" s="327" t="str">
        <f>IFERROR(__xludf.DUMMYFUNCTION("""COMPUTED_VALUE"""),"fy")</f>
        <v>fy</v>
      </c>
      <c r="F37" s="327" t="str">
        <f>IFERROR(__xludf.DUMMYFUNCTION("""COMPUTED_VALUE"""),"Linsen")</f>
        <v>Linsen</v>
      </c>
      <c r="G37" s="327" t="str">
        <f>IFERROR(__xludf.DUMMYFUNCTION("""COMPUTED_VALUE"""),"Xu")</f>
        <v>Xu</v>
      </c>
      <c r="H37" s="327" t="str">
        <f>IFERROR(__xludf.DUMMYFUNCTION("""COMPUTED_VALUE"""),"China")</f>
        <v>China</v>
      </c>
      <c r="I37" s="329" t="str">
        <f>IFERROR(__xludf.DUMMYFUNCTION("""COMPUTED_VALUE"""),"4")</f>
        <v>4</v>
      </c>
    </row>
    <row r="38">
      <c r="A38" s="186"/>
      <c r="B38" s="338" t="str">
        <f>IFERROR(__xludf.DUMMYFUNCTION("""COMPUTED_VALUE"""),"Xtreme Gaming")</f>
        <v>Xtreme Gaming</v>
      </c>
      <c r="C38" s="340" t="str">
        <f>IFERROR(__xludf.DUMMYFUNCTION("""COMPUTED_VALUE"""),"Player")</f>
        <v>Player</v>
      </c>
      <c r="D38" s="340">
        <f>IFERROR(__xludf.DUMMYFUNCTION("""COMPUTED_VALUE"""),5.0)</f>
        <v>5</v>
      </c>
      <c r="E38" s="327" t="str">
        <f>IFERROR(__xludf.DUMMYFUNCTION("""COMPUTED_VALUE"""),"xNova")</f>
        <v>xNova</v>
      </c>
      <c r="F38" s="327" t="str">
        <f>IFERROR(__xludf.DUMMYFUNCTION("""COMPUTED_VALUE"""),"Jian Wei")</f>
        <v>Jian Wei</v>
      </c>
      <c r="G38" s="327" t="str">
        <f>IFERROR(__xludf.DUMMYFUNCTION("""COMPUTED_VALUE"""),"Yap")</f>
        <v>Yap</v>
      </c>
      <c r="H38" s="327" t="str">
        <f>IFERROR(__xludf.DUMMYFUNCTION("""COMPUTED_VALUE"""),"Malaysia")</f>
        <v>Malaysia</v>
      </c>
      <c r="I38" s="329" t="str">
        <f>IFERROR(__xludf.DUMMYFUNCTION("""COMPUTED_VALUE"""),"2")</f>
        <v>2</v>
      </c>
    </row>
    <row r="39">
      <c r="A39" s="186"/>
      <c r="B39" s="331" t="str">
        <f>IFERROR(__xludf.DUMMYFUNCTION("""COMPUTED_VALUE"""),"Xtreme Gaming")</f>
        <v>Xtreme Gaming</v>
      </c>
      <c r="C39" s="332" t="str">
        <f>IFERROR(__xludf.DUMMYFUNCTION("""COMPUTED_VALUE"""),"Coach")</f>
        <v>Coach</v>
      </c>
      <c r="D39" s="332" t="str">
        <f>IFERROR(__xludf.DUMMYFUNCTION("""COMPUTED_VALUE"""),"Coach")</f>
        <v>Coach</v>
      </c>
      <c r="E39" s="342" t="str">
        <f>IFERROR(__xludf.DUMMYFUNCTION("""COMPUTED_VALUE"""),"maps")</f>
        <v>maps</v>
      </c>
      <c r="F39" s="342" t="str">
        <f>IFERROR(__xludf.DUMMYFUNCTION("""COMPUTED_VALUE"""),"Yutian")</f>
        <v>Yutian</v>
      </c>
      <c r="G39" s="342" t="str">
        <f>IFERROR(__xludf.DUMMYFUNCTION("""COMPUTED_VALUE"""),"Wang")</f>
        <v>Wang</v>
      </c>
      <c r="H39" s="343" t="str">
        <f>IFERROR(__xludf.DUMMYFUNCTION("""COMPUTED_VALUE"""),"China")</f>
        <v>China</v>
      </c>
      <c r="I39" s="333"/>
    </row>
    <row r="40">
      <c r="A40" s="186"/>
      <c r="B40" s="336"/>
      <c r="C40" s="337"/>
      <c r="D40" s="337"/>
      <c r="E40" s="334"/>
      <c r="F40" s="334"/>
      <c r="G40" s="334"/>
      <c r="H40" s="327"/>
      <c r="I40" s="330"/>
    </row>
    <row r="41">
      <c r="A41" s="186"/>
      <c r="B41" s="338" t="str">
        <f>IFERROR(__xludf.DUMMYFUNCTION("""COMPUTED_VALUE"""),"Team Yandex")</f>
        <v>Team Yandex</v>
      </c>
      <c r="C41" s="340" t="str">
        <f>IFERROR(__xludf.DUMMYFUNCTION("""COMPUTED_VALUE"""),"Player")</f>
        <v>Player</v>
      </c>
      <c r="D41" s="340">
        <f>IFERROR(__xludf.DUMMYFUNCTION("""COMPUTED_VALUE"""),1.0)</f>
        <v>1</v>
      </c>
      <c r="E41" s="327" t="str">
        <f>IFERROR(__xludf.DUMMYFUNCTION("""COMPUTED_VALUE"""),"watson")</f>
        <v>watson</v>
      </c>
      <c r="F41" s="327" t="str">
        <f>IFERROR(__xludf.DUMMYFUNCTION("""COMPUTED_VALUE"""),"Alimzhan")</f>
        <v>Alimzhan</v>
      </c>
      <c r="G41" s="327" t="str">
        <f>IFERROR(__xludf.DUMMYFUNCTION("""COMPUTED_VALUE"""),"Islambekov")</f>
        <v>Islambekov</v>
      </c>
      <c r="H41" s="327" t="str">
        <f>IFERROR(__xludf.DUMMYFUNCTION("""COMPUTED_VALUE"""),"Kazakhstan")</f>
        <v>Kazakhstan</v>
      </c>
      <c r="I41" s="329" t="str">
        <f>IFERROR(__xludf.DUMMYFUNCTION("""COMPUTED_VALUE"""),"1")</f>
        <v>1</v>
      </c>
    </row>
    <row r="42">
      <c r="A42" s="186"/>
      <c r="B42" s="338" t="str">
        <f>IFERROR(__xludf.DUMMYFUNCTION("""COMPUTED_VALUE"""),"Team Yandex")</f>
        <v>Team Yandex</v>
      </c>
      <c r="C42" s="340" t="str">
        <f>IFERROR(__xludf.DUMMYFUNCTION("""COMPUTED_VALUE"""),"Player")</f>
        <v>Player</v>
      </c>
      <c r="D42" s="340">
        <f>IFERROR(__xludf.DUMMYFUNCTION("""COMPUTED_VALUE"""),2.0)</f>
        <v>2</v>
      </c>
      <c r="E42" s="327" t="str">
        <f>IFERROR(__xludf.DUMMYFUNCTION("""COMPUTED_VALUE"""),"CHIRA_JUNIOR")</f>
        <v>CHIRA_JUNIOR</v>
      </c>
      <c r="F42" s="327" t="str">
        <f>IFERROR(__xludf.DUMMYFUNCTION("""COMPUTED_VALUE"""),"Ilya")</f>
        <v>Ilya</v>
      </c>
      <c r="G42" s="327" t="str">
        <f>IFERROR(__xludf.DUMMYFUNCTION("""COMPUTED_VALUE"""),"Chirtsov")</f>
        <v>Chirtsov</v>
      </c>
      <c r="H42" s="327" t="str">
        <f>IFERROR(__xludf.DUMMYFUNCTION("""COMPUTED_VALUE"""),"Russia")</f>
        <v>Russia</v>
      </c>
      <c r="I42" s="329" t="str">
        <f>IFERROR(__xludf.DUMMYFUNCTION("""COMPUTED_VALUE"""),"3")</f>
        <v>3</v>
      </c>
    </row>
    <row r="43">
      <c r="A43" s="186"/>
      <c r="B43" s="338" t="str">
        <f>IFERROR(__xludf.DUMMYFUNCTION("""COMPUTED_VALUE"""),"Team Yandex")</f>
        <v>Team Yandex</v>
      </c>
      <c r="C43" s="340" t="str">
        <f>IFERROR(__xludf.DUMMYFUNCTION("""COMPUTED_VALUE"""),"Player")</f>
        <v>Player</v>
      </c>
      <c r="D43" s="340">
        <f>IFERROR(__xludf.DUMMYFUNCTION("""COMPUTED_VALUE"""),3.0)</f>
        <v>3</v>
      </c>
      <c r="E43" s="327" t="str">
        <f>IFERROR(__xludf.DUMMYFUNCTION("""COMPUTED_VALUE"""),"DM")</f>
        <v>DM</v>
      </c>
      <c r="F43" s="327" t="str">
        <f>IFERROR(__xludf.DUMMYFUNCTION("""COMPUTED_VALUE"""),"Dmitry")</f>
        <v>Dmitry</v>
      </c>
      <c r="G43" s="327" t="str">
        <f>IFERROR(__xludf.DUMMYFUNCTION("""COMPUTED_VALUE"""),"Dorokhin")</f>
        <v>Dorokhin</v>
      </c>
      <c r="H43" s="327" t="str">
        <f>IFERROR(__xludf.DUMMYFUNCTION("""COMPUTED_VALUE"""),"Russia")</f>
        <v>Russia</v>
      </c>
      <c r="I43" s="329" t="str">
        <f>IFERROR(__xludf.DUMMYFUNCTION("""COMPUTED_VALUE"""),"4")</f>
        <v>4</v>
      </c>
    </row>
    <row r="44">
      <c r="A44" s="186"/>
      <c r="B44" s="338" t="str">
        <f>IFERROR(__xludf.DUMMYFUNCTION("""COMPUTED_VALUE"""),"Team Yandex")</f>
        <v>Team Yandex</v>
      </c>
      <c r="C44" s="340" t="str">
        <f>IFERROR(__xludf.DUMMYFUNCTION("""COMPUTED_VALUE"""),"Player")</f>
        <v>Player</v>
      </c>
      <c r="D44" s="340">
        <f>IFERROR(__xludf.DUMMYFUNCTION("""COMPUTED_VALUE"""),4.0)</f>
        <v>4</v>
      </c>
      <c r="E44" s="327" t="str">
        <f>IFERROR(__xludf.DUMMYFUNCTION("""COMPUTED_VALUE"""),"Saksa")</f>
        <v>Saksa</v>
      </c>
      <c r="F44" s="327" t="str">
        <f>IFERROR(__xludf.DUMMYFUNCTION("""COMPUTED_VALUE"""),"Martin")</f>
        <v>Martin</v>
      </c>
      <c r="G44" s="327" t="str">
        <f>IFERROR(__xludf.DUMMYFUNCTION("""COMPUTED_VALUE"""),"Sazdov")</f>
        <v>Sazdov</v>
      </c>
      <c r="H44" s="327" t="str">
        <f>IFERROR(__xludf.DUMMYFUNCTION("""COMPUTED_VALUE"""),"North Macedonia")</f>
        <v>North Macedonia</v>
      </c>
      <c r="I44" s="329" t="str">
        <f>IFERROR(__xludf.DUMMYFUNCTION("""COMPUTED_VALUE"""),"5")</f>
        <v>5</v>
      </c>
    </row>
    <row r="45">
      <c r="A45" s="186"/>
      <c r="B45" s="338" t="str">
        <f>IFERROR(__xludf.DUMMYFUNCTION("""COMPUTED_VALUE"""),"Team Yandex")</f>
        <v>Team Yandex</v>
      </c>
      <c r="C45" s="340" t="str">
        <f>IFERROR(__xludf.DUMMYFUNCTION("""COMPUTED_VALUE"""),"Player")</f>
        <v>Player</v>
      </c>
      <c r="D45" s="340">
        <f>IFERROR(__xludf.DUMMYFUNCTION("""COMPUTED_VALUE"""),5.0)</f>
        <v>5</v>
      </c>
      <c r="E45" s="327" t="str">
        <f>IFERROR(__xludf.DUMMYFUNCTION("""COMPUTED_VALUE"""),"Malady")</f>
        <v>Malady</v>
      </c>
      <c r="F45" s="327" t="str">
        <f>IFERROR(__xludf.DUMMYFUNCTION("""COMPUTED_VALUE"""),"Arman")</f>
        <v>Arman</v>
      </c>
      <c r="G45" s="327" t="str">
        <f>IFERROR(__xludf.DUMMYFUNCTION("""COMPUTED_VALUE"""),"Orazbayev")</f>
        <v>Orazbayev</v>
      </c>
      <c r="H45" s="327" t="str">
        <f>IFERROR(__xludf.DUMMYFUNCTION("""COMPUTED_VALUE"""),"Kazakhstan")</f>
        <v>Kazakhstan</v>
      </c>
      <c r="I45" s="329" t="str">
        <f>IFERROR(__xludf.DUMMYFUNCTION("""COMPUTED_VALUE"""),"2")</f>
        <v>2</v>
      </c>
    </row>
    <row r="46">
      <c r="A46" s="186"/>
      <c r="B46" s="331" t="str">
        <f>IFERROR(__xludf.DUMMYFUNCTION("""COMPUTED_VALUE"""),"Team Yandex")</f>
        <v>Team Yandex</v>
      </c>
      <c r="C46" s="332" t="str">
        <f>IFERROR(__xludf.DUMMYFUNCTION("""COMPUTED_VALUE"""),"Coach")</f>
        <v>Coach</v>
      </c>
      <c r="D46" s="332" t="str">
        <f>IFERROR(__xludf.DUMMYFUNCTION("""COMPUTED_VALUE"""),"Coach")</f>
        <v>Coach</v>
      </c>
      <c r="E46" s="342" t="str">
        <f>IFERROR(__xludf.DUMMYFUNCTION("""COMPUTED_VALUE"""),"Accell")</f>
        <v>Accell</v>
      </c>
      <c r="F46" s="342" t="str">
        <f>IFERROR(__xludf.DUMMYFUNCTION("""COMPUTED_VALUE"""),"Alexander")</f>
        <v>Alexander</v>
      </c>
      <c r="G46" s="342" t="str">
        <f>IFERROR(__xludf.DUMMYFUNCTION("""COMPUTED_VALUE"""),"Litvinenko")</f>
        <v>Litvinenko</v>
      </c>
      <c r="H46" s="343" t="str">
        <f>IFERROR(__xludf.DUMMYFUNCTION("""COMPUTED_VALUE"""),"Russia")</f>
        <v>Russia</v>
      </c>
      <c r="I46" s="333"/>
    </row>
    <row r="47">
      <c r="A47" s="186"/>
      <c r="B47" s="336"/>
      <c r="C47" s="337"/>
      <c r="D47" s="337"/>
      <c r="E47" s="334"/>
      <c r="F47" s="334"/>
      <c r="G47" s="334"/>
      <c r="H47" s="327"/>
      <c r="I47" s="330"/>
    </row>
    <row r="48">
      <c r="A48" s="186"/>
      <c r="B48" s="338" t="str">
        <f>IFERROR(__xludf.DUMMYFUNCTION("""COMPUTED_VALUE"""),"Team Falcons")</f>
        <v>Team Falcons</v>
      </c>
      <c r="C48" s="340" t="str">
        <f>IFERROR(__xludf.DUMMYFUNCTION("""COMPUTED_VALUE"""),"Player")</f>
        <v>Player</v>
      </c>
      <c r="D48" s="340">
        <f>IFERROR(__xludf.DUMMYFUNCTION("""COMPUTED_VALUE"""),1.0)</f>
        <v>1</v>
      </c>
      <c r="E48" s="327" t="str">
        <f>IFERROR(__xludf.DUMMYFUNCTION("""COMPUTED_VALUE"""),"Skiter")</f>
        <v>Skiter</v>
      </c>
      <c r="F48" s="327" t="str">
        <f>IFERROR(__xludf.DUMMYFUNCTION("""COMPUTED_VALUE"""),"Oliver")</f>
        <v>Oliver</v>
      </c>
      <c r="G48" s="327" t="str">
        <f>IFERROR(__xludf.DUMMYFUNCTION("""COMPUTED_VALUE"""),"Lepko")</f>
        <v>Lepko</v>
      </c>
      <c r="H48" s="327" t="str">
        <f>IFERROR(__xludf.DUMMYFUNCTION("""COMPUTED_VALUE"""),"Slovakia")</f>
        <v>Slovakia</v>
      </c>
      <c r="I48" s="329" t="str">
        <f>IFERROR(__xludf.DUMMYFUNCTION("""COMPUTED_VALUE"""),"4")</f>
        <v>4</v>
      </c>
    </row>
    <row r="49">
      <c r="A49" s="186"/>
      <c r="B49" s="338" t="str">
        <f>IFERROR(__xludf.DUMMYFUNCTION("""COMPUTED_VALUE"""),"Team Falcons")</f>
        <v>Team Falcons</v>
      </c>
      <c r="C49" s="340" t="str">
        <f>IFERROR(__xludf.DUMMYFUNCTION("""COMPUTED_VALUE"""),"Player")</f>
        <v>Player</v>
      </c>
      <c r="D49" s="340">
        <f>IFERROR(__xludf.DUMMYFUNCTION("""COMPUTED_VALUE"""),2.0)</f>
        <v>2</v>
      </c>
      <c r="E49" s="327" t="str">
        <f>IFERROR(__xludf.DUMMYFUNCTION("""COMPUTED_VALUE"""),"Malr1ne")</f>
        <v>Malr1ne</v>
      </c>
      <c r="F49" s="327" t="str">
        <f>IFERROR(__xludf.DUMMYFUNCTION("""COMPUTED_VALUE"""),"Stanislav")</f>
        <v>Stanislav</v>
      </c>
      <c r="G49" s="327" t="str">
        <f>IFERROR(__xludf.DUMMYFUNCTION("""COMPUTED_VALUE"""),"Potorak")</f>
        <v>Potorak</v>
      </c>
      <c r="H49" s="327" t="str">
        <f>IFERROR(__xludf.DUMMYFUNCTION("""COMPUTED_VALUE"""),"Russia")</f>
        <v>Russia</v>
      </c>
      <c r="I49" s="329" t="str">
        <f>IFERROR(__xludf.DUMMYFUNCTION("""COMPUTED_VALUE"""),"1")</f>
        <v>1</v>
      </c>
    </row>
    <row r="50">
      <c r="A50" s="186"/>
      <c r="B50" s="338" t="str">
        <f>IFERROR(__xludf.DUMMYFUNCTION("""COMPUTED_VALUE"""),"Team Falcons")</f>
        <v>Team Falcons</v>
      </c>
      <c r="C50" s="340" t="str">
        <f>IFERROR(__xludf.DUMMYFUNCTION("""COMPUTED_VALUE"""),"Player")</f>
        <v>Player</v>
      </c>
      <c r="D50" s="340">
        <f>IFERROR(__xludf.DUMMYFUNCTION("""COMPUTED_VALUE"""),3.0)</f>
        <v>3</v>
      </c>
      <c r="E50" s="327" t="str">
        <f>IFERROR(__xludf.DUMMYFUNCTION("""COMPUTED_VALUE"""),"ATF")</f>
        <v>ATF</v>
      </c>
      <c r="F50" s="327" t="str">
        <f>IFERROR(__xludf.DUMMYFUNCTION("""COMPUTED_VALUE"""),"Ammar")</f>
        <v>Ammar</v>
      </c>
      <c r="G50" s="327" t="str">
        <f>IFERROR(__xludf.DUMMYFUNCTION("""COMPUTED_VALUE"""),"Al-Assaf")</f>
        <v>Al-Assaf</v>
      </c>
      <c r="H50" s="327" t="str">
        <f>IFERROR(__xludf.DUMMYFUNCTION("""COMPUTED_VALUE"""),"Jordan")</f>
        <v>Jordan</v>
      </c>
      <c r="I50" s="329" t="str">
        <f>IFERROR(__xludf.DUMMYFUNCTION("""COMPUTED_VALUE"""),"2")</f>
        <v>2</v>
      </c>
    </row>
    <row r="51">
      <c r="A51" s="186"/>
      <c r="B51" s="338" t="str">
        <f>IFERROR(__xludf.DUMMYFUNCTION("""COMPUTED_VALUE"""),"Team Falcons")</f>
        <v>Team Falcons</v>
      </c>
      <c r="C51" s="340" t="str">
        <f>IFERROR(__xludf.DUMMYFUNCTION("""COMPUTED_VALUE"""),"Player")</f>
        <v>Player</v>
      </c>
      <c r="D51" s="340">
        <f>IFERROR(__xludf.DUMMYFUNCTION("""COMPUTED_VALUE"""),4.0)</f>
        <v>4</v>
      </c>
      <c r="E51" s="327" t="str">
        <f>IFERROR(__xludf.DUMMYFUNCTION("""COMPUTED_VALUE"""),"Cr1t-")</f>
        <v>Cr1t-</v>
      </c>
      <c r="F51" s="327" t="str">
        <f>IFERROR(__xludf.DUMMYFUNCTION("""COMPUTED_VALUE"""),"Andreas")</f>
        <v>Andreas</v>
      </c>
      <c r="G51" s="327" t="str">
        <f>IFERROR(__xludf.DUMMYFUNCTION("""COMPUTED_VALUE"""),"Nielsen")</f>
        <v>Nielsen</v>
      </c>
      <c r="H51" s="327" t="str">
        <f>IFERROR(__xludf.DUMMYFUNCTION("""COMPUTED_VALUE"""),"Denmark")</f>
        <v>Denmark</v>
      </c>
      <c r="I51" s="329" t="str">
        <f>IFERROR(__xludf.DUMMYFUNCTION("""COMPUTED_VALUE"""),"5")</f>
        <v>5</v>
      </c>
    </row>
    <row r="52">
      <c r="A52" s="186"/>
      <c r="B52" s="338" t="str">
        <f>IFERROR(__xludf.DUMMYFUNCTION("""COMPUTED_VALUE"""),"Team Falcons")</f>
        <v>Team Falcons</v>
      </c>
      <c r="C52" s="340" t="str">
        <f>IFERROR(__xludf.DUMMYFUNCTION("""COMPUTED_VALUE"""),"Player")</f>
        <v>Player</v>
      </c>
      <c r="D52" s="340">
        <f>IFERROR(__xludf.DUMMYFUNCTION("""COMPUTED_VALUE"""),5.0)</f>
        <v>5</v>
      </c>
      <c r="E52" s="327" t="str">
        <f>IFERROR(__xludf.DUMMYFUNCTION("""COMPUTED_VALUE"""),"Sneyking")</f>
        <v>Sneyking</v>
      </c>
      <c r="F52" s="327" t="str">
        <f>IFERROR(__xludf.DUMMYFUNCTION("""COMPUTED_VALUE"""),"Jingjun ")</f>
        <v>Jingjun </v>
      </c>
      <c r="G52" s="327" t="str">
        <f>IFERROR(__xludf.DUMMYFUNCTION("""COMPUTED_VALUE"""),"Wu")</f>
        <v>Wu</v>
      </c>
      <c r="H52" s="327" t="str">
        <f>IFERROR(__xludf.DUMMYFUNCTION("""COMPUTED_VALUE"""),"USA")</f>
        <v>USA</v>
      </c>
      <c r="I52" s="329" t="str">
        <f>IFERROR(__xludf.DUMMYFUNCTION("""COMPUTED_VALUE"""),"3")</f>
        <v>3</v>
      </c>
    </row>
    <row r="53">
      <c r="A53" s="186"/>
      <c r="B53" s="331" t="str">
        <f>IFERROR(__xludf.DUMMYFUNCTION("""COMPUTED_VALUE"""),"Team Falcons")</f>
        <v>Team Falcons</v>
      </c>
      <c r="C53" s="332" t="str">
        <f>IFERROR(__xludf.DUMMYFUNCTION("""COMPUTED_VALUE"""),"Coach")</f>
        <v>Coach</v>
      </c>
      <c r="D53" s="332" t="str">
        <f>IFERROR(__xludf.DUMMYFUNCTION("""COMPUTED_VALUE"""),"Coach")</f>
        <v>Coach</v>
      </c>
      <c r="E53" s="342" t="str">
        <f>IFERROR(__xludf.DUMMYFUNCTION("""COMPUTED_VALUE"""),"Aui_2000")</f>
        <v>Aui_2000</v>
      </c>
      <c r="F53" s="342" t="str">
        <f>IFERROR(__xludf.DUMMYFUNCTION("""COMPUTED_VALUE"""),"Kurtis")</f>
        <v>Kurtis</v>
      </c>
      <c r="G53" s="342" t="str">
        <f>IFERROR(__xludf.DUMMYFUNCTION("""COMPUTED_VALUE"""),"Ling")</f>
        <v>Ling</v>
      </c>
      <c r="H53" s="343" t="str">
        <f>IFERROR(__xludf.DUMMYFUNCTION("""COMPUTED_VALUE"""),"Canada")</f>
        <v>Canada</v>
      </c>
      <c r="I53" s="333"/>
    </row>
    <row r="54">
      <c r="A54" s="186"/>
      <c r="B54" s="336"/>
      <c r="C54" s="337"/>
      <c r="D54" s="337"/>
      <c r="E54" s="334"/>
      <c r="F54" s="334"/>
      <c r="G54" s="334"/>
      <c r="H54" s="327"/>
      <c r="I54" s="330"/>
    </row>
    <row r="55">
      <c r="A55" s="186"/>
      <c r="B55" s="338" t="str">
        <f>IFERROR(__xludf.DUMMYFUNCTION("""COMPUTED_VALUE"""),"Team Liquid")</f>
        <v>Team Liquid</v>
      </c>
      <c r="C55" s="340" t="str">
        <f>IFERROR(__xludf.DUMMYFUNCTION("""COMPUTED_VALUE"""),"Player")</f>
        <v>Player</v>
      </c>
      <c r="D55" s="340">
        <f>IFERROR(__xludf.DUMMYFUNCTION("""COMPUTED_VALUE"""),1.0)</f>
        <v>1</v>
      </c>
      <c r="E55" s="327" t="str">
        <f>IFERROR(__xludf.DUMMYFUNCTION("""COMPUTED_VALUE"""),"m1CKe")</f>
        <v>m1CKe</v>
      </c>
      <c r="F55" s="327" t="str">
        <f>IFERROR(__xludf.DUMMYFUNCTION("""COMPUTED_VALUE"""),"Michael")</f>
        <v>Michael</v>
      </c>
      <c r="G55" s="327" t="str">
        <f>IFERROR(__xludf.DUMMYFUNCTION("""COMPUTED_VALUE"""),"Vu")</f>
        <v>Vu</v>
      </c>
      <c r="H55" s="327" t="str">
        <f>IFERROR(__xludf.DUMMYFUNCTION("""COMPUTED_VALUE"""),"Sweden")</f>
        <v>Sweden</v>
      </c>
      <c r="I55" s="329" t="str">
        <f>IFERROR(__xludf.DUMMYFUNCTION("""COMPUTED_VALUE"""),"1")</f>
        <v>1</v>
      </c>
    </row>
    <row r="56">
      <c r="A56" s="186"/>
      <c r="B56" s="338" t="str">
        <f>IFERROR(__xludf.DUMMYFUNCTION("""COMPUTED_VALUE"""),"Team Liquid")</f>
        <v>Team Liquid</v>
      </c>
      <c r="C56" s="340" t="str">
        <f>IFERROR(__xludf.DUMMYFUNCTION("""COMPUTED_VALUE"""),"Player")</f>
        <v>Player</v>
      </c>
      <c r="D56" s="340">
        <f>IFERROR(__xludf.DUMMYFUNCTION("""COMPUTED_VALUE"""),2.0)</f>
        <v>2</v>
      </c>
      <c r="E56" s="327" t="str">
        <f>IFERROR(__xludf.DUMMYFUNCTION("""COMPUTED_VALUE"""),"Nisha")</f>
        <v>Nisha</v>
      </c>
      <c r="F56" s="327" t="str">
        <f>IFERROR(__xludf.DUMMYFUNCTION("""COMPUTED_VALUE"""),"Michal")</f>
        <v>Michal</v>
      </c>
      <c r="G56" s="327" t="str">
        <f>IFERROR(__xludf.DUMMYFUNCTION("""COMPUTED_VALUE"""),"Jankowski")</f>
        <v>Jankowski</v>
      </c>
      <c r="H56" s="327" t="str">
        <f>IFERROR(__xludf.DUMMYFUNCTION("""COMPUTED_VALUE"""),"Poland")</f>
        <v>Poland</v>
      </c>
      <c r="I56" s="329" t="str">
        <f>IFERROR(__xludf.DUMMYFUNCTION("""COMPUTED_VALUE"""),"3")</f>
        <v>3</v>
      </c>
    </row>
    <row r="57">
      <c r="A57" s="186"/>
      <c r="B57" s="338" t="str">
        <f>IFERROR(__xludf.DUMMYFUNCTION("""COMPUTED_VALUE"""),"Team Liquid")</f>
        <v>Team Liquid</v>
      </c>
      <c r="C57" s="340" t="str">
        <f>IFERROR(__xludf.DUMMYFUNCTION("""COMPUTED_VALUE"""),"Player")</f>
        <v>Player</v>
      </c>
      <c r="D57" s="340">
        <f>IFERROR(__xludf.DUMMYFUNCTION("""COMPUTED_VALUE"""),3.0)</f>
        <v>3</v>
      </c>
      <c r="E57" s="327" t="str">
        <f>IFERROR(__xludf.DUMMYFUNCTION("""COMPUTED_VALUE"""),"Ace")</f>
        <v>Ace</v>
      </c>
      <c r="F57" s="327" t="str">
        <f>IFERROR(__xludf.DUMMYFUNCTION("""COMPUTED_VALUE"""),"Marcus")</f>
        <v>Marcus</v>
      </c>
      <c r="G57" s="327" t="str">
        <f>IFERROR(__xludf.DUMMYFUNCTION("""COMPUTED_VALUE"""),"  Christensen")</f>
        <v>  Christensen</v>
      </c>
      <c r="H57" s="327" t="str">
        <f>IFERROR(__xludf.DUMMYFUNCTION("""COMPUTED_VALUE"""),"Denmark")</f>
        <v>Denmark</v>
      </c>
      <c r="I57" s="329" t="str">
        <f>IFERROR(__xludf.DUMMYFUNCTION("""COMPUTED_VALUE"""),"5")</f>
        <v>5</v>
      </c>
    </row>
    <row r="58">
      <c r="A58" s="186"/>
      <c r="B58" s="338" t="str">
        <f>IFERROR(__xludf.DUMMYFUNCTION("""COMPUTED_VALUE"""),"Team Liquid")</f>
        <v>Team Liquid</v>
      </c>
      <c r="C58" s="340" t="str">
        <f>IFERROR(__xludf.DUMMYFUNCTION("""COMPUTED_VALUE"""),"Player")</f>
        <v>Player</v>
      </c>
      <c r="D58" s="340">
        <f>IFERROR(__xludf.DUMMYFUNCTION("""COMPUTED_VALUE"""),4.0)</f>
        <v>4</v>
      </c>
      <c r="E58" s="327" t="str">
        <f>IFERROR(__xludf.DUMMYFUNCTION("""COMPUTED_VALUE"""),"Boxi")</f>
        <v>Boxi</v>
      </c>
      <c r="F58" s="327" t="str">
        <f>IFERROR(__xludf.DUMMYFUNCTION("""COMPUTED_VALUE"""),"Samuel")</f>
        <v>Samuel</v>
      </c>
      <c r="G58" s="327" t="str">
        <f>IFERROR(__xludf.DUMMYFUNCTION("""COMPUTED_VALUE"""),"Svahn")</f>
        <v>Svahn</v>
      </c>
      <c r="H58" s="327" t="str">
        <f>IFERROR(__xludf.DUMMYFUNCTION("""COMPUTED_VALUE"""),"Sweden")</f>
        <v>Sweden</v>
      </c>
      <c r="I58" s="329" t="str">
        <f>IFERROR(__xludf.DUMMYFUNCTION("""COMPUTED_VALUE"""),"4")</f>
        <v>4</v>
      </c>
    </row>
    <row r="59">
      <c r="A59" s="186"/>
      <c r="B59" s="338" t="str">
        <f>IFERROR(__xludf.DUMMYFUNCTION("""COMPUTED_VALUE"""),"Team Liquid")</f>
        <v>Team Liquid</v>
      </c>
      <c r="C59" s="340" t="str">
        <f>IFERROR(__xludf.DUMMYFUNCTION("""COMPUTED_VALUE"""),"Player")</f>
        <v>Player</v>
      </c>
      <c r="D59" s="340">
        <f>IFERROR(__xludf.DUMMYFUNCTION("""COMPUTED_VALUE"""),5.0)</f>
        <v>5</v>
      </c>
      <c r="E59" s="327" t="str">
        <f>IFERROR(__xludf.DUMMYFUNCTION("""COMPUTED_VALUE"""),"tOfu")</f>
        <v>tOfu</v>
      </c>
      <c r="F59" s="327" t="str">
        <f>IFERROR(__xludf.DUMMYFUNCTION("""COMPUTED_VALUE"""),"Erik")</f>
        <v>Erik</v>
      </c>
      <c r="G59" s="327" t="str">
        <f>IFERROR(__xludf.DUMMYFUNCTION("""COMPUTED_VALUE"""),"Engel")</f>
        <v>Engel</v>
      </c>
      <c r="H59" s="327" t="str">
        <f>IFERROR(__xludf.DUMMYFUNCTION("""COMPUTED_VALUE"""),"Germany")</f>
        <v>Germany</v>
      </c>
      <c r="I59" s="329" t="str">
        <f>IFERROR(__xludf.DUMMYFUNCTION("""COMPUTED_VALUE"""),"2")</f>
        <v>2</v>
      </c>
    </row>
    <row r="60">
      <c r="A60" s="186"/>
      <c r="B60" s="331" t="str">
        <f>IFERROR(__xludf.DUMMYFUNCTION("""COMPUTED_VALUE"""),"Team Liquid")</f>
        <v>Team Liquid</v>
      </c>
      <c r="C60" s="332" t="str">
        <f>IFERROR(__xludf.DUMMYFUNCTION("""COMPUTED_VALUE"""),"Coach")</f>
        <v>Coach</v>
      </c>
      <c r="D60" s="332" t="str">
        <f>IFERROR(__xludf.DUMMYFUNCTION("""COMPUTED_VALUE"""),"Coach")</f>
        <v>Coach</v>
      </c>
      <c r="E60" s="342" t="str">
        <f>IFERROR(__xludf.DUMMYFUNCTION("""COMPUTED_VALUE"""),"Blitz")</f>
        <v>Blitz</v>
      </c>
      <c r="F60" s="342" t="str">
        <f>IFERROR(__xludf.DUMMYFUNCTION("""COMPUTED_VALUE"""),"William")</f>
        <v>William</v>
      </c>
      <c r="G60" s="342" t="str">
        <f>IFERROR(__xludf.DUMMYFUNCTION("""COMPUTED_VALUE"""),"Lee")</f>
        <v>Lee</v>
      </c>
      <c r="H60" s="343" t="str">
        <f>IFERROR(__xludf.DUMMYFUNCTION("""COMPUTED_VALUE"""),"USA")</f>
        <v>USA</v>
      </c>
      <c r="I60" s="333"/>
    </row>
    <row r="61">
      <c r="A61" s="186"/>
      <c r="B61" s="336"/>
      <c r="C61" s="337"/>
      <c r="D61" s="337"/>
      <c r="E61" s="334"/>
      <c r="F61" s="334"/>
      <c r="G61" s="334"/>
      <c r="H61" s="327"/>
      <c r="I61" s="330"/>
    </row>
    <row r="62">
      <c r="A62" s="186"/>
      <c r="B62" s="338" t="str">
        <f>IFERROR(__xludf.DUMMYFUNCTION("""COMPUTED_VALUE"""),"BB Team")</f>
        <v>BB Team</v>
      </c>
      <c r="C62" s="340" t="str">
        <f>IFERROR(__xludf.DUMMYFUNCTION("""COMPUTED_VALUE"""),"Player")</f>
        <v>Player</v>
      </c>
      <c r="D62" s="340">
        <f>IFERROR(__xludf.DUMMYFUNCTION("""COMPUTED_VALUE"""),1.0)</f>
        <v>1</v>
      </c>
      <c r="E62" s="327" t="str">
        <f>IFERROR(__xludf.DUMMYFUNCTION("""COMPUTED_VALUE"""),"Kiritych~")</f>
        <v>Kiritych~</v>
      </c>
      <c r="F62" s="327" t="str">
        <f>IFERROR(__xludf.DUMMYFUNCTION("""COMPUTED_VALUE"""),"Ilya ")</f>
        <v>Ilya </v>
      </c>
      <c r="G62" s="327" t="str">
        <f>IFERROR(__xludf.DUMMYFUNCTION("""COMPUTED_VALUE"""),"Ulyanov")</f>
        <v>Ulyanov</v>
      </c>
      <c r="H62" s="327" t="str">
        <f>IFERROR(__xludf.DUMMYFUNCTION("""COMPUTED_VALUE"""),"Russia")</f>
        <v>Russia</v>
      </c>
      <c r="I62" s="329" t="str">
        <f>IFERROR(__xludf.DUMMYFUNCTION("""COMPUTED_VALUE"""),"2")</f>
        <v>2</v>
      </c>
    </row>
    <row r="63">
      <c r="A63" s="186"/>
      <c r="B63" s="338" t="str">
        <f>IFERROR(__xludf.DUMMYFUNCTION("""COMPUTED_VALUE"""),"BB Team")</f>
        <v>BB Team</v>
      </c>
      <c r="C63" s="340" t="str">
        <f>IFERROR(__xludf.DUMMYFUNCTION("""COMPUTED_VALUE"""),"Player")</f>
        <v>Player</v>
      </c>
      <c r="D63" s="340">
        <f>IFERROR(__xludf.DUMMYFUNCTION("""COMPUTED_VALUE"""),2.0)</f>
        <v>2</v>
      </c>
      <c r="E63" s="327" t="str">
        <f>IFERROR(__xludf.DUMMYFUNCTION("""COMPUTED_VALUE"""),"gpk~")</f>
        <v>gpk~</v>
      </c>
      <c r="F63" s="327" t="str">
        <f>IFERROR(__xludf.DUMMYFUNCTION("""COMPUTED_VALUE"""),"Danil")</f>
        <v>Danil</v>
      </c>
      <c r="G63" s="327" t="str">
        <f>IFERROR(__xludf.DUMMYFUNCTION("""COMPUTED_VALUE"""),"Skutin")</f>
        <v>Skutin</v>
      </c>
      <c r="H63" s="327" t="str">
        <f>IFERROR(__xludf.DUMMYFUNCTION("""COMPUTED_VALUE"""),"Russia")</f>
        <v>Russia</v>
      </c>
      <c r="I63" s="329" t="str">
        <f>IFERROR(__xludf.DUMMYFUNCTION("""COMPUTED_VALUE"""),"3")</f>
        <v>3</v>
      </c>
    </row>
    <row r="64">
      <c r="A64" s="186"/>
      <c r="B64" s="338" t="str">
        <f>IFERROR(__xludf.DUMMYFUNCTION("""COMPUTED_VALUE"""),"BB Team")</f>
        <v>BB Team</v>
      </c>
      <c r="C64" s="340" t="str">
        <f>IFERROR(__xludf.DUMMYFUNCTION("""COMPUTED_VALUE"""),"Player")</f>
        <v>Player</v>
      </c>
      <c r="D64" s="340">
        <f>IFERROR(__xludf.DUMMYFUNCTION("""COMPUTED_VALUE"""),3.0)</f>
        <v>3</v>
      </c>
      <c r="E64" s="327" t="str">
        <f>IFERROR(__xludf.DUMMYFUNCTION("""COMPUTED_VALUE"""),"MieRo")</f>
        <v>MieRo</v>
      </c>
      <c r="F64" s="327" t="str">
        <f>IFERROR(__xludf.DUMMYFUNCTION("""COMPUTED_VALUE"""),"Matvei")</f>
        <v>Matvei</v>
      </c>
      <c r="G64" s="327" t="str">
        <f>IFERROR(__xludf.DUMMYFUNCTION("""COMPUTED_VALUE"""),"Vasiunin")</f>
        <v>Vasiunin</v>
      </c>
      <c r="H64" s="327" t="str">
        <f>IFERROR(__xludf.DUMMYFUNCTION("""COMPUTED_VALUE"""),"Russia")</f>
        <v>Russia</v>
      </c>
      <c r="I64" s="329" t="str">
        <f>IFERROR(__xludf.DUMMYFUNCTION("""COMPUTED_VALUE"""),"5")</f>
        <v>5</v>
      </c>
    </row>
    <row r="65">
      <c r="A65" s="186"/>
      <c r="B65" s="338" t="str">
        <f>IFERROR(__xludf.DUMMYFUNCTION("""COMPUTED_VALUE"""),"BB Team")</f>
        <v>BB Team</v>
      </c>
      <c r="C65" s="340" t="str">
        <f>IFERROR(__xludf.DUMMYFUNCTION("""COMPUTED_VALUE"""),"Player")</f>
        <v>Player</v>
      </c>
      <c r="D65" s="340">
        <f>IFERROR(__xludf.DUMMYFUNCTION("""COMPUTED_VALUE"""),4.0)</f>
        <v>4</v>
      </c>
      <c r="E65" s="327" t="str">
        <f>IFERROR(__xludf.DUMMYFUNCTION("""COMPUTED_VALUE"""),"Save-")</f>
        <v>Save-</v>
      </c>
      <c r="F65" s="327" t="str">
        <f>IFERROR(__xludf.DUMMYFUNCTION("""COMPUTED_VALUE"""),"Vitalie")</f>
        <v>Vitalie</v>
      </c>
      <c r="G65" s="327" t="str">
        <f>IFERROR(__xludf.DUMMYFUNCTION("""COMPUTED_VALUE"""),"Melnic")</f>
        <v>Melnic</v>
      </c>
      <c r="H65" s="327" t="str">
        <f>IFERROR(__xludf.DUMMYFUNCTION("""COMPUTED_VALUE"""),"Moldova")</f>
        <v>Moldova</v>
      </c>
      <c r="I65" s="329" t="str">
        <f>IFERROR(__xludf.DUMMYFUNCTION("""COMPUTED_VALUE"""),"4")</f>
        <v>4</v>
      </c>
    </row>
    <row r="66">
      <c r="A66" s="186"/>
      <c r="B66" s="338" t="str">
        <f>IFERROR(__xludf.DUMMYFUNCTION("""COMPUTED_VALUE"""),"BB Team")</f>
        <v>BB Team</v>
      </c>
      <c r="C66" s="340" t="str">
        <f>IFERROR(__xludf.DUMMYFUNCTION("""COMPUTED_VALUE"""),"Player")</f>
        <v>Player</v>
      </c>
      <c r="D66" s="340">
        <f>IFERROR(__xludf.DUMMYFUNCTION("""COMPUTED_VALUE"""),5.0)</f>
        <v>5</v>
      </c>
      <c r="E66" s="327" t="str">
        <f>IFERROR(__xludf.DUMMYFUNCTION("""COMPUTED_VALUE"""),"Kataomi`")</f>
        <v>Kataomi`</v>
      </c>
      <c r="F66" s="327" t="str">
        <f>IFERROR(__xludf.DUMMYFUNCTION("""COMPUTED_VALUE"""),"Vladislav")</f>
        <v>Vladislav</v>
      </c>
      <c r="G66" s="327" t="str">
        <f>IFERROR(__xludf.DUMMYFUNCTION("""COMPUTED_VALUE"""),"Semenov")</f>
        <v>Semenov</v>
      </c>
      <c r="H66" s="327" t="str">
        <f>IFERROR(__xludf.DUMMYFUNCTION("""COMPUTED_VALUE"""),"Russia")</f>
        <v>Russia</v>
      </c>
      <c r="I66" s="329" t="str">
        <f>IFERROR(__xludf.DUMMYFUNCTION("""COMPUTED_VALUE"""),"1")</f>
        <v>1</v>
      </c>
    </row>
    <row r="67">
      <c r="A67" s="186"/>
      <c r="B67" s="331" t="str">
        <f>IFERROR(__xludf.DUMMYFUNCTION("""COMPUTED_VALUE"""),"BB Team")</f>
        <v>BB Team</v>
      </c>
      <c r="C67" s="332" t="str">
        <f>IFERROR(__xludf.DUMMYFUNCTION("""COMPUTED_VALUE"""),"Coach")</f>
        <v>Coach</v>
      </c>
      <c r="D67" s="332" t="str">
        <f>IFERROR(__xludf.DUMMYFUNCTION("""COMPUTED_VALUE"""),"Coach")</f>
        <v>Coach</v>
      </c>
      <c r="E67" s="342" t="str">
        <f>IFERROR(__xludf.DUMMYFUNCTION("""COMPUTED_VALUE"""),"boolk")</f>
        <v>boolk</v>
      </c>
      <c r="F67" s="342" t="str">
        <f>IFERROR(__xludf.DUMMYFUNCTION("""COMPUTED_VALUE"""),"Anatoly")</f>
        <v>Anatoly</v>
      </c>
      <c r="G67" s="342" t="str">
        <f>IFERROR(__xludf.DUMMYFUNCTION("""COMPUTED_VALUE"""),"Ivanov")</f>
        <v>Ivanov</v>
      </c>
      <c r="H67" s="343" t="str">
        <f>IFERROR(__xludf.DUMMYFUNCTION("""COMPUTED_VALUE"""),"Russia")</f>
        <v>Russia</v>
      </c>
      <c r="I67" s="333"/>
    </row>
    <row r="68">
      <c r="A68" s="186"/>
      <c r="B68" s="336"/>
      <c r="C68" s="337"/>
      <c r="D68" s="337"/>
      <c r="E68" s="334"/>
      <c r="F68" s="334"/>
      <c r="G68" s="334"/>
      <c r="H68" s="327"/>
      <c r="I68" s="330"/>
    </row>
    <row r="69">
      <c r="A69" s="186"/>
      <c r="B69" s="338" t="str">
        <f>IFERROR(__xludf.DUMMYFUNCTION("""COMPUTED_VALUE"""),"MOUZ")</f>
        <v>MOUZ</v>
      </c>
      <c r="C69" s="340" t="str">
        <f>IFERROR(__xludf.DUMMYFUNCTION("""COMPUTED_VALUE"""),"Player")</f>
        <v>Player</v>
      </c>
      <c r="D69" s="340">
        <f>IFERROR(__xludf.DUMMYFUNCTION("""COMPUTED_VALUE"""),1.0)</f>
        <v>1</v>
      </c>
      <c r="E69" s="327" t="str">
        <f>IFERROR(__xludf.DUMMYFUNCTION("""COMPUTED_VALUE"""),"Crystallis")</f>
        <v>Crystallis</v>
      </c>
      <c r="F69" s="327" t="str">
        <f>IFERROR(__xludf.DUMMYFUNCTION("""COMPUTED_VALUE"""),"Remco")</f>
        <v>Remco</v>
      </c>
      <c r="G69" s="327" t="str">
        <f>IFERROR(__xludf.DUMMYFUNCTION("""COMPUTED_VALUE"""),"Arets")</f>
        <v>Arets</v>
      </c>
      <c r="H69" s="327" t="str">
        <f>IFERROR(__xludf.DUMMYFUNCTION("""COMPUTED_VALUE"""),"Netherlands")</f>
        <v>Netherlands</v>
      </c>
      <c r="I69" s="329" t="str">
        <f>IFERROR(__xludf.DUMMYFUNCTION("""COMPUTED_VALUE"""),"3")</f>
        <v>3</v>
      </c>
    </row>
    <row r="70">
      <c r="A70" s="186"/>
      <c r="B70" s="338" t="str">
        <f>IFERROR(__xludf.DUMMYFUNCTION("""COMPUTED_VALUE"""),"MOUZ")</f>
        <v>MOUZ</v>
      </c>
      <c r="C70" s="340" t="str">
        <f>IFERROR(__xludf.DUMMYFUNCTION("""COMPUTED_VALUE"""),"Player")</f>
        <v>Player</v>
      </c>
      <c r="D70" s="340">
        <f>IFERROR(__xludf.DUMMYFUNCTION("""COMPUTED_VALUE"""),2.0)</f>
        <v>2</v>
      </c>
      <c r="E70" s="327" t="str">
        <f>IFERROR(__xludf.DUMMYFUNCTION("""COMPUTED_VALUE"""),"MidOne")</f>
        <v>MidOne</v>
      </c>
      <c r="F70" s="327" t="str">
        <f>IFERROR(__xludf.DUMMYFUNCTION("""COMPUTED_VALUE"""),"Bruce")</f>
        <v>Bruce</v>
      </c>
      <c r="G70" s="327" t="str">
        <f>IFERROR(__xludf.DUMMYFUNCTION("""COMPUTED_VALUE"""),"Yeik")</f>
        <v>Yeik</v>
      </c>
      <c r="H70" s="327" t="str">
        <f>IFERROR(__xludf.DUMMYFUNCTION("""COMPUTED_VALUE"""),"Malaysia")</f>
        <v>Malaysia</v>
      </c>
      <c r="I70" s="329" t="str">
        <f>IFERROR(__xludf.DUMMYFUNCTION("""COMPUTED_VALUE"""),"1")</f>
        <v>1</v>
      </c>
    </row>
    <row r="71">
      <c r="A71" s="186"/>
      <c r="B71" s="338" t="str">
        <f>IFERROR(__xludf.DUMMYFUNCTION("""COMPUTED_VALUE"""),"MOUZ")</f>
        <v>MOUZ</v>
      </c>
      <c r="C71" s="340" t="str">
        <f>IFERROR(__xludf.DUMMYFUNCTION("""COMPUTED_VALUE"""),"Player")</f>
        <v>Player</v>
      </c>
      <c r="D71" s="340">
        <f>IFERROR(__xludf.DUMMYFUNCTION("""COMPUTED_VALUE"""),3.0)</f>
        <v>3</v>
      </c>
      <c r="E71" s="327" t="str">
        <f>IFERROR(__xludf.DUMMYFUNCTION("""COMPUTED_VALUE"""),"BOOM")</f>
        <v>BOOM</v>
      </c>
      <c r="F71" s="327" t="str">
        <f>IFERROR(__xludf.DUMMYFUNCTION("""COMPUTED_VALUE"""),"Miroslav")</f>
        <v>Miroslav</v>
      </c>
      <c r="G71" s="327" t="str">
        <f>IFERROR(__xludf.DUMMYFUNCTION("""COMPUTED_VALUE"""),"Bican")</f>
        <v>Bican</v>
      </c>
      <c r="H71" s="327" t="str">
        <f>IFERROR(__xludf.DUMMYFUNCTION("""COMPUTED_VALUE"""),"Czech Republic")</f>
        <v>Czech Republic</v>
      </c>
      <c r="I71" s="329" t="str">
        <f>IFERROR(__xludf.DUMMYFUNCTION("""COMPUTED_VALUE"""),"5")</f>
        <v>5</v>
      </c>
    </row>
    <row r="72">
      <c r="A72" s="186"/>
      <c r="B72" s="338" t="str">
        <f>IFERROR(__xludf.DUMMYFUNCTION("""COMPUTED_VALUE"""),"MOUZ")</f>
        <v>MOUZ</v>
      </c>
      <c r="C72" s="340" t="str">
        <f>IFERROR(__xludf.DUMMYFUNCTION("""COMPUTED_VALUE"""),"Player")</f>
        <v>Player</v>
      </c>
      <c r="D72" s="340">
        <f>IFERROR(__xludf.DUMMYFUNCTION("""COMPUTED_VALUE"""),4.0)</f>
        <v>4</v>
      </c>
      <c r="E72" s="327" t="str">
        <f>IFERROR(__xludf.DUMMYFUNCTION("""COMPUTED_VALUE"""),"yamich")</f>
        <v>yamich</v>
      </c>
      <c r="F72" s="327" t="str">
        <f>IFERROR(__xludf.DUMMYFUNCTION("""COMPUTED_VALUE"""),"Daniial")</f>
        <v>Daniial</v>
      </c>
      <c r="G72" s="327" t="str">
        <f>IFERROR(__xludf.DUMMYFUNCTION("""COMPUTED_VALUE"""),"Lazebnyi")</f>
        <v>Lazebnyi</v>
      </c>
      <c r="H72" s="327" t="str">
        <f>IFERROR(__xludf.DUMMYFUNCTION("""COMPUTED_VALUE"""),"Russia")</f>
        <v>Russia</v>
      </c>
      <c r="I72" s="329" t="str">
        <f>IFERROR(__xludf.DUMMYFUNCTION("""COMPUTED_VALUE"""),"4")</f>
        <v>4</v>
      </c>
    </row>
    <row r="73">
      <c r="A73" s="186"/>
      <c r="B73" s="338" t="str">
        <f>IFERROR(__xludf.DUMMYFUNCTION("""COMPUTED_VALUE"""),"MOUZ")</f>
        <v>MOUZ</v>
      </c>
      <c r="C73" s="340" t="str">
        <f>IFERROR(__xludf.DUMMYFUNCTION("""COMPUTED_VALUE"""),"Player")</f>
        <v>Player</v>
      </c>
      <c r="D73" s="340">
        <f>IFERROR(__xludf.DUMMYFUNCTION("""COMPUTED_VALUE"""),5.0)</f>
        <v>5</v>
      </c>
      <c r="E73" s="327" t="str">
        <f>IFERROR(__xludf.DUMMYFUNCTION("""COMPUTED_VALUE"""),"panto")</f>
        <v>panto</v>
      </c>
      <c r="F73" s="327" t="str">
        <f>IFERROR(__xludf.DUMMYFUNCTION("""COMPUTED_VALUE"""),"Nikita")</f>
        <v>Nikita</v>
      </c>
      <c r="G73" s="327" t="str">
        <f>IFERROR(__xludf.DUMMYFUNCTION("""COMPUTED_VALUE"""),"Balaganin")</f>
        <v>Balaganin</v>
      </c>
      <c r="H73" s="327" t="str">
        <f>IFERROR(__xludf.DUMMYFUNCTION("""COMPUTED_VALUE"""),"Belarus")</f>
        <v>Belarus</v>
      </c>
      <c r="I73" s="329" t="str">
        <f>IFERROR(__xludf.DUMMYFUNCTION("""COMPUTED_VALUE"""),"2")</f>
        <v>2</v>
      </c>
    </row>
    <row r="74">
      <c r="A74" s="186"/>
      <c r="B74" s="331" t="str">
        <f>IFERROR(__xludf.DUMMYFUNCTION("""COMPUTED_VALUE"""),"MOUZ")</f>
        <v>MOUZ</v>
      </c>
      <c r="C74" s="332" t="str">
        <f>IFERROR(__xludf.DUMMYFUNCTION("""COMPUTED_VALUE"""),"Coach")</f>
        <v>Coach</v>
      </c>
      <c r="D74" s="332" t="str">
        <f>IFERROR(__xludf.DUMMYFUNCTION("""COMPUTED_VALUE"""),"Coach")</f>
        <v>Coach</v>
      </c>
      <c r="E74" s="342" t="str">
        <f>IFERROR(__xludf.DUMMYFUNCTION("""COMPUTED_VALUE"""),"ImmortalFaith")</f>
        <v>ImmortalFaith</v>
      </c>
      <c r="F74" s="342" t="str">
        <f>IFERROR(__xludf.DUMMYFUNCTION("""COMPUTED_VALUE"""),"Daniel")</f>
        <v>Daniel</v>
      </c>
      <c r="G74" s="342" t="str">
        <f>IFERROR(__xludf.DUMMYFUNCTION("""COMPUTED_VALUE"""),"Moza")</f>
        <v>Moza</v>
      </c>
      <c r="H74" s="343" t="str">
        <f>IFERROR(__xludf.DUMMYFUNCTION("""COMPUTED_VALUE"""),"Romania")</f>
        <v>Romania</v>
      </c>
      <c r="I74" s="333"/>
    </row>
    <row r="75">
      <c r="A75" s="186"/>
      <c r="B75" s="336"/>
      <c r="C75" s="337"/>
      <c r="D75" s="337"/>
      <c r="E75" s="334"/>
      <c r="F75" s="334"/>
      <c r="G75" s="334"/>
      <c r="H75" s="327"/>
      <c r="I75" s="330"/>
    </row>
    <row r="76">
      <c r="A76" s="186"/>
      <c r="B76" s="338" t="str">
        <f>IFERROR(__xludf.DUMMYFUNCTION("""COMPUTED_VALUE"""),"PTime")</f>
        <v>PTime</v>
      </c>
      <c r="C76" s="340" t="str">
        <f>IFERROR(__xludf.DUMMYFUNCTION("""COMPUTED_VALUE"""),"Player")</f>
        <v>Player</v>
      </c>
      <c r="D76" s="335">
        <f>IFERROR(__xludf.DUMMYFUNCTION("""COMPUTED_VALUE"""),1.0)</f>
        <v>1</v>
      </c>
      <c r="E76" s="327" t="str">
        <f>IFERROR(__xludf.DUMMYFUNCTION("""COMPUTED_VALUE"""),"Wits")</f>
        <v>Wits</v>
      </c>
      <c r="F76" s="327" t="str">
        <f>IFERROR(__xludf.DUMMYFUNCTION("""COMPUTED_VALUE"""),"Máximo")</f>
        <v>Máximo</v>
      </c>
      <c r="G76" s="327" t="str">
        <f>IFERROR(__xludf.DUMMYFUNCTION("""COMPUTED_VALUE"""),"Orozco")</f>
        <v>Orozco</v>
      </c>
      <c r="H76" s="327" t="str">
        <f>IFERROR(__xludf.DUMMYFUNCTION("""COMPUTED_VALUE"""),"Peru")</f>
        <v>Peru</v>
      </c>
      <c r="I76" s="329" t="str">
        <f>IFERROR(__xludf.DUMMYFUNCTION("""COMPUTED_VALUE"""),"1")</f>
        <v>1</v>
      </c>
    </row>
    <row r="77">
      <c r="A77" s="186"/>
      <c r="B77" s="338" t="str">
        <f>IFERROR(__xludf.DUMMYFUNCTION("""COMPUTED_VALUE"""),"PTime")</f>
        <v>PTime</v>
      </c>
      <c r="C77" s="340" t="str">
        <f>IFERROR(__xludf.DUMMYFUNCTION("""COMPUTED_VALUE"""),"Player")</f>
        <v>Player</v>
      </c>
      <c r="D77" s="335" t="str">
        <f>IFERROR(__xludf.DUMMYFUNCTION("""COMPUTED_VALUE"""),"2")</f>
        <v>2</v>
      </c>
      <c r="E77" s="327" t="str">
        <f>IFERROR(__xludf.DUMMYFUNCTION("""COMPUTED_VALUE"""),"DarkMago")</f>
        <v>DarkMago</v>
      </c>
      <c r="F77" s="327" t="str">
        <f>IFERROR(__xludf.DUMMYFUNCTION("""COMPUTED_VALUE"""),"Oswaldo")</f>
        <v>Oswaldo</v>
      </c>
      <c r="G77" s="327" t="str">
        <f>IFERROR(__xludf.DUMMYFUNCTION("""COMPUTED_VALUE"""),"Herrera")</f>
        <v>Herrera</v>
      </c>
      <c r="H77" s="327" t="str">
        <f>IFERROR(__xludf.DUMMYFUNCTION("""COMPUTED_VALUE"""),"Peru")</f>
        <v>Peru</v>
      </c>
      <c r="I77" s="329" t="str">
        <f>IFERROR(__xludf.DUMMYFUNCTION("""COMPUTED_VALUE"""),"3")</f>
        <v>3</v>
      </c>
    </row>
    <row r="78">
      <c r="A78" s="186"/>
      <c r="B78" s="338" t="str">
        <f>IFERROR(__xludf.DUMMYFUNCTION("""COMPUTED_VALUE"""),"PTime")</f>
        <v>PTime</v>
      </c>
      <c r="C78" s="340" t="str">
        <f>IFERROR(__xludf.DUMMYFUNCTION("""COMPUTED_VALUE"""),"Player")</f>
        <v>Player</v>
      </c>
      <c r="D78" s="335">
        <f>IFERROR(__xludf.DUMMYFUNCTION("""COMPUTED_VALUE"""),3.0)</f>
        <v>3</v>
      </c>
      <c r="E78" s="327" t="str">
        <f>IFERROR(__xludf.DUMMYFUNCTION("""COMPUTED_VALUE"""),"Frank")</f>
        <v>Frank</v>
      </c>
      <c r="F78" s="327" t="str">
        <f>IFERROR(__xludf.DUMMYFUNCTION("""COMPUTED_VALUE"""),"Frank")</f>
        <v>Frank</v>
      </c>
      <c r="G78" s="327" t="str">
        <f>IFERROR(__xludf.DUMMYFUNCTION("""COMPUTED_VALUE"""),"Ayala")</f>
        <v>Ayala</v>
      </c>
      <c r="H78" s="327" t="str">
        <f>IFERROR(__xludf.DUMMYFUNCTION("""COMPUTED_VALUE"""),"Peru")</f>
        <v>Peru</v>
      </c>
      <c r="I78" s="329" t="str">
        <f>IFERROR(__xludf.DUMMYFUNCTION("""COMPUTED_VALUE"""),"4")</f>
        <v>4</v>
      </c>
    </row>
    <row r="79">
      <c r="A79" s="186"/>
      <c r="B79" s="338" t="str">
        <f>IFERROR(__xludf.DUMMYFUNCTION("""COMPUTED_VALUE"""),"PTime")</f>
        <v>PTime</v>
      </c>
      <c r="C79" s="340" t="str">
        <f>IFERROR(__xludf.DUMMYFUNCTION("""COMPUTED_VALUE"""),"Player")</f>
        <v>Player</v>
      </c>
      <c r="D79" s="335" t="str">
        <f>IFERROR(__xludf.DUMMYFUNCTION("""COMPUTED_VALUE"""),"4")</f>
        <v>4</v>
      </c>
      <c r="E79" s="327" t="str">
        <f>IFERROR(__xludf.DUMMYFUNCTION("""COMPUTED_VALUE"""),"Scofield")</f>
        <v>Scofield</v>
      </c>
      <c r="F79" s="327" t="str">
        <f>IFERROR(__xludf.DUMMYFUNCTION("""COMPUTED_VALUE"""),"Elvis")</f>
        <v>Elvis</v>
      </c>
      <c r="G79" s="327" t="str">
        <f>IFERROR(__xludf.DUMMYFUNCTION("""COMPUTED_VALUE"""),"Pena")</f>
        <v>Pena</v>
      </c>
      <c r="H79" s="327" t="str">
        <f>IFERROR(__xludf.DUMMYFUNCTION("""COMPUTED_VALUE"""),"Peru")</f>
        <v>Peru</v>
      </c>
      <c r="I79" s="329" t="str">
        <f>IFERROR(__xludf.DUMMYFUNCTION("""COMPUTED_VALUE"""),"5")</f>
        <v>5</v>
      </c>
    </row>
    <row r="80">
      <c r="A80" s="186"/>
      <c r="B80" s="338" t="str">
        <f>IFERROR(__xludf.DUMMYFUNCTION("""COMPUTED_VALUE"""),"PTime")</f>
        <v>PTime</v>
      </c>
      <c r="C80" s="340" t="str">
        <f>IFERROR(__xludf.DUMMYFUNCTION("""COMPUTED_VALUE"""),"Player")</f>
        <v>Player</v>
      </c>
      <c r="D80" s="340">
        <f>IFERROR(__xludf.DUMMYFUNCTION("""COMPUTED_VALUE"""),5.0)</f>
        <v>5</v>
      </c>
      <c r="E80" s="327" t="str">
        <f>IFERROR(__xludf.DUMMYFUNCTION("""COMPUTED_VALUE"""),"Elmisho")</f>
        <v>Elmisho</v>
      </c>
      <c r="F80" s="327" t="str">
        <f>IFERROR(__xludf.DUMMYFUNCTION("""COMPUTED_VALUE"""),"Yelsthin")</f>
        <v>Yelsthin</v>
      </c>
      <c r="G80" s="327" t="str">
        <f>IFERROR(__xludf.DUMMYFUNCTION("""COMPUTED_VALUE"""),"Hurtado")</f>
        <v>Hurtado</v>
      </c>
      <c r="H80" s="327" t="str">
        <f>IFERROR(__xludf.DUMMYFUNCTION("""COMPUTED_VALUE"""),"Peru")</f>
        <v>Peru</v>
      </c>
      <c r="I80" s="329" t="str">
        <f>IFERROR(__xludf.DUMMYFUNCTION("""COMPUTED_VALUE"""),"2")</f>
        <v>2</v>
      </c>
    </row>
    <row r="81">
      <c r="A81" s="186"/>
      <c r="B81" s="331" t="str">
        <f>IFERROR(__xludf.DUMMYFUNCTION("""COMPUTED_VALUE"""),"PTime")</f>
        <v>PTime</v>
      </c>
      <c r="C81" s="332" t="str">
        <f>IFERROR(__xludf.DUMMYFUNCTION("""COMPUTED_VALUE"""),"Coach")</f>
        <v>Coach</v>
      </c>
      <c r="D81" s="332" t="str">
        <f>IFERROR(__xludf.DUMMYFUNCTION("""COMPUTED_VALUE"""),"Coach")</f>
        <v>Coach</v>
      </c>
      <c r="E81" s="342" t="str">
        <f>IFERROR(__xludf.DUMMYFUNCTION("""COMPUTED_VALUE"""),"Vintage")</f>
        <v>Vintage</v>
      </c>
      <c r="F81" s="342" t="str">
        <f>IFERROR(__xludf.DUMMYFUNCTION("""COMPUTED_VALUE"""),"Juan")</f>
        <v>Juan</v>
      </c>
      <c r="G81" s="342" t="str">
        <f>IFERROR(__xludf.DUMMYFUNCTION("""COMPUTED_VALUE"""),"Angulo")</f>
        <v>Angulo</v>
      </c>
      <c r="H81" s="343" t="str">
        <f>IFERROR(__xludf.DUMMYFUNCTION("""COMPUTED_VALUE"""),"Peru")</f>
        <v>Peru</v>
      </c>
      <c r="I81" s="333"/>
    </row>
    <row r="82">
      <c r="A82" s="186"/>
      <c r="B82" s="336"/>
      <c r="C82" s="337"/>
      <c r="D82" s="337"/>
      <c r="E82" s="334"/>
      <c r="F82" s="334"/>
      <c r="G82" s="334"/>
      <c r="H82" s="327"/>
      <c r="I82" s="330"/>
    </row>
    <row r="83">
      <c r="A83" s="186"/>
      <c r="B83" s="338" t="str">
        <f>IFERROR(__xludf.DUMMYFUNCTION("""COMPUTED_VALUE"""),"OG Esports")</f>
        <v>OG Esports</v>
      </c>
      <c r="C83" s="340" t="str">
        <f>IFERROR(__xludf.DUMMYFUNCTION("""COMPUTED_VALUE"""),"Player")</f>
        <v>Player</v>
      </c>
      <c r="D83" s="335">
        <f>IFERROR(__xludf.DUMMYFUNCTION("""COMPUTED_VALUE"""),1.0)</f>
        <v>1</v>
      </c>
      <c r="E83" s="327" t="str">
        <f>IFERROR(__xludf.DUMMYFUNCTION("""COMPUTED_VALUE"""),"Natsumi")</f>
        <v>Natsumi</v>
      </c>
      <c r="F83" s="327" t="str">
        <f>IFERROR(__xludf.DUMMYFUNCTION("""COMPUTED_VALUE"""),"John")</f>
        <v>John</v>
      </c>
      <c r="G83" s="327" t="str">
        <f>IFERROR(__xludf.DUMMYFUNCTION("""COMPUTED_VALUE"""),"Vargas")</f>
        <v>Vargas</v>
      </c>
      <c r="H83" s="327" t="str">
        <f>IFERROR(__xludf.DUMMYFUNCTION("""COMPUTED_VALUE"""),"Philippines")</f>
        <v>Philippines</v>
      </c>
      <c r="I83" s="329" t="str">
        <f>IFERROR(__xludf.DUMMYFUNCTION("""COMPUTED_VALUE"""),"5")</f>
        <v>5</v>
      </c>
    </row>
    <row r="84">
      <c r="A84" s="186"/>
      <c r="B84" s="338" t="str">
        <f>IFERROR(__xludf.DUMMYFUNCTION("""COMPUTED_VALUE"""),"OG Esports")</f>
        <v>OG Esports</v>
      </c>
      <c r="C84" s="340" t="str">
        <f>IFERROR(__xludf.DUMMYFUNCTION("""COMPUTED_VALUE"""),"Player")</f>
        <v>Player</v>
      </c>
      <c r="D84" s="335" t="str">
        <f>IFERROR(__xludf.DUMMYFUNCTION("""COMPUTED_VALUE"""),"2")</f>
        <v>2</v>
      </c>
      <c r="E84" s="327" t="str">
        <f>IFERROR(__xludf.DUMMYFUNCTION("""COMPUTED_VALUE"""),"Yopaj")</f>
        <v>Yopaj</v>
      </c>
      <c r="F84" s="327" t="str">
        <f>IFERROR(__xludf.DUMMYFUNCTION("""COMPUTED_VALUE"""),"Erin Jasper")</f>
        <v>Erin Jasper</v>
      </c>
      <c r="G84" s="327" t="str">
        <f>IFERROR(__xludf.DUMMYFUNCTION("""COMPUTED_VALUE"""),"Ferrer")</f>
        <v>Ferrer</v>
      </c>
      <c r="H84" s="327" t="str">
        <f>IFERROR(__xludf.DUMMYFUNCTION("""COMPUTED_VALUE"""),"Philippines")</f>
        <v>Philippines</v>
      </c>
      <c r="I84" s="329" t="str">
        <f>IFERROR(__xludf.DUMMYFUNCTION("""COMPUTED_VALUE"""),"3")</f>
        <v>3</v>
      </c>
    </row>
    <row r="85">
      <c r="A85" s="186"/>
      <c r="B85" s="338" t="str">
        <f>IFERROR(__xludf.DUMMYFUNCTION("""COMPUTED_VALUE"""),"OG Esports")</f>
        <v>OG Esports</v>
      </c>
      <c r="C85" s="340" t="str">
        <f>IFERROR(__xludf.DUMMYFUNCTION("""COMPUTED_VALUE"""),"Player")</f>
        <v>Player</v>
      </c>
      <c r="D85" s="340">
        <f>IFERROR(__xludf.DUMMYFUNCTION("""COMPUTED_VALUE"""),3.0)</f>
        <v>3</v>
      </c>
      <c r="E85" s="327" t="str">
        <f>IFERROR(__xludf.DUMMYFUNCTION("""COMPUTED_VALUE"""),"Raven")</f>
        <v>Raven</v>
      </c>
      <c r="F85" s="327" t="str">
        <f>IFERROR(__xludf.DUMMYFUNCTION("""COMPUTED_VALUE"""),"Polo")</f>
        <v>Polo</v>
      </c>
      <c r="G85" s="327" t="str">
        <f>IFERROR(__xludf.DUMMYFUNCTION("""COMPUTED_VALUE"""),"Fausto")</f>
        <v>Fausto</v>
      </c>
      <c r="H85" s="327" t="str">
        <f>IFERROR(__xludf.DUMMYFUNCTION("""COMPUTED_VALUE"""),"Philippines")</f>
        <v>Philippines</v>
      </c>
      <c r="I85" s="329" t="str">
        <f>IFERROR(__xludf.DUMMYFUNCTION("""COMPUTED_VALUE"""),"1")</f>
        <v>1</v>
      </c>
    </row>
    <row r="86">
      <c r="A86" s="186"/>
      <c r="B86" s="338" t="str">
        <f>IFERROR(__xludf.DUMMYFUNCTION("""COMPUTED_VALUE"""),"OG Esports")</f>
        <v>OG Esports</v>
      </c>
      <c r="C86" s="340" t="str">
        <f>IFERROR(__xludf.DUMMYFUNCTION("""COMPUTED_VALUE"""),"Player")</f>
        <v>Player</v>
      </c>
      <c r="D86" s="335">
        <f>IFERROR(__xludf.DUMMYFUNCTION("""COMPUTED_VALUE"""),4.0)</f>
        <v>4</v>
      </c>
      <c r="E86" s="327" t="str">
        <f>IFERROR(__xludf.DUMMYFUNCTION("""COMPUTED_VALUE"""),"TIMS")</f>
        <v>TIMS</v>
      </c>
      <c r="F86" s="327" t="str">
        <f>IFERROR(__xludf.DUMMYFUNCTION("""COMPUTED_VALUE"""),"Timothy John")</f>
        <v>Timothy John</v>
      </c>
      <c r="G86" s="327" t="str">
        <f>IFERROR(__xludf.DUMMYFUNCTION("""COMPUTED_VALUE"""),"Randrup")</f>
        <v>Randrup</v>
      </c>
      <c r="H86" s="327" t="str">
        <f>IFERROR(__xludf.DUMMYFUNCTION("""COMPUTED_VALUE"""),"Philippines")</f>
        <v>Philippines</v>
      </c>
      <c r="I86" s="329" t="str">
        <f>IFERROR(__xludf.DUMMYFUNCTION("""COMPUTED_VALUE"""),"2")</f>
        <v>2</v>
      </c>
    </row>
    <row r="87">
      <c r="A87" s="186"/>
      <c r="B87" s="338" t="str">
        <f>IFERROR(__xludf.DUMMYFUNCTION("""COMPUTED_VALUE"""),"OG Esports")</f>
        <v>OG Esports</v>
      </c>
      <c r="C87" s="340" t="str">
        <f>IFERROR(__xludf.DUMMYFUNCTION("""COMPUTED_VALUE"""),"Player")</f>
        <v>Player</v>
      </c>
      <c r="D87" s="335" t="str">
        <f>IFERROR(__xludf.DUMMYFUNCTION("""COMPUTED_VALUE"""),"5")</f>
        <v>5</v>
      </c>
      <c r="E87" s="327" t="str">
        <f>IFERROR(__xludf.DUMMYFUNCTION("""COMPUTED_VALUE"""),"skem")</f>
        <v>skem</v>
      </c>
      <c r="F87" s="327" t="str">
        <f>IFERROR(__xludf.DUMMYFUNCTION("""COMPUTED_VALUE"""),"Andrei")</f>
        <v>Andrei</v>
      </c>
      <c r="G87" s="327" t="str">
        <f>IFERROR(__xludf.DUMMYFUNCTION("""COMPUTED_VALUE"""),"Ong")</f>
        <v>Ong</v>
      </c>
      <c r="H87" s="327" t="str">
        <f>IFERROR(__xludf.DUMMYFUNCTION("""COMPUTED_VALUE"""),"Philippines")</f>
        <v>Philippines</v>
      </c>
      <c r="I87" s="329" t="str">
        <f>IFERROR(__xludf.DUMMYFUNCTION("""COMPUTED_VALUE"""),"4")</f>
        <v>4</v>
      </c>
    </row>
    <row r="88">
      <c r="A88" s="186"/>
      <c r="B88" s="331" t="str">
        <f>IFERROR(__xludf.DUMMYFUNCTION("""COMPUTED_VALUE"""),"OG Esports")</f>
        <v>OG Esports</v>
      </c>
      <c r="C88" s="332" t="str">
        <f>IFERROR(__xludf.DUMMYFUNCTION("""COMPUTED_VALUE"""),"Coach")</f>
        <v>Coach</v>
      </c>
      <c r="D88" s="332" t="str">
        <f>IFERROR(__xludf.DUMMYFUNCTION("""COMPUTED_VALUE"""),"Coach")</f>
        <v>Coach</v>
      </c>
      <c r="E88" s="342">
        <f>IFERROR(__xludf.DUMMYFUNCTION("""COMPUTED_VALUE"""),343.0)</f>
        <v>343</v>
      </c>
      <c r="F88" s="342" t="str">
        <f>IFERROR(__xludf.DUMMYFUNCTION("""COMPUTED_VALUE"""),"Adam")</f>
        <v>Adam</v>
      </c>
      <c r="G88" s="342" t="str">
        <f>IFERROR(__xludf.DUMMYFUNCTION("""COMPUTED_VALUE"""),"Shah")</f>
        <v>Shah</v>
      </c>
      <c r="H88" s="343" t="str">
        <f>IFERROR(__xludf.DUMMYFUNCTION("""COMPUTED_VALUE"""),"Malaysia")</f>
        <v>Malaysia</v>
      </c>
      <c r="I88" s="333"/>
    </row>
    <row r="89">
      <c r="A89" s="186"/>
      <c r="B89" s="369"/>
      <c r="C89" s="337"/>
      <c r="D89" s="337"/>
      <c r="E89" s="334"/>
      <c r="F89" s="334"/>
      <c r="G89" s="334"/>
      <c r="H89" s="327"/>
      <c r="I89" s="330"/>
    </row>
    <row r="90">
      <c r="A90" s="186"/>
      <c r="B90" s="373" t="str">
        <f>IFERROR(__xludf.DUMMYFUNCTION("""COMPUTED_VALUE"""),"Virtus.pro")</f>
        <v>Virtus.pro</v>
      </c>
      <c r="C90" s="340" t="str">
        <f>IFERROR(__xludf.DUMMYFUNCTION("""COMPUTED_VALUE"""),"Player")</f>
        <v>Player</v>
      </c>
      <c r="D90" s="340">
        <f>IFERROR(__xludf.DUMMYFUNCTION("""COMPUTED_VALUE"""),1.0)</f>
        <v>1</v>
      </c>
      <c r="E90" s="327" t="str">
        <f>IFERROR(__xludf.DUMMYFUNCTION("""COMPUTED_VALUE"""),"Timado")</f>
        <v>Timado</v>
      </c>
      <c r="F90" s="327" t="str">
        <f>IFERROR(__xludf.DUMMYFUNCTION("""COMPUTED_VALUE"""),"Enzo ")</f>
        <v>Enzo </v>
      </c>
      <c r="G90" s="327" t="str">
        <f>IFERROR(__xludf.DUMMYFUNCTION("""COMPUTED_VALUE"""),"Gianoli")</f>
        <v>Gianoli</v>
      </c>
      <c r="H90" s="327" t="str">
        <f>IFERROR(__xludf.DUMMYFUNCTION("""COMPUTED_VALUE"""),"Peru")</f>
        <v>Peru</v>
      </c>
      <c r="I90" s="329" t="str">
        <f>IFERROR(__xludf.DUMMYFUNCTION("""COMPUTED_VALUE"""),"1")</f>
        <v>1</v>
      </c>
    </row>
    <row r="91">
      <c r="A91" s="186"/>
      <c r="B91" s="373" t="str">
        <f>IFERROR(__xludf.DUMMYFUNCTION("""COMPUTED_VALUE"""),"Virtus.pro")</f>
        <v>Virtus.pro</v>
      </c>
      <c r="C91" s="340" t="str">
        <f>IFERROR(__xludf.DUMMYFUNCTION("""COMPUTED_VALUE"""),"Player")</f>
        <v>Player</v>
      </c>
      <c r="D91" s="340">
        <f>IFERROR(__xludf.DUMMYFUNCTION("""COMPUTED_VALUE"""),2.0)</f>
        <v>2</v>
      </c>
      <c r="E91" s="327" t="str">
        <f>IFERROR(__xludf.DUMMYFUNCTION("""COMPUTED_VALUE"""),"Abed")</f>
        <v>Abed</v>
      </c>
      <c r="F91" s="327" t="str">
        <f>IFERROR(__xludf.DUMMYFUNCTION("""COMPUTED_VALUE"""),"Abed")</f>
        <v>Abed</v>
      </c>
      <c r="G91" s="327" t="str">
        <f>IFERROR(__xludf.DUMMYFUNCTION("""COMPUTED_VALUE"""),"Yusop")</f>
        <v>Yusop</v>
      </c>
      <c r="H91" s="327" t="str">
        <f>IFERROR(__xludf.DUMMYFUNCTION("""COMPUTED_VALUE"""),"Philippines")</f>
        <v>Philippines</v>
      </c>
      <c r="I91" s="329" t="str">
        <f>IFERROR(__xludf.DUMMYFUNCTION("""COMPUTED_VALUE"""),"3")</f>
        <v>3</v>
      </c>
    </row>
    <row r="92">
      <c r="A92" s="186"/>
      <c r="B92" s="373" t="str">
        <f>IFERROR(__xludf.DUMMYFUNCTION("""COMPUTED_VALUE"""),"Virtus.pro")</f>
        <v>Virtus.pro</v>
      </c>
      <c r="C92" s="340" t="str">
        <f>IFERROR(__xludf.DUMMYFUNCTION("""COMPUTED_VALUE"""),"Player")</f>
        <v>Player</v>
      </c>
      <c r="D92" s="340">
        <f>IFERROR(__xludf.DUMMYFUNCTION("""COMPUTED_VALUE"""),3.0)</f>
        <v>3</v>
      </c>
      <c r="E92" s="327" t="str">
        <f>IFERROR(__xludf.DUMMYFUNCTION("""COMPUTED_VALUE"""),"SabeRLighT")</f>
        <v>SabeRLighT</v>
      </c>
      <c r="F92" s="327" t="str">
        <f>IFERROR(__xludf.DUMMYFUNCTION("""COMPUTED_VALUE"""),"Jonáš ")</f>
        <v>Jonáš </v>
      </c>
      <c r="G92" s="327" t="str">
        <f>IFERROR(__xludf.DUMMYFUNCTION("""COMPUTED_VALUE"""),"Volek")</f>
        <v>Volek</v>
      </c>
      <c r="H92" s="327" t="str">
        <f>IFERROR(__xludf.DUMMYFUNCTION("""COMPUTED_VALUE"""),"Czech Republic")</f>
        <v>Czech Republic</v>
      </c>
      <c r="I92" s="329" t="str">
        <f>IFERROR(__xludf.DUMMYFUNCTION("""COMPUTED_VALUE"""),"5")</f>
        <v>5</v>
      </c>
    </row>
    <row r="93">
      <c r="A93" s="186"/>
      <c r="B93" s="373" t="str">
        <f>IFERROR(__xludf.DUMMYFUNCTION("""COMPUTED_VALUE"""),"Virtus.pro")</f>
        <v>Virtus.pro</v>
      </c>
      <c r="C93" s="340" t="str">
        <f>IFERROR(__xludf.DUMMYFUNCTION("""COMPUTED_VALUE"""),"Player")</f>
        <v>Player</v>
      </c>
      <c r="D93" s="340">
        <f>IFERROR(__xludf.DUMMYFUNCTION("""COMPUTED_VALUE"""),4.0)</f>
        <v>4</v>
      </c>
      <c r="E93" s="327" t="str">
        <f>IFERROR(__xludf.DUMMYFUNCTION("""COMPUTED_VALUE"""),"Hellscream")</f>
        <v>Hellscream</v>
      </c>
      <c r="F93" s="327" t="str">
        <f>IFERROR(__xludf.DUMMYFUNCTION("""COMPUTED_VALUE"""),"Kirill")</f>
        <v>Kirill</v>
      </c>
      <c r="G93" s="327" t="str">
        <f>IFERROR(__xludf.DUMMYFUNCTION("""COMPUTED_VALUE"""),"Lagutik")</f>
        <v>Lagutik</v>
      </c>
      <c r="H93" s="327" t="str">
        <f>IFERROR(__xludf.DUMMYFUNCTION("""COMPUTED_VALUE"""),"Belarus")</f>
        <v>Belarus</v>
      </c>
      <c r="I93" s="329" t="str">
        <f>IFERROR(__xludf.DUMMYFUNCTION("""COMPUTED_VALUE"""),"4")</f>
        <v>4</v>
      </c>
    </row>
    <row r="94">
      <c r="A94" s="186"/>
      <c r="B94" s="373" t="str">
        <f>IFERROR(__xludf.DUMMYFUNCTION("""COMPUTED_VALUE"""),"Virtus.pro")</f>
        <v>Virtus.pro</v>
      </c>
      <c r="C94" s="340" t="str">
        <f>IFERROR(__xludf.DUMMYFUNCTION("""COMPUTED_VALUE"""),"Player")</f>
        <v>Player</v>
      </c>
      <c r="D94" s="340">
        <f>IFERROR(__xludf.DUMMYFUNCTION("""COMPUTED_VALUE"""),5.0)</f>
        <v>5</v>
      </c>
      <c r="E94" s="327" t="str">
        <f>IFERROR(__xludf.DUMMYFUNCTION("""COMPUTED_VALUE"""),"Fly")</f>
        <v>Fly</v>
      </c>
      <c r="F94" s="327" t="str">
        <f>IFERROR(__xludf.DUMMYFUNCTION("""COMPUTED_VALUE"""),"Tal")</f>
        <v>Tal</v>
      </c>
      <c r="G94" s="327" t="str">
        <f>IFERROR(__xludf.DUMMYFUNCTION("""COMPUTED_VALUE"""),"Aizik")</f>
        <v>Aizik</v>
      </c>
      <c r="H94" s="327" t="str">
        <f>IFERROR(__xludf.DUMMYFUNCTION("""COMPUTED_VALUE"""),"Israel")</f>
        <v>Israel</v>
      </c>
      <c r="I94" s="329" t="str">
        <f>IFERROR(__xludf.DUMMYFUNCTION("""COMPUTED_VALUE"""),"2")</f>
        <v>2</v>
      </c>
    </row>
    <row r="95">
      <c r="A95" s="186"/>
      <c r="B95" s="377" t="str">
        <f>IFERROR(__xludf.DUMMYFUNCTION("""COMPUTED_VALUE"""),"Virtus.pro")</f>
        <v>Virtus.pro</v>
      </c>
      <c r="C95" s="332" t="str">
        <f>IFERROR(__xludf.DUMMYFUNCTION("""COMPUTED_VALUE"""),"Coach")</f>
        <v>Coach</v>
      </c>
      <c r="D95" s="332" t="str">
        <f>IFERROR(__xludf.DUMMYFUNCTION("""COMPUTED_VALUE"""),"Coach")</f>
        <v>Coach</v>
      </c>
      <c r="E95" s="342" t="str">
        <f>IFERROR(__xludf.DUMMYFUNCTION("""COMPUTED_VALUE"""),"Bulba")</f>
        <v>Bulba</v>
      </c>
      <c r="F95" s="342" t="str">
        <f>IFERROR(__xludf.DUMMYFUNCTION("""COMPUTED_VALUE"""),"Sam ")</f>
        <v>Sam </v>
      </c>
      <c r="G95" s="342" t="str">
        <f>IFERROR(__xludf.DUMMYFUNCTION("""COMPUTED_VALUE"""),"Sosale")</f>
        <v>Sosale</v>
      </c>
      <c r="H95" s="343" t="str">
        <f>IFERROR(__xludf.DUMMYFUNCTION("""COMPUTED_VALUE"""),"USA")</f>
        <v>USA</v>
      </c>
      <c r="I95" s="333"/>
    </row>
    <row r="96">
      <c r="A96" s="186"/>
      <c r="B96" s="336"/>
      <c r="C96" s="337"/>
      <c r="D96" s="337"/>
      <c r="E96" s="334"/>
      <c r="F96" s="334"/>
      <c r="G96" s="334"/>
      <c r="H96" s="327"/>
      <c r="I96" s="330"/>
    </row>
    <row r="97">
      <c r="A97" s="186"/>
      <c r="B97" s="338" t="str">
        <f>IFERROR(__xludf.DUMMYFUNCTION("""COMPUTED_VALUE"""),"Vici Gaming")</f>
        <v>Vici Gaming</v>
      </c>
      <c r="C97" s="340" t="str">
        <f>IFERROR(__xludf.DUMMYFUNCTION("""COMPUTED_VALUE"""),"Player")</f>
        <v>Player</v>
      </c>
      <c r="D97" s="340">
        <f>IFERROR(__xludf.DUMMYFUNCTION("""COMPUTED_VALUE"""),1.0)</f>
        <v>1</v>
      </c>
      <c r="E97" s="327" t="str">
        <f>IFERROR(__xludf.DUMMYFUNCTION("""COMPUTED_VALUE"""),"shiro")</f>
        <v>shiro</v>
      </c>
      <c r="F97" s="327" t="str">
        <f>IFERROR(__xludf.DUMMYFUNCTION("""COMPUTED_VALUE"""),"Xuanang")</f>
        <v>Xuanang</v>
      </c>
      <c r="G97" s="327" t="str">
        <f>IFERROR(__xludf.DUMMYFUNCTION("""COMPUTED_VALUE"""),"Guo")</f>
        <v>Guo</v>
      </c>
      <c r="H97" s="327" t="str">
        <f>IFERROR(__xludf.DUMMYFUNCTION("""COMPUTED_VALUE"""),"China")</f>
        <v>China</v>
      </c>
      <c r="I97" s="329" t="str">
        <f>IFERROR(__xludf.DUMMYFUNCTION("""COMPUTED_VALUE"""),"5")</f>
        <v>5</v>
      </c>
    </row>
    <row r="98">
      <c r="A98" s="186"/>
      <c r="B98" s="338" t="str">
        <f>IFERROR(__xludf.DUMMYFUNCTION("""COMPUTED_VALUE"""),"Vici Gaming")</f>
        <v>Vici Gaming</v>
      </c>
      <c r="C98" s="340" t="str">
        <f>IFERROR(__xludf.DUMMYFUNCTION("""COMPUTED_VALUE"""),"Player")</f>
        <v>Player</v>
      </c>
      <c r="D98" s="340">
        <f>IFERROR(__xludf.DUMMYFUNCTION("""COMPUTED_VALUE"""),2.0)</f>
        <v>2</v>
      </c>
      <c r="E98" s="327" t="str">
        <f>IFERROR(__xludf.DUMMYFUNCTION("""COMPUTED_VALUE"""),"Xm")</f>
        <v>Xm</v>
      </c>
      <c r="F98" s="327" t="str">
        <f>IFERROR(__xludf.DUMMYFUNCTION("""COMPUTED_VALUE"""),"Hongcheng")</f>
        <v>Hongcheng</v>
      </c>
      <c r="G98" s="327" t="str">
        <f>IFERROR(__xludf.DUMMYFUNCTION("""COMPUTED_VALUE"""),"Guo")</f>
        <v>Guo</v>
      </c>
      <c r="H98" s="327" t="str">
        <f>IFERROR(__xludf.DUMMYFUNCTION("""COMPUTED_VALUE"""),"China")</f>
        <v>China</v>
      </c>
      <c r="I98" s="329" t="str">
        <f>IFERROR(__xludf.DUMMYFUNCTION("""COMPUTED_VALUE"""),"3")</f>
        <v>3</v>
      </c>
    </row>
    <row r="99">
      <c r="A99" s="186"/>
      <c r="B99" s="338" t="str">
        <f>IFERROR(__xludf.DUMMYFUNCTION("""COMPUTED_VALUE"""),"Vici Gaming")</f>
        <v>Vici Gaming</v>
      </c>
      <c r="C99" s="340" t="str">
        <f>IFERROR(__xludf.DUMMYFUNCTION("""COMPUTED_VALUE"""),"Player")</f>
        <v>Player</v>
      </c>
      <c r="D99" s="340">
        <f>IFERROR(__xludf.DUMMYFUNCTION("""COMPUTED_VALUE"""),3.0)</f>
        <v>3</v>
      </c>
      <c r="E99" s="327" t="str">
        <f>IFERROR(__xludf.DUMMYFUNCTION("""COMPUTED_VALUE"""),"Bach")</f>
        <v>Bach</v>
      </c>
      <c r="F99" s="327" t="str">
        <f>IFERROR(__xludf.DUMMYFUNCTION("""COMPUTED_VALUE"""),"Ruida")</f>
        <v>Ruida</v>
      </c>
      <c r="G99" s="327" t="str">
        <f>IFERROR(__xludf.DUMMYFUNCTION("""COMPUTED_VALUE"""),"Zhang")</f>
        <v>Zhang</v>
      </c>
      <c r="H99" s="327" t="str">
        <f>IFERROR(__xludf.DUMMYFUNCTION("""COMPUTED_VALUE"""),"China")</f>
        <v>China</v>
      </c>
      <c r="I99" s="329" t="str">
        <f>IFERROR(__xludf.DUMMYFUNCTION("""COMPUTED_VALUE"""),"1")</f>
        <v>1</v>
      </c>
    </row>
    <row r="100">
      <c r="A100" s="186"/>
      <c r="B100" s="338" t="str">
        <f>IFERROR(__xludf.DUMMYFUNCTION("""COMPUTED_VALUE"""),"Vici Gaming")</f>
        <v>Vici Gaming</v>
      </c>
      <c r="C100" s="340" t="str">
        <f>IFERROR(__xludf.DUMMYFUNCTION("""COMPUTED_VALUE"""),"Player")</f>
        <v>Player</v>
      </c>
      <c r="D100" s="340">
        <f>IFERROR(__xludf.DUMMYFUNCTION("""COMPUTED_VALUE"""),4.0)</f>
        <v>4</v>
      </c>
      <c r="E100" s="327" t="str">
        <f>IFERROR(__xludf.DUMMYFUNCTION("""COMPUTED_VALUE"""),"XinQ")</f>
        <v>XinQ</v>
      </c>
      <c r="F100" s="327" t="str">
        <f>IFERROR(__xludf.DUMMYFUNCTION("""COMPUTED_VALUE"""),"Zixing")</f>
        <v>Zixing</v>
      </c>
      <c r="G100" s="327" t="str">
        <f>IFERROR(__xludf.DUMMYFUNCTION("""COMPUTED_VALUE"""),"Zhao")</f>
        <v>Zhao</v>
      </c>
      <c r="H100" s="327" t="str">
        <f>IFERROR(__xludf.DUMMYFUNCTION("""COMPUTED_VALUE"""),"China")</f>
        <v>China</v>
      </c>
      <c r="I100" s="329" t="str">
        <f>IFERROR(__xludf.DUMMYFUNCTION("""COMPUTED_VALUE"""),"2")</f>
        <v>2</v>
      </c>
    </row>
    <row r="101">
      <c r="A101" s="186"/>
      <c r="B101" s="338" t="str">
        <f>IFERROR(__xludf.DUMMYFUNCTION("""COMPUTED_VALUE"""),"Vici Gaming")</f>
        <v>Vici Gaming</v>
      </c>
      <c r="C101" s="340" t="str">
        <f>IFERROR(__xludf.DUMMYFUNCTION("""COMPUTED_VALUE"""),"Player")</f>
        <v>Player</v>
      </c>
      <c r="D101" s="340">
        <f>IFERROR(__xludf.DUMMYFUNCTION("""COMPUTED_VALUE"""),5.0)</f>
        <v>5</v>
      </c>
      <c r="E101" s="327" t="str">
        <f>IFERROR(__xludf.DUMMYFUNCTION("""COMPUTED_VALUE"""),"y`")</f>
        <v>y`</v>
      </c>
      <c r="F101" s="327" t="str">
        <f>IFERROR(__xludf.DUMMYFUNCTION("""COMPUTED_VALUE"""),"Yiping")</f>
        <v>Yiping</v>
      </c>
      <c r="G101" s="327" t="str">
        <f>IFERROR(__xludf.DUMMYFUNCTION("""COMPUTED_VALUE"""),"Zhang")</f>
        <v>Zhang</v>
      </c>
      <c r="H101" s="327" t="str">
        <f>IFERROR(__xludf.DUMMYFUNCTION("""COMPUTED_VALUE"""),"China")</f>
        <v>China</v>
      </c>
      <c r="I101" s="329" t="str">
        <f>IFERROR(__xludf.DUMMYFUNCTION("""COMPUTED_VALUE"""),"4")</f>
        <v>4</v>
      </c>
    </row>
    <row r="102">
      <c r="A102" s="186"/>
      <c r="B102" s="331" t="str">
        <f>IFERROR(__xludf.DUMMYFUNCTION("""COMPUTED_VALUE"""),"Vici Gaming")</f>
        <v>Vici Gaming</v>
      </c>
      <c r="C102" s="332" t="str">
        <f>IFERROR(__xludf.DUMMYFUNCTION("""COMPUTED_VALUE"""),"Coach")</f>
        <v>Coach</v>
      </c>
      <c r="D102" s="332" t="str">
        <f>IFERROR(__xludf.DUMMYFUNCTION("""COMPUTED_VALUE"""),"Coach")</f>
        <v>Coach</v>
      </c>
      <c r="E102" s="342" t="str">
        <f>IFERROR(__xludf.DUMMYFUNCTION("""COMPUTED_VALUE"""),"Yao")</f>
        <v>Yao</v>
      </c>
      <c r="F102" s="342" t="str">
        <f>IFERROR(__xludf.DUMMYFUNCTION("""COMPUTED_VALUE"""),"Zhengzheng")</f>
        <v>Zhengzheng</v>
      </c>
      <c r="G102" s="342" t="str">
        <f>IFERROR(__xludf.DUMMYFUNCTION("""COMPUTED_VALUE"""),"Yao")</f>
        <v>Yao</v>
      </c>
      <c r="H102" s="343" t="str">
        <f>IFERROR(__xludf.DUMMYFUNCTION("""COMPUTED_VALUE"""),"China")</f>
        <v>China</v>
      </c>
      <c r="I102" s="333"/>
    </row>
    <row r="103">
      <c r="A103" s="186"/>
      <c r="B103" s="336"/>
      <c r="C103" s="337"/>
      <c r="D103" s="337"/>
      <c r="E103" s="334"/>
      <c r="F103" s="334"/>
      <c r="G103" s="334"/>
      <c r="H103" s="327"/>
      <c r="I103" s="330"/>
    </row>
    <row r="104">
      <c r="A104" s="186"/>
      <c r="B104" s="338" t="str">
        <f>IFERROR(__xludf.DUMMYFUNCTION("""COMPUTED_VALUE"""),"REKONIX")</f>
        <v>REKONIX</v>
      </c>
      <c r="C104" s="340" t="str">
        <f>IFERROR(__xludf.DUMMYFUNCTION("""COMPUTED_VALUE"""),"Player")</f>
        <v>Player</v>
      </c>
      <c r="D104" s="340">
        <f>IFERROR(__xludf.DUMMYFUNCTION("""COMPUTED_VALUE"""),1.0)</f>
        <v>1</v>
      </c>
      <c r="E104" s="327" t="str">
        <f>IFERROR(__xludf.DUMMYFUNCTION("""COMPUTED_VALUE"""),"jikroy")</f>
        <v>jikroy</v>
      </c>
      <c r="F104" s="327" t="str">
        <f>IFERROR(__xludf.DUMMYFUNCTION("""COMPUTED_VALUE"""),"Musthofa")</f>
        <v>Musthofa</v>
      </c>
      <c r="G104" s="327" t="str">
        <f>IFERROR(__xludf.DUMMYFUNCTION("""COMPUTED_VALUE"""),"Pamungkas")</f>
        <v>Pamungkas</v>
      </c>
      <c r="H104" s="327" t="str">
        <f>IFERROR(__xludf.DUMMYFUNCTION("""COMPUTED_VALUE"""),"Indonesia")</f>
        <v>Indonesia</v>
      </c>
      <c r="I104" s="329" t="str">
        <f>IFERROR(__xludf.DUMMYFUNCTION("""COMPUTED_VALUE"""),"5")</f>
        <v>5</v>
      </c>
    </row>
    <row r="105">
      <c r="A105" s="186"/>
      <c r="B105" s="338" t="str">
        <f>IFERROR(__xludf.DUMMYFUNCTION("""COMPUTED_VALUE"""),"REKONIX")</f>
        <v>REKONIX</v>
      </c>
      <c r="C105" s="340" t="str">
        <f>IFERROR(__xludf.DUMMYFUNCTION("""COMPUTED_VALUE"""),"Player")</f>
        <v>Player</v>
      </c>
      <c r="D105" s="335">
        <f>IFERROR(__xludf.DUMMYFUNCTION("""COMPUTED_VALUE"""),2.0)</f>
        <v>2</v>
      </c>
      <c r="E105" s="327" t="str">
        <f>IFERROR(__xludf.DUMMYFUNCTION("""COMPUTED_VALUE"""),"inYourDreaM")</f>
        <v>inYourDreaM</v>
      </c>
      <c r="F105" s="327" t="str">
        <f>IFERROR(__xludf.DUMMYFUNCTION("""COMPUTED_VALUE"""),"Muhammad")</f>
        <v>Muhammad</v>
      </c>
      <c r="G105" s="327" t="str">
        <f>IFERROR(__xludf.DUMMYFUNCTION("""COMPUTED_VALUE"""),"Anugrah")</f>
        <v>Anugrah</v>
      </c>
      <c r="H105" s="327" t="str">
        <f>IFERROR(__xludf.DUMMYFUNCTION("""COMPUTED_VALUE"""),"Indonesia")</f>
        <v>Indonesia</v>
      </c>
      <c r="I105" s="329" t="str">
        <f>IFERROR(__xludf.DUMMYFUNCTION("""COMPUTED_VALUE"""),"1")</f>
        <v>1</v>
      </c>
    </row>
    <row r="106">
      <c r="A106" s="186"/>
      <c r="B106" s="338" t="str">
        <f>IFERROR(__xludf.DUMMYFUNCTION("""COMPUTED_VALUE"""),"REKONIX")</f>
        <v>REKONIX</v>
      </c>
      <c r="C106" s="340" t="str">
        <f>IFERROR(__xludf.DUMMYFUNCTION("""COMPUTED_VALUE"""),"Player")</f>
        <v>Player</v>
      </c>
      <c r="D106" s="335" t="str">
        <f>IFERROR(__xludf.DUMMYFUNCTION("""COMPUTED_VALUE"""),"3")</f>
        <v>3</v>
      </c>
      <c r="E106" s="327" t="str">
        <f>IFERROR(__xludf.DUMMYFUNCTION("""COMPUTED_VALUE"""),"Fbz")</f>
        <v>Fbz</v>
      </c>
      <c r="F106" s="327" t="str">
        <f>IFERROR(__xludf.DUMMYFUNCTION("""COMPUTED_VALUE"""),"Saieful")</f>
        <v>Saieful</v>
      </c>
      <c r="G106" s="327" t="str">
        <f>IFERROR(__xludf.DUMMYFUNCTION("""COMPUTED_VALUE"""),"Ilham")</f>
        <v>Ilham</v>
      </c>
      <c r="H106" s="327" t="str">
        <f>IFERROR(__xludf.DUMMYFUNCTION("""COMPUTED_VALUE"""),"Indonesia")</f>
        <v>Indonesia</v>
      </c>
      <c r="I106" s="329" t="str">
        <f>IFERROR(__xludf.DUMMYFUNCTION("""COMPUTED_VALUE"""),"3")</f>
        <v>3</v>
      </c>
    </row>
    <row r="107">
      <c r="A107" s="186"/>
      <c r="B107" s="338" t="str">
        <f>IFERROR(__xludf.DUMMYFUNCTION("""COMPUTED_VALUE"""),"REKONIX")</f>
        <v>REKONIX</v>
      </c>
      <c r="C107" s="340" t="str">
        <f>IFERROR(__xludf.DUMMYFUNCTION("""COMPUTED_VALUE"""),"Player")</f>
        <v>Player</v>
      </c>
      <c r="D107" s="340">
        <f>IFERROR(__xludf.DUMMYFUNCTION("""COMPUTED_VALUE"""),4.0)</f>
        <v>4</v>
      </c>
      <c r="E107" s="327" t="str">
        <f>IFERROR(__xludf.DUMMYFUNCTION("""COMPUTED_VALUE"""),"dalul")</f>
        <v>dalul</v>
      </c>
      <c r="F107" s="327" t="str">
        <f>IFERROR(__xludf.DUMMYFUNCTION("""COMPUTED_VALUE"""),"Abdalla")</f>
        <v>Abdalla</v>
      </c>
      <c r="G107" s="327" t="str">
        <f>IFERROR(__xludf.DUMMYFUNCTION("""COMPUTED_VALUE"""),"Afemi")</f>
        <v>Afemi</v>
      </c>
      <c r="H107" s="327" t="str">
        <f>IFERROR(__xludf.DUMMYFUNCTION("""COMPUTED_VALUE"""),"Indonesia")</f>
        <v>Indonesia</v>
      </c>
      <c r="I107" s="329" t="str">
        <f>IFERROR(__xludf.DUMMYFUNCTION("""COMPUTED_VALUE"""),"2")</f>
        <v>2</v>
      </c>
    </row>
    <row r="108">
      <c r="A108" s="186"/>
      <c r="B108" s="338" t="str">
        <f>IFERROR(__xludf.DUMMYFUNCTION("""COMPUTED_VALUE"""),"REKONIX")</f>
        <v>REKONIX</v>
      </c>
      <c r="C108" s="340" t="str">
        <f>IFERROR(__xludf.DUMMYFUNCTION("""COMPUTED_VALUE"""),"Player")</f>
        <v>Player</v>
      </c>
      <c r="D108" s="340">
        <f>IFERROR(__xludf.DUMMYFUNCTION("""COMPUTED_VALUE"""),5.0)</f>
        <v>5</v>
      </c>
      <c r="E108" s="327" t="str">
        <f>IFERROR(__xludf.DUMMYFUNCTION("""COMPUTED_VALUE"""),"Varizh")</f>
        <v>Varizh</v>
      </c>
      <c r="F108" s="327" t="str">
        <f>IFERROR(__xludf.DUMMYFUNCTION("""COMPUTED_VALUE"""),"Rizki")</f>
        <v>Rizki</v>
      </c>
      <c r="G108" s="327" t="str">
        <f>IFERROR(__xludf.DUMMYFUNCTION("""COMPUTED_VALUE"""),"Varizh")</f>
        <v>Varizh</v>
      </c>
      <c r="H108" s="327" t="str">
        <f>IFERROR(__xludf.DUMMYFUNCTION("""COMPUTED_VALUE"""),"Indonesia")</f>
        <v>Indonesia</v>
      </c>
      <c r="I108" s="329" t="str">
        <f>IFERROR(__xludf.DUMMYFUNCTION("""COMPUTED_VALUE"""),"4")</f>
        <v>4</v>
      </c>
    </row>
    <row r="109">
      <c r="A109" s="186"/>
      <c r="B109" s="331" t="str">
        <f>IFERROR(__xludf.DUMMYFUNCTION("""COMPUTED_VALUE"""),"REKONIX")</f>
        <v>REKONIX</v>
      </c>
      <c r="C109" s="332" t="str">
        <f>IFERROR(__xludf.DUMMYFUNCTION("""COMPUTED_VALUE"""),"Coach")</f>
        <v>Coach</v>
      </c>
      <c r="D109" s="332" t="str">
        <f>IFERROR(__xludf.DUMMYFUNCTION("""COMPUTED_VALUE"""),"Coach")</f>
        <v>Coach</v>
      </c>
      <c r="E109" s="342" t="str">
        <f>IFERROR(__xludf.DUMMYFUNCTION("""COMPUTED_VALUE"""),"MinD_ContRoL")</f>
        <v>MinD_ContRoL</v>
      </c>
      <c r="F109" s="342" t="str">
        <f>IFERROR(__xludf.DUMMYFUNCTION("""COMPUTED_VALUE"""),"Ivan")</f>
        <v>Ivan</v>
      </c>
      <c r="G109" s="342" t="str">
        <f>IFERROR(__xludf.DUMMYFUNCTION("""COMPUTED_VALUE"""),"Ivanov")</f>
        <v>Ivanov</v>
      </c>
      <c r="H109" s="343" t="str">
        <f>IFERROR(__xludf.DUMMYFUNCTION("""COMPUTED_VALUE"""),"Bulgaria")</f>
        <v>Bulgaria</v>
      </c>
      <c r="I109" s="333"/>
    </row>
    <row r="110">
      <c r="A110" s="186"/>
      <c r="B110" s="336"/>
      <c r="C110" s="337"/>
      <c r="D110" s="337"/>
      <c r="E110" s="334"/>
      <c r="F110" s="334"/>
      <c r="G110" s="334"/>
      <c r="H110" s="327"/>
      <c r="I110" s="330"/>
    </row>
    <row r="111">
      <c r="A111" s="186"/>
      <c r="B111" s="338" t="str">
        <f>IFERROR(__xludf.DUMMYFUNCTION("""COMPUTED_VALUE"""),"Team Nemesis")</f>
        <v>Team Nemesis</v>
      </c>
      <c r="C111" s="340" t="str">
        <f>IFERROR(__xludf.DUMMYFUNCTION("""COMPUTED_VALUE"""),"Player")</f>
        <v>Player</v>
      </c>
      <c r="D111" s="340">
        <f>IFERROR(__xludf.DUMMYFUNCTION("""COMPUTED_VALUE"""),1.0)</f>
        <v>1</v>
      </c>
      <c r="E111" s="327" t="str">
        <f>IFERROR(__xludf.DUMMYFUNCTION("""COMPUTED_VALUE"""),"rubikon155")</f>
        <v>rubikon155</v>
      </c>
      <c r="F111" s="327" t="str">
        <f>IFERROR(__xludf.DUMMYFUNCTION("""COMPUTED_VALUE"""),"Vladislav")</f>
        <v>Vladislav</v>
      </c>
      <c r="G111" s="327" t="str">
        <f>IFERROR(__xludf.DUMMYFUNCTION("""COMPUTED_VALUE"""),"Gaidau")</f>
        <v>Gaidau</v>
      </c>
      <c r="H111" s="327" t="str">
        <f>IFERROR(__xludf.DUMMYFUNCTION("""COMPUTED_VALUE"""),"Moldova")</f>
        <v>Moldova</v>
      </c>
      <c r="I111" s="329" t="str">
        <f>IFERROR(__xludf.DUMMYFUNCTION("""COMPUTED_VALUE"""),"3")</f>
        <v>3</v>
      </c>
    </row>
    <row r="112">
      <c r="A112" s="186"/>
      <c r="B112" s="338" t="str">
        <f>IFERROR(__xludf.DUMMYFUNCTION("""COMPUTED_VALUE"""),"Team Nemesis")</f>
        <v>Team Nemesis</v>
      </c>
      <c r="C112" s="340" t="str">
        <f>IFERROR(__xludf.DUMMYFUNCTION("""COMPUTED_VALUE"""),"Player")</f>
        <v>Player</v>
      </c>
      <c r="D112" s="340">
        <f>IFERROR(__xludf.DUMMYFUNCTION("""COMPUTED_VALUE"""),2.0)</f>
        <v>2</v>
      </c>
      <c r="E112" s="327" t="str">
        <f>IFERROR(__xludf.DUMMYFUNCTION("""COMPUTED_VALUE"""),"4nalog")</f>
        <v>4nalog</v>
      </c>
      <c r="F112" s="327" t="str">
        <f>IFERROR(__xludf.DUMMYFUNCTION("""COMPUTED_VALUE"""),"João Gabriel")</f>
        <v>João Gabriel</v>
      </c>
      <c r="G112" s="327" t="str">
        <f>IFERROR(__xludf.DUMMYFUNCTION("""COMPUTED_VALUE"""),"Giannini Santos")</f>
        <v>Giannini Santos</v>
      </c>
      <c r="H112" s="327" t="str">
        <f>IFERROR(__xludf.DUMMYFUNCTION("""COMPUTED_VALUE"""),"Brazil")</f>
        <v>Brazil</v>
      </c>
      <c r="I112" s="329" t="str">
        <f>IFERROR(__xludf.DUMMYFUNCTION("""COMPUTED_VALUE"""),"5")</f>
        <v>5</v>
      </c>
    </row>
    <row r="113">
      <c r="A113" s="186"/>
      <c r="B113" s="338" t="str">
        <f>IFERROR(__xludf.DUMMYFUNCTION("""COMPUTED_VALUE"""),"Team Nemesis")</f>
        <v>Team Nemesis</v>
      </c>
      <c r="C113" s="340" t="str">
        <f>IFERROR(__xludf.DUMMYFUNCTION("""COMPUTED_VALUE"""),"Player")</f>
        <v>Player</v>
      </c>
      <c r="D113" s="340">
        <f>IFERROR(__xludf.DUMMYFUNCTION("""COMPUTED_VALUE"""),3.0)</f>
        <v>3</v>
      </c>
      <c r="E113" s="327" t="str">
        <f>IFERROR(__xludf.DUMMYFUNCTION("""COMPUTED_VALUE"""),"Jabz")</f>
        <v>Jabz</v>
      </c>
      <c r="F113" s="327" t="str">
        <f>IFERROR(__xludf.DUMMYFUNCTION("""COMPUTED_VALUE"""),"Anucha")</f>
        <v>Anucha</v>
      </c>
      <c r="G113" s="327" t="str">
        <f>IFERROR(__xludf.DUMMYFUNCTION("""COMPUTED_VALUE"""),"Jirawong")</f>
        <v>Jirawong</v>
      </c>
      <c r="H113" s="327" t="str">
        <f>IFERROR(__xludf.DUMMYFUNCTION("""COMPUTED_VALUE"""),"Thailand")</f>
        <v>Thailand</v>
      </c>
      <c r="I113" s="329" t="str">
        <f>IFERROR(__xludf.DUMMYFUNCTION("""COMPUTED_VALUE"""),"1")</f>
        <v>1</v>
      </c>
    </row>
    <row r="114">
      <c r="A114" s="186"/>
      <c r="B114" s="338" t="str">
        <f>IFERROR(__xludf.DUMMYFUNCTION("""COMPUTED_VALUE"""),"Team Nemesis")</f>
        <v>Team Nemesis</v>
      </c>
      <c r="C114" s="340" t="str">
        <f>IFERROR(__xludf.DUMMYFUNCTION("""COMPUTED_VALUE"""),"Player")</f>
        <v>Player</v>
      </c>
      <c r="D114" s="340">
        <f>IFERROR(__xludf.DUMMYFUNCTION("""COMPUTED_VALUE"""),4.0)</f>
        <v>4</v>
      </c>
      <c r="E114" s="327" t="str">
        <f>IFERROR(__xludf.DUMMYFUNCTION("""COMPUTED_VALUE"""),"Lelis")</f>
        <v>Lelis</v>
      </c>
      <c r="F114" s="327" t="str">
        <f>IFERROR(__xludf.DUMMYFUNCTION("""COMPUTED_VALUE"""),"Rodrigo")</f>
        <v>Rodrigo</v>
      </c>
      <c r="G114" s="327" t="str">
        <f>IFERROR(__xludf.DUMMYFUNCTION("""COMPUTED_VALUE"""),"Santos")</f>
        <v>Santos</v>
      </c>
      <c r="H114" s="327" t="str">
        <f>IFERROR(__xludf.DUMMYFUNCTION("""COMPUTED_VALUE"""),"Brazil")</f>
        <v>Brazil</v>
      </c>
      <c r="I114" s="329" t="str">
        <f>IFERROR(__xludf.DUMMYFUNCTION("""COMPUTED_VALUE"""),"2")</f>
        <v>2</v>
      </c>
    </row>
    <row r="115">
      <c r="A115" s="186"/>
      <c r="B115" s="338" t="str">
        <f>IFERROR(__xludf.DUMMYFUNCTION("""COMPUTED_VALUE"""),"Team Nemesis")</f>
        <v>Team Nemesis</v>
      </c>
      <c r="C115" s="340" t="str">
        <f>IFERROR(__xludf.DUMMYFUNCTION("""COMPUTED_VALUE"""),"Player")</f>
        <v>Player</v>
      </c>
      <c r="D115" s="340">
        <f>IFERROR(__xludf.DUMMYFUNCTION("""COMPUTED_VALUE"""),1.0)</f>
        <v>1</v>
      </c>
      <c r="E115" s="327" t="str">
        <f>IFERROR(__xludf.DUMMYFUNCTION("""COMPUTED_VALUE"""),"Yamsun")</f>
        <v>Yamsun</v>
      </c>
      <c r="F115" s="327" t="str">
        <f>IFERROR(__xludf.DUMMYFUNCTION("""COMPUTED_VALUE"""),"Luke")</f>
        <v>Luke</v>
      </c>
      <c r="G115" s="327" t="str">
        <f>IFERROR(__xludf.DUMMYFUNCTION("""COMPUTED_VALUE"""),"Wang")</f>
        <v>Wang</v>
      </c>
      <c r="H115" s="327" t="str">
        <f>IFERROR(__xludf.DUMMYFUNCTION("""COMPUTED_VALUE"""),"USA")</f>
        <v>USA</v>
      </c>
      <c r="I115" s="329" t="str">
        <f>IFERROR(__xludf.DUMMYFUNCTION("""COMPUTED_VALUE"""),"4")</f>
        <v>4</v>
      </c>
    </row>
    <row r="116">
      <c r="A116" s="186"/>
      <c r="B116" s="331" t="str">
        <f>IFERROR(__xludf.DUMMYFUNCTION("""COMPUTED_VALUE"""),"Team Nemesis")</f>
        <v>Team Nemesis</v>
      </c>
      <c r="C116" s="332" t="str">
        <f>IFERROR(__xludf.DUMMYFUNCTION("""COMPUTED_VALUE"""),"Coach")</f>
        <v>Coach</v>
      </c>
      <c r="D116" s="332" t="str">
        <f>IFERROR(__xludf.DUMMYFUNCTION("""COMPUTED_VALUE"""),"Coach")</f>
        <v>Coach</v>
      </c>
      <c r="E116" s="342" t="str">
        <f>IFERROR(__xludf.DUMMYFUNCTION("""COMPUTED_VALUE"""),"Astini")</f>
        <v>Astini</v>
      </c>
      <c r="F116" s="342" t="str">
        <f>IFERROR(__xludf.DUMMYFUNCTION("""COMPUTED_VALUE"""),"Filipe")</f>
        <v>Filipe</v>
      </c>
      <c r="G116" s="342" t="str">
        <f>IFERROR(__xludf.DUMMYFUNCTION("""COMPUTED_VALUE"""),"Astini")</f>
        <v>Astini</v>
      </c>
      <c r="H116" s="343" t="str">
        <f>IFERROR(__xludf.DUMMYFUNCTION("""COMPUTED_VALUE"""),"Brazil")</f>
        <v>Brazil</v>
      </c>
      <c r="I116" s="333"/>
    </row>
    <row r="117">
      <c r="A117" s="186"/>
      <c r="B117" s="336"/>
      <c r="C117" s="337"/>
      <c r="D117" s="337"/>
      <c r="E117" s="334"/>
      <c r="F117" s="334"/>
      <c r="G117" s="334"/>
      <c r="H117" s="327"/>
      <c r="I117" s="330"/>
    </row>
    <row r="118">
      <c r="A118" s="186"/>
      <c r="B118" s="338" t="str">
        <f>IFERROR(__xludf.DUMMYFUNCTION("""COMPUTED_VALUE"""),"GamerLegion")</f>
        <v>GamerLegion</v>
      </c>
      <c r="C118" s="340" t="str">
        <f>IFERROR(__xludf.DUMMYFUNCTION("""COMPUTED_VALUE"""),"Player")</f>
        <v>Player</v>
      </c>
      <c r="D118" s="340">
        <f>IFERROR(__xludf.DUMMYFUNCTION("""COMPUTED_VALUE"""),1.0)</f>
        <v>1</v>
      </c>
      <c r="E118" s="327" t="str">
        <f>IFERROR(__xludf.DUMMYFUNCTION("""COMPUTED_VALUE"""),"Ghost")</f>
        <v>Ghost</v>
      </c>
      <c r="F118" s="327" t="str">
        <f>IFERROR(__xludf.DUMMYFUNCTION("""COMPUTED_VALUE"""),"KOK HONG")</f>
        <v>KOK HONG</v>
      </c>
      <c r="G118" s="327" t="str">
        <f>IFERROR(__xludf.DUMMYFUNCTION("""COMPUTED_VALUE"""),"CHAN")</f>
        <v>CHAN</v>
      </c>
      <c r="H118" s="327" t="str">
        <f>IFERROR(__xludf.DUMMYFUNCTION("""COMPUTED_VALUE"""),"Malaysia")</f>
        <v>Malaysia</v>
      </c>
      <c r="I118" s="329" t="str">
        <f>IFERROR(__xludf.DUMMYFUNCTION("""COMPUTED_VALUE"""),"5")</f>
        <v>5</v>
      </c>
    </row>
    <row r="119">
      <c r="A119" s="186"/>
      <c r="B119" s="338" t="str">
        <f>IFERROR(__xludf.DUMMYFUNCTION("""COMPUTED_VALUE"""),"GamerLegion")</f>
        <v>GamerLegion</v>
      </c>
      <c r="C119" s="340" t="str">
        <f>IFERROR(__xludf.DUMMYFUNCTION("""COMPUTED_VALUE"""),"Player")</f>
        <v>Player</v>
      </c>
      <c r="D119" s="340">
        <f>IFERROR(__xludf.DUMMYFUNCTION("""COMPUTED_VALUE"""),2.0)</f>
        <v>2</v>
      </c>
      <c r="E119" s="327" t="str">
        <f>IFERROR(__xludf.DUMMYFUNCTION("""COMPUTED_VALUE"""),"RCY")</f>
        <v>RCY</v>
      </c>
      <c r="F119" s="327" t="str">
        <f>IFERROR(__xludf.DUMMYFUNCTION("""COMPUTED_VALUE"""),"Francis")</f>
        <v>Francis</v>
      </c>
      <c r="G119" s="327" t="str">
        <f>IFERROR(__xludf.DUMMYFUNCTION("""COMPUTED_VALUE"""),"Fundemera")</f>
        <v>Fundemera</v>
      </c>
      <c r="H119" s="327" t="str">
        <f>IFERROR(__xludf.DUMMYFUNCTION("""COMPUTED_VALUE"""),"USA")</f>
        <v>USA</v>
      </c>
      <c r="I119" s="329" t="str">
        <f>IFERROR(__xludf.DUMMYFUNCTION("""COMPUTED_VALUE"""),"3")</f>
        <v>3</v>
      </c>
    </row>
    <row r="120">
      <c r="A120" s="186"/>
      <c r="B120" s="338" t="str">
        <f>IFERROR(__xludf.DUMMYFUNCTION("""COMPUTED_VALUE"""),"GamerLegion")</f>
        <v>GamerLegion</v>
      </c>
      <c r="C120" s="340" t="str">
        <f>IFERROR(__xludf.DUMMYFUNCTION("""COMPUTED_VALUE"""),"Player")</f>
        <v>Player</v>
      </c>
      <c r="D120" s="340">
        <f>IFERROR(__xludf.DUMMYFUNCTION("""COMPUTED_VALUE"""),3.0)</f>
        <v>3</v>
      </c>
      <c r="E120" s="327" t="str">
        <f>IFERROR(__xludf.DUMMYFUNCTION("""COMPUTED_VALUE"""),"Fayde")</f>
        <v>Fayde</v>
      </c>
      <c r="F120" s="327" t="str">
        <f>IFERROR(__xludf.DUMMYFUNCTION("""COMPUTED_VALUE"""),"Victor")</f>
        <v>Victor</v>
      </c>
      <c r="G120" s="327" t="str">
        <f>IFERROR(__xludf.DUMMYFUNCTION("""COMPUTED_VALUE"""),"Zuev")</f>
        <v>Zuev</v>
      </c>
      <c r="H120" s="327" t="str">
        <f>IFERROR(__xludf.DUMMYFUNCTION("""COMPUTED_VALUE"""),"USA")</f>
        <v>USA</v>
      </c>
      <c r="I120" s="329" t="str">
        <f>IFERROR(__xludf.DUMMYFUNCTION("""COMPUTED_VALUE"""),"1")</f>
        <v>1</v>
      </c>
    </row>
    <row r="121">
      <c r="A121" s="186"/>
      <c r="B121" s="338" t="str">
        <f>IFERROR(__xludf.DUMMYFUNCTION("""COMPUTED_VALUE"""),"GamerLegion")</f>
        <v>GamerLegion</v>
      </c>
      <c r="C121" s="340" t="str">
        <f>IFERROR(__xludf.DUMMYFUNCTION("""COMPUTED_VALUE"""),"Player")</f>
        <v>Player</v>
      </c>
      <c r="D121" s="340">
        <f>IFERROR(__xludf.DUMMYFUNCTION("""COMPUTED_VALUE"""),4.0)</f>
        <v>4</v>
      </c>
      <c r="E121" s="327" t="str">
        <f>IFERROR(__xludf.DUMMYFUNCTION("""COMPUTED_VALUE"""),"Bignum")</f>
        <v>Bignum</v>
      </c>
      <c r="F121" s="327" t="str">
        <f>IFERROR(__xludf.DUMMYFUNCTION("""COMPUTED_VALUE"""),"Danil")</f>
        <v>Danil</v>
      </c>
      <c r="G121" s="327" t="str">
        <f>IFERROR(__xludf.DUMMYFUNCTION("""COMPUTED_VALUE"""),"Shekhovtsov")</f>
        <v>Shekhovtsov</v>
      </c>
      <c r="H121" s="327" t="str">
        <f>IFERROR(__xludf.DUMMYFUNCTION("""COMPUTED_VALUE"""),"Ukraine")</f>
        <v>Ukraine</v>
      </c>
      <c r="I121" s="329" t="str">
        <f>IFERROR(__xludf.DUMMYFUNCTION("""COMPUTED_VALUE"""),"2")</f>
        <v>2</v>
      </c>
    </row>
    <row r="122">
      <c r="A122" s="186"/>
      <c r="B122" s="338" t="str">
        <f>IFERROR(__xludf.DUMMYFUNCTION("""COMPUTED_VALUE"""),"GamerLegion")</f>
        <v>GamerLegion</v>
      </c>
      <c r="C122" s="340" t="str">
        <f>IFERROR(__xludf.DUMMYFUNCTION("""COMPUTED_VALUE"""),"Player")</f>
        <v>Player</v>
      </c>
      <c r="D122" s="340">
        <f>IFERROR(__xludf.DUMMYFUNCTION("""COMPUTED_VALUE"""),5.0)</f>
        <v>5</v>
      </c>
      <c r="E122" s="327" t="str">
        <f>IFERROR(__xludf.DUMMYFUNCTION("""COMPUTED_VALUE"""),"Speeed")</f>
        <v>Speeed</v>
      </c>
      <c r="F122" s="327" t="str">
        <f>IFERROR(__xludf.DUMMYFUNCTION("""COMPUTED_VALUE"""),"Paul")</f>
        <v>Paul</v>
      </c>
      <c r="G122" s="327" t="str">
        <f>IFERROR(__xludf.DUMMYFUNCTION("""COMPUTED_VALUE"""),"Bocchicchio")</f>
        <v>Bocchicchio</v>
      </c>
      <c r="H122" s="327" t="str">
        <f>IFERROR(__xludf.DUMMYFUNCTION("""COMPUTED_VALUE"""),"USA")</f>
        <v>USA</v>
      </c>
      <c r="I122" s="329" t="str">
        <f>IFERROR(__xludf.DUMMYFUNCTION("""COMPUTED_VALUE"""),"4")</f>
        <v>4</v>
      </c>
    </row>
    <row r="123">
      <c r="A123" s="186"/>
      <c r="B123" s="331" t="str">
        <f>IFERROR(__xludf.DUMMYFUNCTION("""COMPUTED_VALUE"""),"GamerLegion")</f>
        <v>GamerLegion</v>
      </c>
      <c r="C123" s="332" t="str">
        <f>IFERROR(__xludf.DUMMYFUNCTION("""COMPUTED_VALUE"""),"Coach")</f>
        <v>Coach</v>
      </c>
      <c r="D123" s="332" t="str">
        <f>IFERROR(__xludf.DUMMYFUNCTION("""COMPUTED_VALUE"""),"Coach")</f>
        <v>Coach</v>
      </c>
      <c r="E123" s="342" t="str">
        <f>IFERROR(__xludf.DUMMYFUNCTION("""COMPUTED_VALUE"""),"Mangusu")</f>
        <v>Mangusu</v>
      </c>
      <c r="F123" s="342" t="str">
        <f>IFERROR(__xludf.DUMMYFUNCTION("""COMPUTED_VALUE"""),"Andrei-Vlad")</f>
        <v>Andrei-Vlad</v>
      </c>
      <c r="G123" s="342" t="str">
        <f>IFERROR(__xludf.DUMMYFUNCTION("""COMPUTED_VALUE"""),"Sateanu")</f>
        <v>Sateanu</v>
      </c>
      <c r="H123" s="343" t="str">
        <f>IFERROR(__xludf.DUMMYFUNCTION("""COMPUTED_VALUE"""),"Romania")</f>
        <v>Romania</v>
      </c>
      <c r="I123" s="333"/>
    </row>
    <row r="124">
      <c r="A124" s="186"/>
      <c r="B124" s="336"/>
      <c r="C124" s="337"/>
      <c r="D124" s="337"/>
      <c r="E124" s="334"/>
      <c r="F124" s="334"/>
      <c r="G124" s="334"/>
      <c r="H124" s="327"/>
      <c r="I124" s="330"/>
    </row>
    <row r="125">
      <c r="A125" s="186"/>
      <c r="B125" s="338" t="str">
        <f>IFERROR(__xludf.DUMMYFUNCTION("""COMPUTED_VALUE"""),"Nigma Galaxy")</f>
        <v>Nigma Galaxy</v>
      </c>
      <c r="C125" s="340" t="str">
        <f>IFERROR(__xludf.DUMMYFUNCTION("""COMPUTED_VALUE"""),"Player")</f>
        <v>Player</v>
      </c>
      <c r="D125" s="340">
        <f>IFERROR(__xludf.DUMMYFUNCTION("""COMPUTED_VALUE"""),1.0)</f>
        <v>1</v>
      </c>
      <c r="E125" s="327" t="str">
        <f>IFERROR(__xludf.DUMMYFUNCTION("""COMPUTED_VALUE"""),"SumaiL-")</f>
        <v>SumaiL-</v>
      </c>
      <c r="F125" s="327" t="str">
        <f>IFERROR(__xludf.DUMMYFUNCTION("""COMPUTED_VALUE"""),"Sumail")</f>
        <v>Sumail</v>
      </c>
      <c r="G125" s="327" t="str">
        <f>IFERROR(__xludf.DUMMYFUNCTION("""COMPUTED_VALUE"""),"Syed")</f>
        <v>Syed</v>
      </c>
      <c r="H125" s="327" t="str">
        <f>IFERROR(__xludf.DUMMYFUNCTION("""COMPUTED_VALUE"""),"USA")</f>
        <v>USA</v>
      </c>
      <c r="I125" s="329" t="str">
        <f>IFERROR(__xludf.DUMMYFUNCTION("""COMPUTED_VALUE"""),"5")</f>
        <v>5</v>
      </c>
    </row>
    <row r="126">
      <c r="A126" s="186"/>
      <c r="B126" s="338" t="str">
        <f>IFERROR(__xludf.DUMMYFUNCTION("""COMPUTED_VALUE"""),"Nigma Galaxy")</f>
        <v>Nigma Galaxy</v>
      </c>
      <c r="C126" s="340" t="str">
        <f>IFERROR(__xludf.DUMMYFUNCTION("""COMPUTED_VALUE"""),"Player")</f>
        <v>Player</v>
      </c>
      <c r="D126" s="340">
        <f>IFERROR(__xludf.DUMMYFUNCTION("""COMPUTED_VALUE"""),2.0)</f>
        <v>2</v>
      </c>
      <c r="E126" s="327" t="str">
        <f>IFERROR(__xludf.DUMMYFUNCTION("""COMPUTED_VALUE"""),"lorenof")</f>
        <v>lorenof</v>
      </c>
      <c r="F126" s="327" t="str">
        <f>IFERROR(__xludf.DUMMYFUNCTION("""COMPUTED_VALUE"""),"Artem")</f>
        <v>Artem</v>
      </c>
      <c r="G126" s="327" t="str">
        <f>IFERROR(__xludf.DUMMYFUNCTION("""COMPUTED_VALUE"""),"Melnick")</f>
        <v>Melnick</v>
      </c>
      <c r="H126" s="327" t="str">
        <f>IFERROR(__xludf.DUMMYFUNCTION("""COMPUTED_VALUE"""),"Ukraine")</f>
        <v>Ukraine</v>
      </c>
      <c r="I126" s="329" t="str">
        <f>IFERROR(__xludf.DUMMYFUNCTION("""COMPUTED_VALUE"""),"3")</f>
        <v>3</v>
      </c>
    </row>
    <row r="127">
      <c r="A127" s="186"/>
      <c r="B127" s="338" t="str">
        <f>IFERROR(__xludf.DUMMYFUNCTION("""COMPUTED_VALUE"""),"Nigma Galaxy")</f>
        <v>Nigma Galaxy</v>
      </c>
      <c r="C127" s="340" t="str">
        <f>IFERROR(__xludf.DUMMYFUNCTION("""COMPUTED_VALUE"""),"Player")</f>
        <v>Player</v>
      </c>
      <c r="D127" s="340">
        <f>IFERROR(__xludf.DUMMYFUNCTION("""COMPUTED_VALUE"""),3.0)</f>
        <v>3</v>
      </c>
      <c r="E127" s="327" t="str">
        <f>IFERROR(__xludf.DUMMYFUNCTION("""COMPUTED_VALUE"""),"Davai")</f>
        <v>Davai</v>
      </c>
      <c r="F127" s="327" t="str">
        <f>IFERROR(__xludf.DUMMYFUNCTION("""COMPUTED_VALUE"""),"Cedric")</f>
        <v>Cedric</v>
      </c>
      <c r="G127" s="327" t="str">
        <f>IFERROR(__xludf.DUMMYFUNCTION("""COMPUTED_VALUE"""),"Deckmyn")</f>
        <v>Deckmyn</v>
      </c>
      <c r="H127" s="327" t="str">
        <f>IFERROR(__xludf.DUMMYFUNCTION("""COMPUTED_VALUE"""),"Belgium")</f>
        <v>Belgium</v>
      </c>
      <c r="I127" s="329" t="str">
        <f>IFERROR(__xludf.DUMMYFUNCTION("""COMPUTED_VALUE"""),"1")</f>
        <v>1</v>
      </c>
    </row>
    <row r="128">
      <c r="A128" s="186"/>
      <c r="B128" s="338" t="str">
        <f>IFERROR(__xludf.DUMMYFUNCTION("""COMPUTED_VALUE"""),"Nigma Galaxy")</f>
        <v>Nigma Galaxy</v>
      </c>
      <c r="C128" s="340" t="str">
        <f>IFERROR(__xludf.DUMMYFUNCTION("""COMPUTED_VALUE"""),"Player")</f>
        <v>Player</v>
      </c>
      <c r="D128" s="340">
        <f>IFERROR(__xludf.DUMMYFUNCTION("""COMPUTED_VALUE"""),4.0)</f>
        <v>4</v>
      </c>
      <c r="E128" s="327" t="str">
        <f>IFERROR(__xludf.DUMMYFUNCTION("""COMPUTED_VALUE"""),"OmaR")</f>
        <v>OmaR</v>
      </c>
      <c r="F128" s="327" t="str">
        <f>IFERROR(__xludf.DUMMYFUNCTION("""COMPUTED_VALUE"""),"Omar")</f>
        <v>Omar</v>
      </c>
      <c r="G128" s="327" t="str">
        <f>IFERROR(__xludf.DUMMYFUNCTION("""COMPUTED_VALUE"""),"Moughrabi")</f>
        <v>Moughrabi</v>
      </c>
      <c r="H128" s="327" t="str">
        <f>IFERROR(__xludf.DUMMYFUNCTION("""COMPUTED_VALUE"""),"Lebanon")</f>
        <v>Lebanon</v>
      </c>
      <c r="I128" s="329" t="str">
        <f>IFERROR(__xludf.DUMMYFUNCTION("""COMPUTED_VALUE"""),"2")</f>
        <v>2</v>
      </c>
    </row>
    <row r="129">
      <c r="A129" s="186"/>
      <c r="B129" s="338" t="str">
        <f>IFERROR(__xludf.DUMMYFUNCTION("""COMPUTED_VALUE"""),"Nigma Galaxy")</f>
        <v>Nigma Galaxy</v>
      </c>
      <c r="C129" s="340" t="str">
        <f>IFERROR(__xludf.DUMMYFUNCTION("""COMPUTED_VALUE"""),"Player")</f>
        <v>Player</v>
      </c>
      <c r="D129" s="340">
        <f>IFERROR(__xludf.DUMMYFUNCTION("""COMPUTED_VALUE"""),5.0)</f>
        <v>5</v>
      </c>
      <c r="E129" s="327" t="str">
        <f>IFERROR(__xludf.DUMMYFUNCTION("""COMPUTED_VALUE"""),"GH")</f>
        <v>GH</v>
      </c>
      <c r="F129" s="327" t="str">
        <f>IFERROR(__xludf.DUMMYFUNCTION("""COMPUTED_VALUE"""),"Maroun")</f>
        <v>Maroun</v>
      </c>
      <c r="G129" s="327" t="str">
        <f>IFERROR(__xludf.DUMMYFUNCTION("""COMPUTED_VALUE"""),"Merhej")</f>
        <v>Merhej</v>
      </c>
      <c r="H129" s="327" t="str">
        <f>IFERROR(__xludf.DUMMYFUNCTION("""COMPUTED_VALUE"""),"Lebanon")</f>
        <v>Lebanon</v>
      </c>
      <c r="I129" s="329" t="str">
        <f>IFERROR(__xludf.DUMMYFUNCTION("""COMPUTED_VALUE"""),"4")</f>
        <v>4</v>
      </c>
    </row>
    <row r="130">
      <c r="A130" s="186"/>
      <c r="B130" s="331" t="str">
        <f>IFERROR(__xludf.DUMMYFUNCTION("""COMPUTED_VALUE"""),"Nigma Galaxy")</f>
        <v>Nigma Galaxy</v>
      </c>
      <c r="C130" s="332" t="str">
        <f>IFERROR(__xludf.DUMMYFUNCTION("""COMPUTED_VALUE"""),"Coach")</f>
        <v>Coach</v>
      </c>
      <c r="D130" s="332" t="str">
        <f>IFERROR(__xludf.DUMMYFUNCTION("""COMPUTED_VALUE"""),"Coach")</f>
        <v>Coach</v>
      </c>
      <c r="E130" s="342" t="str">
        <f>IFERROR(__xludf.DUMMYFUNCTION("""COMPUTED_VALUE"""),"KuroKy")</f>
        <v>KuroKy</v>
      </c>
      <c r="F130" s="342" t="str">
        <f>IFERROR(__xludf.DUMMYFUNCTION("""COMPUTED_VALUE"""),"Kuro")</f>
        <v>Kuro</v>
      </c>
      <c r="G130" s="342" t="str">
        <f>IFERROR(__xludf.DUMMYFUNCTION("""COMPUTED_VALUE"""),"Salehi Takhasomi")</f>
        <v>Salehi Takhasomi</v>
      </c>
      <c r="H130" s="343" t="str">
        <f>IFERROR(__xludf.DUMMYFUNCTION("""COMPUTED_VALUE"""),"Egypt")</f>
        <v>Egypt</v>
      </c>
      <c r="I130" s="333"/>
    </row>
    <row r="131">
      <c r="A131" s="186"/>
      <c r="B131" s="336"/>
      <c r="C131" s="337"/>
      <c r="D131" s="337"/>
      <c r="E131" s="334"/>
      <c r="F131" s="334"/>
      <c r="G131" s="334"/>
      <c r="H131" s="327"/>
      <c r="I131" s="330"/>
    </row>
    <row r="132">
      <c r="A132" s="186"/>
      <c r="B132" s="338" t="str">
        <f>IFERROR(__xludf.DUMMYFUNCTION("""COMPUTED_VALUE"""),"Level UP")</f>
        <v>Level UP</v>
      </c>
      <c r="C132" s="340" t="str">
        <f>IFERROR(__xludf.DUMMYFUNCTION("""COMPUTED_VALUE"""),"Player")</f>
        <v>Player</v>
      </c>
      <c r="D132" s="340">
        <f>IFERROR(__xludf.DUMMYFUNCTION("""COMPUTED_VALUE"""),1.0)</f>
        <v>1</v>
      </c>
      <c r="E132" s="327" t="str">
        <f>IFERROR(__xludf.DUMMYFUNCTION("""COMPUTED_VALUE"""),"WoE")</f>
        <v>WoE</v>
      </c>
      <c r="F132" s="327" t="str">
        <f>IFERROR(__xludf.DUMMYFUNCTION("""COMPUTED_VALUE"""),"Nikolay")</f>
        <v>Nikolay</v>
      </c>
      <c r="G132" s="327" t="str">
        <f>IFERROR(__xludf.DUMMYFUNCTION("""COMPUTED_VALUE"""),"Ruban")</f>
        <v>Ruban</v>
      </c>
      <c r="H132" s="327" t="str">
        <f>IFERROR(__xludf.DUMMYFUNCTION("""COMPUTED_VALUE"""),"Russia")</f>
        <v>Russia</v>
      </c>
      <c r="I132" s="329" t="str">
        <f>IFERROR(__xludf.DUMMYFUNCTION("""COMPUTED_VALUE"""),"1")</f>
        <v>1</v>
      </c>
    </row>
    <row r="133">
      <c r="A133" s="186"/>
      <c r="B133" s="338" t="str">
        <f>IFERROR(__xludf.DUMMYFUNCTION("""COMPUTED_VALUE"""),"Level UP")</f>
        <v>Level UP</v>
      </c>
      <c r="C133" s="340" t="str">
        <f>IFERROR(__xludf.DUMMYFUNCTION("""COMPUTED_VALUE"""),"Player")</f>
        <v>Player</v>
      </c>
      <c r="D133" s="340">
        <f>IFERROR(__xludf.DUMMYFUNCTION("""COMPUTED_VALUE"""),2.0)</f>
        <v>2</v>
      </c>
      <c r="E133" s="327" t="str">
        <f>IFERROR(__xludf.DUMMYFUNCTION("""COMPUTED_VALUE"""),"darkniA")</f>
        <v>darkniA</v>
      </c>
      <c r="F133" s="327" t="str">
        <f>IFERROR(__xludf.DUMMYFUNCTION("""COMPUTED_VALUE"""),"Aleksey")</f>
        <v>Aleksey</v>
      </c>
      <c r="G133" s="327" t="str">
        <f>IFERROR(__xludf.DUMMYFUNCTION("""COMPUTED_VALUE"""),"Diveevskiy")</f>
        <v>Diveevskiy</v>
      </c>
      <c r="H133" s="327" t="str">
        <f>IFERROR(__xludf.DUMMYFUNCTION("""COMPUTED_VALUE"""),"Belarus")</f>
        <v>Belarus</v>
      </c>
      <c r="I133" s="329" t="str">
        <f>IFERROR(__xludf.DUMMYFUNCTION("""COMPUTED_VALUE"""),"3")</f>
        <v>3</v>
      </c>
    </row>
    <row r="134">
      <c r="A134" s="186"/>
      <c r="B134" s="338" t="str">
        <f>IFERROR(__xludf.DUMMYFUNCTION("""COMPUTED_VALUE"""),"Level UP")</f>
        <v>Level UP</v>
      </c>
      <c r="C134" s="340" t="str">
        <f>IFERROR(__xludf.DUMMYFUNCTION("""COMPUTED_VALUE"""),"Player")</f>
        <v>Player</v>
      </c>
      <c r="D134" s="340">
        <f>IFERROR(__xludf.DUMMYFUNCTION("""COMPUTED_VALUE"""),3.0)</f>
        <v>3</v>
      </c>
      <c r="E134" s="327" t="str">
        <f>IFERROR(__xludf.DUMMYFUNCTION("""COMPUTED_VALUE"""),"bb3px")</f>
        <v>bb3px</v>
      </c>
      <c r="F134" s="327" t="str">
        <f>IFERROR(__xludf.DUMMYFUNCTION("""COMPUTED_VALUE"""),"Nikolai")</f>
        <v>Nikolai</v>
      </c>
      <c r="G134" s="327" t="str">
        <f>IFERROR(__xludf.DUMMYFUNCTION("""COMPUTED_VALUE"""),"Evdokimychev")</f>
        <v>Evdokimychev</v>
      </c>
      <c r="H134" s="327" t="str">
        <f>IFERROR(__xludf.DUMMYFUNCTION("""COMPUTED_VALUE"""),"Russia")</f>
        <v>Russia</v>
      </c>
      <c r="I134" s="329" t="str">
        <f>IFERROR(__xludf.DUMMYFUNCTION("""COMPUTED_VALUE"""),"5")</f>
        <v>5</v>
      </c>
    </row>
    <row r="135">
      <c r="A135" s="186"/>
      <c r="B135" s="338" t="str">
        <f>IFERROR(__xludf.DUMMYFUNCTION("""COMPUTED_VALUE"""),"Level UP")</f>
        <v>Level UP</v>
      </c>
      <c r="C135" s="340" t="str">
        <f>IFERROR(__xludf.DUMMYFUNCTION("""COMPUTED_VALUE"""),"Player")</f>
        <v>Player</v>
      </c>
      <c r="D135" s="340">
        <f>IFERROR(__xludf.DUMMYFUNCTION("""COMPUTED_VALUE"""),4.0)</f>
        <v>4</v>
      </c>
      <c r="E135" s="327" t="str">
        <f>IFERROR(__xludf.DUMMYFUNCTION("""COMPUTED_VALUE"""),"queezy")</f>
        <v>queezy</v>
      </c>
      <c r="F135" s="327" t="str">
        <f>IFERROR(__xludf.DUMMYFUNCTION("""COMPUTED_VALUE"""),"Aleksandr")</f>
        <v>Aleksandr</v>
      </c>
      <c r="G135" s="327" t="str">
        <f>IFERROR(__xludf.DUMMYFUNCTION("""COMPUTED_VALUE"""),"Lipin")</f>
        <v>Lipin</v>
      </c>
      <c r="H135" s="327" t="str">
        <f>IFERROR(__xludf.DUMMYFUNCTION("""COMPUTED_VALUE"""),"Russia")</f>
        <v>Russia</v>
      </c>
      <c r="I135" s="329" t="str">
        <f>IFERROR(__xludf.DUMMYFUNCTION("""COMPUTED_VALUE"""),"4")</f>
        <v>4</v>
      </c>
    </row>
    <row r="136">
      <c r="A136" s="186"/>
      <c r="B136" s="338" t="str">
        <f>IFERROR(__xludf.DUMMYFUNCTION("""COMPUTED_VALUE"""),"Level UP")</f>
        <v>Level UP</v>
      </c>
      <c r="C136" s="340" t="str">
        <f>IFERROR(__xludf.DUMMYFUNCTION("""COMPUTED_VALUE"""),"Player")</f>
        <v>Player</v>
      </c>
      <c r="D136" s="340">
        <f>IFERROR(__xludf.DUMMYFUNCTION("""COMPUTED_VALUE"""),5.0)</f>
        <v>5</v>
      </c>
      <c r="E136" s="327" t="str">
        <f>IFERROR(__xludf.DUMMYFUNCTION("""COMPUTED_VALUE"""),"Htrd")</f>
        <v>Htrd</v>
      </c>
      <c r="F136" s="327" t="str">
        <f>IFERROR(__xludf.DUMMYFUNCTION("""COMPUTED_VALUE"""),"Andrey")</f>
        <v>Andrey</v>
      </c>
      <c r="G136" s="327" t="str">
        <f>IFERROR(__xludf.DUMMYFUNCTION("""COMPUTED_VALUE"""),"Fedorov")</f>
        <v>Fedorov</v>
      </c>
      <c r="H136" s="327" t="str">
        <f>IFERROR(__xludf.DUMMYFUNCTION("""COMPUTED_VALUE"""),"Russia")</f>
        <v>Russia</v>
      </c>
      <c r="I136" s="329" t="str">
        <f>IFERROR(__xludf.DUMMYFUNCTION("""COMPUTED_VALUE"""),"2")</f>
        <v>2</v>
      </c>
    </row>
    <row r="137">
      <c r="A137" s="186"/>
      <c r="B137" s="331" t="str">
        <f>IFERROR(__xludf.DUMMYFUNCTION("""COMPUTED_VALUE"""),"Level UP")</f>
        <v>Level UP</v>
      </c>
      <c r="C137" s="332" t="str">
        <f>IFERROR(__xludf.DUMMYFUNCTION("""COMPUTED_VALUE"""),"Coach")</f>
        <v>Coach</v>
      </c>
      <c r="D137" s="332" t="str">
        <f>IFERROR(__xludf.DUMMYFUNCTION("""COMPUTED_VALUE"""),"Coach")</f>
        <v>Coach</v>
      </c>
      <c r="E137" s="342" t="str">
        <f>IFERROR(__xludf.DUMMYFUNCTION("""COMPUTED_VALUE"""),"Sbdush")</f>
        <v>Sbdush</v>
      </c>
      <c r="F137" s="342" t="str">
        <f>IFERROR(__xludf.DUMMYFUNCTION("""COMPUTED_VALUE"""),"Sergey")</f>
        <v>Sergey</v>
      </c>
      <c r="G137" s="342" t="str">
        <f>IFERROR(__xludf.DUMMYFUNCTION("""COMPUTED_VALUE"""),"Fatulaev")</f>
        <v>Fatulaev</v>
      </c>
      <c r="H137" s="343" t="str">
        <f>IFERROR(__xludf.DUMMYFUNCTION("""COMPUTED_VALUE"""),"Russia")</f>
        <v>Russia</v>
      </c>
      <c r="I137" s="333"/>
    </row>
    <row r="138">
      <c r="A138" s="186"/>
      <c r="B138" s="336"/>
      <c r="C138" s="337"/>
      <c r="D138" s="337"/>
      <c r="E138" s="334"/>
      <c r="F138" s="334"/>
      <c r="G138" s="334"/>
      <c r="H138" s="327"/>
      <c r="I138" s="330"/>
    </row>
    <row r="139">
      <c r="A139" s="186"/>
      <c r="B139" s="338" t="str">
        <f>IFERROR(__xludf.DUMMYFUNCTION("""COMPUTED_VALUE"""),"Poor Rangers")</f>
        <v>Poor Rangers</v>
      </c>
      <c r="C139" s="340" t="str">
        <f>IFERROR(__xludf.DUMMYFUNCTION("""COMPUTED_VALUE"""),"Player")</f>
        <v>Player</v>
      </c>
      <c r="D139" s="340">
        <f>IFERROR(__xludf.DUMMYFUNCTION("""COMPUTED_VALUE"""),1.0)</f>
        <v>1</v>
      </c>
      <c r="E139" s="327" t="str">
        <f>IFERROR(__xludf.DUMMYFUNCTION("""COMPUTED_VALUE"""),"naive-")</f>
        <v>naive-</v>
      </c>
      <c r="F139" s="327" t="str">
        <f>IFERROR(__xludf.DUMMYFUNCTION("""COMPUTED_VALUE"""),"Aybek")</f>
        <v>Aybek</v>
      </c>
      <c r="G139" s="327" t="str">
        <f>IFERROR(__xludf.DUMMYFUNCTION("""COMPUTED_VALUE"""),"Tokayev")</f>
        <v>Tokayev</v>
      </c>
      <c r="H139" s="327" t="str">
        <f>IFERROR(__xludf.DUMMYFUNCTION("""COMPUTED_VALUE"""),"Kazakhstan")</f>
        <v>Kazakhstan</v>
      </c>
      <c r="I139" s="329" t="str">
        <f>IFERROR(__xludf.DUMMYFUNCTION("""COMPUTED_VALUE"""),"5")</f>
        <v>5</v>
      </c>
    </row>
    <row r="140">
      <c r="A140" s="186"/>
      <c r="B140" s="338" t="str">
        <f>IFERROR(__xludf.DUMMYFUNCTION("""COMPUTED_VALUE"""),"Poor Rangers")</f>
        <v>Poor Rangers</v>
      </c>
      <c r="C140" s="340" t="str">
        <f>IFERROR(__xludf.DUMMYFUNCTION("""COMPUTED_VALUE"""),"Player")</f>
        <v>Player</v>
      </c>
      <c r="D140" s="340">
        <f>IFERROR(__xludf.DUMMYFUNCTION("""COMPUTED_VALUE"""),2.0)</f>
        <v>2</v>
      </c>
      <c r="E140" s="327" t="str">
        <f>IFERROR(__xludf.DUMMYFUNCTION("""COMPUTED_VALUE"""),"Nicky`Cool")</f>
        <v>Nicky`Cool</v>
      </c>
      <c r="F140" s="327" t="str">
        <f>IFERROR(__xludf.DUMMYFUNCTION("""COMPUTED_VALUE"""),"Nikita")</f>
        <v>Nikita</v>
      </c>
      <c r="G140" s="327" t="str">
        <f>IFERROR(__xludf.DUMMYFUNCTION("""COMPUTED_VALUE"""),"Ostakhov")</f>
        <v>Ostakhov</v>
      </c>
      <c r="H140" s="327" t="str">
        <f>IFERROR(__xludf.DUMMYFUNCTION("""COMPUTED_VALUE"""),"Kazakhstan")</f>
        <v>Kazakhstan</v>
      </c>
      <c r="I140" s="329" t="str">
        <f>IFERROR(__xludf.DUMMYFUNCTION("""COMPUTED_VALUE"""),"3")</f>
        <v>3</v>
      </c>
    </row>
    <row r="141">
      <c r="A141" s="186"/>
      <c r="B141" s="338" t="str">
        <f>IFERROR(__xludf.DUMMYFUNCTION("""COMPUTED_VALUE"""),"Poor Rangers")</f>
        <v>Poor Rangers</v>
      </c>
      <c r="C141" s="340" t="str">
        <f>IFERROR(__xludf.DUMMYFUNCTION("""COMPUTED_VALUE"""),"Player")</f>
        <v>Player</v>
      </c>
      <c r="D141" s="340">
        <f>IFERROR(__xludf.DUMMYFUNCTION("""COMPUTED_VALUE"""),3.0)</f>
        <v>3</v>
      </c>
      <c r="E141" s="327" t="str">
        <f>IFERROR(__xludf.DUMMYFUNCTION("""COMPUTED_VALUE"""),"alberkaa")</f>
        <v>alberkaa</v>
      </c>
      <c r="F141" s="327" t="str">
        <f>IFERROR(__xludf.DUMMYFUNCTION("""COMPUTED_VALUE"""),"Albert")</f>
        <v>Albert</v>
      </c>
      <c r="G141" s="327" t="str">
        <f>IFERROR(__xludf.DUMMYFUNCTION("""COMPUTED_VALUE"""),"Chernoivanov")</f>
        <v>Chernoivanov</v>
      </c>
      <c r="H141" s="327" t="str">
        <f>IFERROR(__xludf.DUMMYFUNCTION("""COMPUTED_VALUE"""),"Russia")</f>
        <v>Russia</v>
      </c>
      <c r="I141" s="329" t="str">
        <f>IFERROR(__xludf.DUMMYFUNCTION("""COMPUTED_VALUE"""),"1")</f>
        <v>1</v>
      </c>
    </row>
    <row r="142">
      <c r="A142" s="186"/>
      <c r="B142" s="338" t="str">
        <f>IFERROR(__xludf.DUMMYFUNCTION("""COMPUTED_VALUE"""),"Poor Rangers")</f>
        <v>Poor Rangers</v>
      </c>
      <c r="C142" s="340" t="str">
        <f>IFERROR(__xludf.DUMMYFUNCTION("""COMPUTED_VALUE"""),"Player")</f>
        <v>Player</v>
      </c>
      <c r="D142" s="340">
        <f>IFERROR(__xludf.DUMMYFUNCTION("""COMPUTED_VALUE"""),4.0)</f>
        <v>4</v>
      </c>
      <c r="E142" s="327" t="str">
        <f>IFERROR(__xludf.DUMMYFUNCTION("""COMPUTED_VALUE"""),"Immersion")</f>
        <v>Immersion</v>
      </c>
      <c r="F142" s="327" t="str">
        <f>IFERROR(__xludf.DUMMYFUNCTION("""COMPUTED_VALUE"""),"Aleksandr")</f>
        <v>Aleksandr</v>
      </c>
      <c r="G142" s="327" t="str">
        <f>IFERROR(__xludf.DUMMYFUNCTION("""COMPUTED_VALUE"""),"Khmelevskoi")</f>
        <v>Khmelevskoi</v>
      </c>
      <c r="H142" s="327" t="str">
        <f>IFERROR(__xludf.DUMMYFUNCTION("""COMPUTED_VALUE"""),"Russia")</f>
        <v>Russia</v>
      </c>
      <c r="I142" s="329" t="str">
        <f>IFERROR(__xludf.DUMMYFUNCTION("""COMPUTED_VALUE"""),"2")</f>
        <v>2</v>
      </c>
    </row>
    <row r="143">
      <c r="A143" s="186"/>
      <c r="B143" s="338" t="str">
        <f>IFERROR(__xludf.DUMMYFUNCTION("""COMPUTED_VALUE"""),"Poor Rangers")</f>
        <v>Poor Rangers</v>
      </c>
      <c r="C143" s="340" t="str">
        <f>IFERROR(__xludf.DUMMYFUNCTION("""COMPUTED_VALUE"""),"Player")</f>
        <v>Player</v>
      </c>
      <c r="D143" s="340">
        <f>IFERROR(__xludf.DUMMYFUNCTION("""COMPUTED_VALUE"""),5.0)</f>
        <v>5</v>
      </c>
      <c r="E143" s="327" t="str">
        <f>IFERROR(__xludf.DUMMYFUNCTION("""COMPUTED_VALUE"""),"til the end")</f>
        <v>til the end</v>
      </c>
      <c r="F143" s="327" t="str">
        <f>IFERROR(__xludf.DUMMYFUNCTION("""COMPUTED_VALUE"""),"Ilya")</f>
        <v>Ilya</v>
      </c>
      <c r="G143" s="327" t="str">
        <f>IFERROR(__xludf.DUMMYFUNCTION("""COMPUTED_VALUE"""),"Deriglazov")</f>
        <v>Deriglazov</v>
      </c>
      <c r="H143" s="327" t="str">
        <f>IFERROR(__xludf.DUMMYFUNCTION("""COMPUTED_VALUE"""),"Russia")</f>
        <v>Russia</v>
      </c>
      <c r="I143" s="329" t="str">
        <f>IFERROR(__xludf.DUMMYFUNCTION("""COMPUTED_VALUE"""),"4")</f>
        <v>4</v>
      </c>
    </row>
    <row r="144">
      <c r="A144" s="186"/>
      <c r="B144" s="331" t="str">
        <f>IFERROR(__xludf.DUMMYFUNCTION("""COMPUTED_VALUE"""),"Poor Rangers")</f>
        <v>Poor Rangers</v>
      </c>
      <c r="C144" s="332" t="str">
        <f>IFERROR(__xludf.DUMMYFUNCTION("""COMPUTED_VALUE"""),"Coach")</f>
        <v>Coach</v>
      </c>
      <c r="D144" s="332" t="str">
        <f>IFERROR(__xludf.DUMMYFUNCTION("""COMPUTED_VALUE"""),"Coach")</f>
        <v>Coach</v>
      </c>
      <c r="E144" s="342" t="str">
        <f>IFERROR(__xludf.DUMMYFUNCTION("""COMPUTED_VALUE"""),"j4")</f>
        <v>j4</v>
      </c>
      <c r="F144" s="342" t="str">
        <f>IFERROR(__xludf.DUMMYFUNCTION("""COMPUTED_VALUE"""),"Aliaksei ")</f>
        <v>Aliaksei </v>
      </c>
      <c r="G144" s="342" t="str">
        <f>IFERROR(__xludf.DUMMYFUNCTION("""COMPUTED_VALUE""")," Lipai")</f>
        <v> Lipai</v>
      </c>
      <c r="H144" s="343" t="str">
        <f>IFERROR(__xludf.DUMMYFUNCTION("""COMPUTED_VALUE"""),"Belarus")</f>
        <v>Belarus</v>
      </c>
      <c r="I144" s="333"/>
    </row>
    <row r="145">
      <c r="A145" s="186"/>
      <c r="B145" s="378"/>
      <c r="C145" s="378"/>
      <c r="D145" s="378"/>
      <c r="E145" s="379"/>
      <c r="F145" s="379"/>
      <c r="G145" s="379"/>
      <c r="H145" s="379"/>
      <c r="I145" s="330"/>
    </row>
    <row r="146">
      <c r="A146" s="186"/>
      <c r="B146" s="378" t="str">
        <f>IFERROR(__xludf.DUMMYFUNCTION("""COMPUTED_VALUE"""),"L1 TEAM")</f>
        <v>L1 TEAM</v>
      </c>
      <c r="C146" s="378" t="str">
        <f>IFERROR(__xludf.DUMMYFUNCTION("""COMPUTED_VALUE"""),"Player")</f>
        <v>Player</v>
      </c>
      <c r="D146" s="378">
        <f>IFERROR(__xludf.DUMMYFUNCTION("""COMPUTED_VALUE"""),1.0)</f>
        <v>1</v>
      </c>
      <c r="E146" s="379" t="str">
        <f>IFERROR(__xludf.DUMMYFUNCTION("""COMPUTED_VALUE"""),"ssnovv1")</f>
        <v>ssnovv1</v>
      </c>
      <c r="F146" s="379" t="str">
        <f>IFERROR(__xludf.DUMMYFUNCTION("""COMPUTED_VALUE"""),"Ilya")</f>
        <v>Ilya</v>
      </c>
      <c r="G146" s="379" t="str">
        <f>IFERROR(__xludf.DUMMYFUNCTION("""COMPUTED_VALUE"""),"Kondrashov")</f>
        <v>Kondrashov</v>
      </c>
      <c r="H146" s="379" t="str">
        <f>IFERROR(__xludf.DUMMYFUNCTION("""COMPUTED_VALUE"""),"Russia")</f>
        <v>Russia</v>
      </c>
      <c r="I146" s="329" t="str">
        <f>IFERROR(__xludf.DUMMYFUNCTION("""COMPUTED_VALUE"""),"1")</f>
        <v>1</v>
      </c>
    </row>
    <row r="147">
      <c r="A147" s="186"/>
      <c r="B147" s="378" t="str">
        <f>IFERROR(__xludf.DUMMYFUNCTION("""COMPUTED_VALUE"""),"L1 TEAM")</f>
        <v>L1 TEAM</v>
      </c>
      <c r="C147" s="378" t="str">
        <f>IFERROR(__xludf.DUMMYFUNCTION("""COMPUTED_VALUE"""),"Player")</f>
        <v>Player</v>
      </c>
      <c r="D147" s="378">
        <f>IFERROR(__xludf.DUMMYFUNCTION("""COMPUTED_VALUE"""),2.0)</f>
        <v>2</v>
      </c>
      <c r="E147" s="379" t="str">
        <f>IFERROR(__xludf.DUMMYFUNCTION("""COMPUTED_VALUE"""),"Mirage`")</f>
        <v>Mirage`</v>
      </c>
      <c r="F147" s="379" t="str">
        <f>IFERROR(__xludf.DUMMYFUNCTION("""COMPUTED_VALUE"""),"Miras")</f>
        <v>Miras</v>
      </c>
      <c r="G147" s="379" t="str">
        <f>IFERROR(__xludf.DUMMYFUNCTION("""COMPUTED_VALUE"""),"Mutanov")</f>
        <v>Mutanov</v>
      </c>
      <c r="H147" s="379" t="str">
        <f>IFERROR(__xludf.DUMMYFUNCTION("""COMPUTED_VALUE"""),"Kazakhstan")</f>
        <v>Kazakhstan</v>
      </c>
      <c r="I147" s="329" t="str">
        <f>IFERROR(__xludf.DUMMYFUNCTION("""COMPUTED_VALUE"""),"3")</f>
        <v>3</v>
      </c>
    </row>
    <row r="148">
      <c r="A148" s="186"/>
      <c r="B148" s="378" t="str">
        <f>IFERROR(__xludf.DUMMYFUNCTION("""COMPUTED_VALUE"""),"L1 TEAM")</f>
        <v>L1 TEAM</v>
      </c>
      <c r="C148" s="378" t="str">
        <f>IFERROR(__xludf.DUMMYFUNCTION("""COMPUTED_VALUE"""),"Player")</f>
        <v>Player</v>
      </c>
      <c r="D148" s="378">
        <f>IFERROR(__xludf.DUMMYFUNCTION("""COMPUTED_VALUE"""),3.0)</f>
        <v>3</v>
      </c>
      <c r="E148" s="379" t="str">
        <f>IFERROR(__xludf.DUMMYFUNCTION("""COMPUTED_VALUE"""),"CORRUPTED")</f>
        <v>CORRUPTED</v>
      </c>
      <c r="F148" s="379" t="str">
        <f>IFERROR(__xludf.DUMMYFUNCTION("""COMPUTED_VALUE"""),"Ivan")</f>
        <v>Ivan</v>
      </c>
      <c r="G148" s="379" t="str">
        <f>IFERROR(__xludf.DUMMYFUNCTION("""COMPUTED_VALUE"""),"German")</f>
        <v>German</v>
      </c>
      <c r="H148" s="379" t="str">
        <f>IFERROR(__xludf.DUMMYFUNCTION("""COMPUTED_VALUE"""),"Russia")</f>
        <v>Russia</v>
      </c>
      <c r="I148" s="329" t="str">
        <f>IFERROR(__xludf.DUMMYFUNCTION("""COMPUTED_VALUE"""),"5")</f>
        <v>5</v>
      </c>
    </row>
    <row r="149">
      <c r="A149" s="186"/>
      <c r="B149" s="378" t="str">
        <f>IFERROR(__xludf.DUMMYFUNCTION("""COMPUTED_VALUE"""),"L1 TEAM")</f>
        <v>L1 TEAM</v>
      </c>
      <c r="C149" s="378" t="str">
        <f>IFERROR(__xludf.DUMMYFUNCTION("""COMPUTED_VALUE"""),"Player")</f>
        <v>Player</v>
      </c>
      <c r="D149" s="378">
        <f>IFERROR(__xludf.DUMMYFUNCTION("""COMPUTED_VALUE"""),4.0)</f>
        <v>4</v>
      </c>
      <c r="E149" s="379" t="str">
        <f>IFERROR(__xludf.DUMMYFUNCTION("""COMPUTED_VALUE"""),"Zayac")</f>
        <v>Zayac</v>
      </c>
      <c r="F149" s="379" t="str">
        <f>IFERROR(__xludf.DUMMYFUNCTION("""COMPUTED_VALUE"""),"Baqyt")</f>
        <v>Baqyt</v>
      </c>
      <c r="G149" s="379" t="str">
        <f>IFERROR(__xludf.DUMMYFUNCTION("""COMPUTED_VALUE"""),"Emiljanov")</f>
        <v>Emiljanov</v>
      </c>
      <c r="H149" s="379" t="str">
        <f>IFERROR(__xludf.DUMMYFUNCTION("""COMPUTED_VALUE"""),"Kyrgyzstan")</f>
        <v>Kyrgyzstan</v>
      </c>
      <c r="I149" s="329" t="str">
        <f>IFERROR(__xludf.DUMMYFUNCTION("""COMPUTED_VALUE"""),"4")</f>
        <v>4</v>
      </c>
    </row>
    <row r="150">
      <c r="A150" s="186"/>
      <c r="B150" s="378" t="str">
        <f>IFERROR(__xludf.DUMMYFUNCTION("""COMPUTED_VALUE"""),"L1 TEAM")</f>
        <v>L1 TEAM</v>
      </c>
      <c r="C150" s="378" t="str">
        <f>IFERROR(__xludf.DUMMYFUNCTION("""COMPUTED_VALUE"""),"Player")</f>
        <v>Player</v>
      </c>
      <c r="D150" s="378">
        <f>IFERROR(__xludf.DUMMYFUNCTION("""COMPUTED_VALUE"""),5.0)</f>
        <v>5</v>
      </c>
      <c r="E150" s="379" t="str">
        <f>IFERROR(__xludf.DUMMYFUNCTION("""COMPUTED_VALUE"""),"RESPECT")</f>
        <v>RESPECT</v>
      </c>
      <c r="F150" s="379" t="str">
        <f>IFERROR(__xludf.DUMMYFUNCTION("""COMPUTED_VALUE"""),"Egor")</f>
        <v>Egor</v>
      </c>
      <c r="G150" s="379" t="str">
        <f>IFERROR(__xludf.DUMMYFUNCTION("""COMPUTED_VALUE"""),"Procurat")</f>
        <v>Procurat</v>
      </c>
      <c r="H150" s="379" t="str">
        <f>IFERROR(__xludf.DUMMYFUNCTION("""COMPUTED_VALUE"""),"Belarus")</f>
        <v>Belarus</v>
      </c>
      <c r="I150" s="329" t="str">
        <f>IFERROR(__xludf.DUMMYFUNCTION("""COMPUTED_VALUE"""),"2")</f>
        <v>2</v>
      </c>
    </row>
    <row r="151">
      <c r="A151" s="186"/>
      <c r="B151" s="331" t="str">
        <f>IFERROR(__xludf.DUMMYFUNCTION("""COMPUTED_VALUE"""),"L1 TEAM")</f>
        <v>L1 TEAM</v>
      </c>
      <c r="C151" s="332" t="str">
        <f>IFERROR(__xludf.DUMMYFUNCTION("""COMPUTED_VALUE"""),"Coach")</f>
        <v>Coach</v>
      </c>
      <c r="D151" s="332" t="str">
        <f>IFERROR(__xludf.DUMMYFUNCTION("""COMPUTED_VALUE"""),"Coach")</f>
        <v>Coach</v>
      </c>
      <c r="E151" s="342" t="str">
        <f>IFERROR(__xludf.DUMMYFUNCTION("""COMPUTED_VALUE"""),"TheChosenOne")</f>
        <v>TheChosenOne</v>
      </c>
      <c r="F151" s="342" t="str">
        <f>IFERROR(__xludf.DUMMYFUNCTION("""COMPUTED_VALUE"""),"Aliaksei")</f>
        <v>Aliaksei</v>
      </c>
      <c r="G151" s="342" t="str">
        <f>IFERROR(__xludf.DUMMYFUNCTION("""COMPUTED_VALUE"""),"Karanevich")</f>
        <v>Karanevich</v>
      </c>
      <c r="H151" s="343" t="str">
        <f>IFERROR(__xludf.DUMMYFUNCTION("""COMPUTED_VALUE"""),"Belarus")</f>
        <v>Belarus</v>
      </c>
      <c r="I151" s="333"/>
    </row>
    <row r="152">
      <c r="A152" s="186"/>
      <c r="B152" s="378"/>
      <c r="C152" s="378"/>
      <c r="D152" s="378"/>
      <c r="E152" s="379"/>
      <c r="F152" s="379"/>
      <c r="G152" s="379"/>
      <c r="H152" s="379"/>
      <c r="I152" s="330"/>
    </row>
    <row r="153">
      <c r="A153" s="186"/>
      <c r="B153" s="378" t="str">
        <f>IFERROR(__xludf.DUMMYFUNCTION("""COMPUTED_VALUE"""),"IC x Insanity")</f>
        <v>IC x Insanity</v>
      </c>
      <c r="C153" s="378" t="str">
        <f>IFERROR(__xludf.DUMMYFUNCTION("""COMPUTED_VALUE"""),"Player")</f>
        <v>Player</v>
      </c>
      <c r="D153" s="378">
        <f>IFERROR(__xludf.DUMMYFUNCTION("""COMPUTED_VALUE"""),1.0)</f>
        <v>1</v>
      </c>
      <c r="E153" s="379">
        <f>IFERROR(__xludf.DUMMYFUNCTION("""COMPUTED_VALUE"""),423.0)</f>
        <v>423</v>
      </c>
      <c r="F153" s="379" t="str">
        <f>IFERROR(__xludf.DUMMYFUNCTION("""COMPUTED_VALUE"""),"Altanginj")</f>
        <v>Altanginj</v>
      </c>
      <c r="G153" s="379" t="str">
        <f>IFERROR(__xludf.DUMMYFUNCTION("""COMPUTED_VALUE"""),"Bilguun")</f>
        <v>Bilguun</v>
      </c>
      <c r="H153" s="379" t="str">
        <f>IFERROR(__xludf.DUMMYFUNCTION("""COMPUTED_VALUE"""),"Mongolia")</f>
        <v>Mongolia</v>
      </c>
      <c r="I153" s="329" t="str">
        <f>IFERROR(__xludf.DUMMYFUNCTION("""COMPUTED_VALUE"""),"1")</f>
        <v>1</v>
      </c>
    </row>
    <row r="154">
      <c r="A154" s="186"/>
      <c r="B154" s="378" t="str">
        <f>IFERROR(__xludf.DUMMYFUNCTION("""COMPUTED_VALUE"""),"IC x Insanity")</f>
        <v>IC x Insanity</v>
      </c>
      <c r="C154" s="378" t="str">
        <f>IFERROR(__xludf.DUMMYFUNCTION("""COMPUTED_VALUE"""),"Player")</f>
        <v>Player</v>
      </c>
      <c r="D154" s="378">
        <f>IFERROR(__xludf.DUMMYFUNCTION("""COMPUTED_VALUE"""),2.0)</f>
        <v>2</v>
      </c>
      <c r="E154" s="379" t="str">
        <f>IFERROR(__xludf.DUMMYFUNCTION("""COMPUTED_VALUE"""),"Stojkov")</f>
        <v>Stojkov</v>
      </c>
      <c r="F154" s="379" t="str">
        <f>IFERROR(__xludf.DUMMYFUNCTION("""COMPUTED_VALUE"""),"Igor")</f>
        <v>Igor</v>
      </c>
      <c r="G154" s="379" t="str">
        <f>IFERROR(__xludf.DUMMYFUNCTION("""COMPUTED_VALUE"""),"Stojkov")</f>
        <v>Stojkov</v>
      </c>
      <c r="H154" s="379" t="str">
        <f>IFERROR(__xludf.DUMMYFUNCTION("""COMPUTED_VALUE"""),"North Macedonia")</f>
        <v>North Macedonia</v>
      </c>
      <c r="I154" s="329" t="str">
        <f>IFERROR(__xludf.DUMMYFUNCTION("""COMPUTED_VALUE"""),"3")</f>
        <v>3</v>
      </c>
    </row>
    <row r="155">
      <c r="A155" s="186"/>
      <c r="B155" s="378" t="str">
        <f>IFERROR(__xludf.DUMMYFUNCTION("""COMPUTED_VALUE"""),"IC x Insanity")</f>
        <v>IC x Insanity</v>
      </c>
      <c r="C155" s="378" t="str">
        <f>IFERROR(__xludf.DUMMYFUNCTION("""COMPUTED_VALUE"""),"Player")</f>
        <v>Player</v>
      </c>
      <c r="D155" s="378">
        <f>IFERROR(__xludf.DUMMYFUNCTION("""COMPUTED_VALUE"""),3.0)</f>
        <v>3</v>
      </c>
      <c r="E155" s="379" t="str">
        <f>IFERROR(__xludf.DUMMYFUNCTION("""COMPUTED_VALUE"""),"laise")</f>
        <v>laise</v>
      </c>
      <c r="F155" s="379" t="str">
        <f>IFERROR(__xludf.DUMMYFUNCTION("""COMPUTED_VALUE"""),"Vladislav")</f>
        <v>Vladislav</v>
      </c>
      <c r="G155" s="379" t="str">
        <f>IFERROR(__xludf.DUMMYFUNCTION("""COMPUTED_VALUE"""),"Lais")</f>
        <v>Lais</v>
      </c>
      <c r="H155" s="379" t="str">
        <f>IFERROR(__xludf.DUMMYFUNCTION("""COMPUTED_VALUE"""),"Ukraine")</f>
        <v>Ukraine</v>
      </c>
      <c r="I155" s="329" t="str">
        <f>IFERROR(__xludf.DUMMYFUNCTION("""COMPUTED_VALUE"""),"5")</f>
        <v>5</v>
      </c>
    </row>
    <row r="156">
      <c r="A156" s="186"/>
      <c r="B156" s="378" t="str">
        <f>IFERROR(__xludf.DUMMYFUNCTION("""COMPUTED_VALUE"""),"IC x Insanity")</f>
        <v>IC x Insanity</v>
      </c>
      <c r="C156" s="378" t="str">
        <f>IFERROR(__xludf.DUMMYFUNCTION("""COMPUTED_VALUE"""),"Player")</f>
        <v>Player</v>
      </c>
      <c r="D156" s="378">
        <f>IFERROR(__xludf.DUMMYFUNCTION("""COMPUTED_VALUE"""),4.0)</f>
        <v>4</v>
      </c>
      <c r="E156" s="379" t="str">
        <f>IFERROR(__xludf.DUMMYFUNCTION("""COMPUTED_VALUE"""),"Fernans")</f>
        <v>Fernans</v>
      </c>
      <c r="F156" s="379" t="str">
        <f>IFERROR(__xludf.DUMMYFUNCTION("""COMPUTED_VALUE"""),"Vladyslav")</f>
        <v>Vladyslav</v>
      </c>
      <c r="G156" s="379" t="str">
        <f>IFERROR(__xludf.DUMMYFUNCTION("""COMPUTED_VALUE"""),"Kochetkov")</f>
        <v>Kochetkov</v>
      </c>
      <c r="H156" s="379" t="str">
        <f>IFERROR(__xludf.DUMMYFUNCTION("""COMPUTED_VALUE"""),"Ukraine")</f>
        <v>Ukraine</v>
      </c>
      <c r="I156" s="329" t="str">
        <f>IFERROR(__xludf.DUMMYFUNCTION("""COMPUTED_VALUE"""),"4")</f>
        <v>4</v>
      </c>
    </row>
    <row r="157">
      <c r="A157" s="186"/>
      <c r="B157" s="378" t="str">
        <f>IFERROR(__xludf.DUMMYFUNCTION("""COMPUTED_VALUE"""),"IC x Insanity")</f>
        <v>IC x Insanity</v>
      </c>
      <c r="C157" s="378" t="str">
        <f>IFERROR(__xludf.DUMMYFUNCTION("""COMPUTED_VALUE"""),"Player")</f>
        <v>Player</v>
      </c>
      <c r="D157" s="378">
        <f>IFERROR(__xludf.DUMMYFUNCTION("""COMPUTED_VALUE"""),5.0)</f>
        <v>5</v>
      </c>
      <c r="E157" s="379" t="str">
        <f>IFERROR(__xludf.DUMMYFUNCTION("""COMPUTED_VALUE"""),"Se")</f>
        <v>Se</v>
      </c>
      <c r="F157" s="379" t="str">
        <f>IFERROR(__xludf.DUMMYFUNCTION("""COMPUTED_VALUE"""),"Tugstur")</f>
        <v>Tugstur</v>
      </c>
      <c r="G157" s="379" t="str">
        <f>IFERROR(__xludf.DUMMYFUNCTION("""COMPUTED_VALUE"""),"Dashzevge")</f>
        <v>Dashzevge</v>
      </c>
      <c r="H157" s="379" t="str">
        <f>IFERROR(__xludf.DUMMYFUNCTION("""COMPUTED_VALUE"""),"Mongolia")</f>
        <v>Mongolia</v>
      </c>
      <c r="I157" s="329" t="str">
        <f>IFERROR(__xludf.DUMMYFUNCTION("""COMPUTED_VALUE"""),"2")</f>
        <v>2</v>
      </c>
    </row>
    <row r="158">
      <c r="A158" s="186"/>
      <c r="B158" s="331" t="str">
        <f>IFERROR(__xludf.DUMMYFUNCTION("""COMPUTED_VALUE"""),"IC x Insanity")</f>
        <v>IC x Insanity</v>
      </c>
      <c r="C158" s="332" t="str">
        <f>IFERROR(__xludf.DUMMYFUNCTION("""COMPUTED_VALUE"""),"Coach")</f>
        <v>Coach</v>
      </c>
      <c r="D158" s="332" t="str">
        <f>IFERROR(__xludf.DUMMYFUNCTION("""COMPUTED_VALUE"""),"Coach")</f>
        <v>Coach</v>
      </c>
      <c r="E158" s="342" t="str">
        <f>IFERROR(__xludf.DUMMYFUNCTION("""COMPUTED_VALUE"""),"Artstyle")</f>
        <v>Artstyle</v>
      </c>
      <c r="F158" s="342" t="str">
        <f>IFERROR(__xludf.DUMMYFUNCTION("""COMPUTED_VALUE"""),"Ivan")</f>
        <v>Ivan</v>
      </c>
      <c r="G158" s="342" t="str">
        <f>IFERROR(__xludf.DUMMYFUNCTION("""COMPUTED_VALUE"""),"Antonov")</f>
        <v>Antonov</v>
      </c>
      <c r="H158" s="343" t="str">
        <f>IFERROR(__xludf.DUMMYFUNCTION("""COMPUTED_VALUE"""),"Ukraine")</f>
        <v>Ukraine</v>
      </c>
      <c r="I158" s="333"/>
    </row>
    <row r="159">
      <c r="A159" s="186"/>
      <c r="B159" s="378"/>
      <c r="C159" s="378"/>
      <c r="D159" s="378"/>
      <c r="E159" s="379"/>
      <c r="F159" s="379"/>
      <c r="G159" s="379"/>
      <c r="H159" s="379"/>
      <c r="I159" s="330"/>
    </row>
    <row r="160">
      <c r="A160" s="186"/>
      <c r="B160" s="378" t="str">
        <f>IFERROR(__xludf.DUMMYFUNCTION("""COMPUTED_VALUE"""),"LGD Gaming")</f>
        <v>LGD Gaming</v>
      </c>
      <c r="C160" s="378" t="str">
        <f>IFERROR(__xludf.DUMMYFUNCTION("""COMPUTED_VALUE"""),"Player")</f>
        <v>Player</v>
      </c>
      <c r="D160" s="378">
        <f>IFERROR(__xludf.DUMMYFUNCTION("""COMPUTED_VALUE"""),1.0)</f>
        <v>1</v>
      </c>
      <c r="E160" s="379" t="str">
        <f>IFERROR(__xludf.DUMMYFUNCTION("""COMPUTED_VALUE"""),"Yuma")</f>
        <v>Yuma</v>
      </c>
      <c r="F160" s="379" t="str">
        <f>IFERROR(__xludf.DUMMYFUNCTION("""COMPUTED_VALUE"""),"Yuma")</f>
        <v>Yuma</v>
      </c>
      <c r="G160" s="379" t="str">
        <f>IFERROR(__xludf.DUMMYFUNCTION("""COMPUTED_VALUE"""),"Langlet")</f>
        <v>Langlet</v>
      </c>
      <c r="H160" s="379" t="str">
        <f>IFERROR(__xludf.DUMMYFUNCTION("""COMPUTED_VALUE"""),"Nicaragua")</f>
        <v>Nicaragua</v>
      </c>
      <c r="I160" s="329" t="str">
        <f>IFERROR(__xludf.DUMMYFUNCTION("""COMPUTED_VALUE"""),"5")</f>
        <v>5</v>
      </c>
    </row>
    <row r="161">
      <c r="A161" s="186"/>
      <c r="B161" s="378" t="str">
        <f>IFERROR(__xludf.DUMMYFUNCTION("""COMPUTED_VALUE"""),"LGD Gaming")</f>
        <v>LGD Gaming</v>
      </c>
      <c r="C161" s="378" t="str">
        <f>IFERROR(__xludf.DUMMYFUNCTION("""COMPUTED_VALUE"""),"Player")</f>
        <v>Player</v>
      </c>
      <c r="D161" s="380">
        <f>IFERROR(__xludf.DUMMYFUNCTION("""COMPUTED_VALUE"""),2.0)</f>
        <v>2</v>
      </c>
      <c r="E161" s="379" t="str">
        <f>IFERROR(__xludf.DUMMYFUNCTION("""COMPUTED_VALUE"""),"TaiLung")</f>
        <v>TaiLung</v>
      </c>
      <c r="F161" s="379" t="str">
        <f>IFERROR(__xludf.DUMMYFUNCTION("""COMPUTED_VALUE"""),"Santiago")</f>
        <v>Santiago</v>
      </c>
      <c r="G161" s="379" t="str">
        <f>IFERROR(__xludf.DUMMYFUNCTION("""COMPUTED_VALUE"""),"Agüero")</f>
        <v>Agüero</v>
      </c>
      <c r="H161" s="379" t="str">
        <f>IFERROR(__xludf.DUMMYFUNCTION("""COMPUTED_VALUE"""),"Peru")</f>
        <v>Peru</v>
      </c>
      <c r="I161" s="329" t="str">
        <f>IFERROR(__xludf.DUMMYFUNCTION("""COMPUTED_VALUE"""),"2")</f>
        <v>2</v>
      </c>
    </row>
    <row r="162">
      <c r="A162" s="186"/>
      <c r="B162" s="378" t="str">
        <f>IFERROR(__xludf.DUMMYFUNCTION("""COMPUTED_VALUE"""),"LGD Gaming")</f>
        <v>LGD Gaming</v>
      </c>
      <c r="C162" s="378" t="str">
        <f>IFERROR(__xludf.DUMMYFUNCTION("""COMPUTED_VALUE"""),"Player")</f>
        <v>Player</v>
      </c>
      <c r="D162" s="380" t="str">
        <f>IFERROR(__xludf.DUMMYFUNCTION("""COMPUTED_VALUE"""),"3")</f>
        <v>3</v>
      </c>
      <c r="E162" s="379" t="str">
        <f>IFERROR(__xludf.DUMMYFUNCTION("""COMPUTED_VALUE"""),"Wisper")</f>
        <v>Wisper</v>
      </c>
      <c r="F162" s="379" t="str">
        <f>IFERROR(__xludf.DUMMYFUNCTION("""COMPUTED_VALUE"""),"Adrian")</f>
        <v>Adrian</v>
      </c>
      <c r="G162" s="379" t="str">
        <f>IFERROR(__xludf.DUMMYFUNCTION("""COMPUTED_VALUE"""),"Dobles")</f>
        <v>Dobles</v>
      </c>
      <c r="H162" s="379" t="str">
        <f>IFERROR(__xludf.DUMMYFUNCTION("""COMPUTED_VALUE"""),"Bolivia")</f>
        <v>Bolivia</v>
      </c>
      <c r="I162" s="329" t="str">
        <f>IFERROR(__xludf.DUMMYFUNCTION("""COMPUTED_VALUE"""),"1")</f>
        <v>1</v>
      </c>
    </row>
    <row r="163">
      <c r="A163" s="186"/>
      <c r="B163" s="378" t="str">
        <f>IFERROR(__xludf.DUMMYFUNCTION("""COMPUTED_VALUE"""),"LGD Gaming")</f>
        <v>LGD Gaming</v>
      </c>
      <c r="C163" s="378" t="str">
        <f>IFERROR(__xludf.DUMMYFUNCTION("""COMPUTED_VALUE"""),"Player")</f>
        <v>Player</v>
      </c>
      <c r="D163" s="378">
        <f>IFERROR(__xludf.DUMMYFUNCTION("""COMPUTED_VALUE"""),4.0)</f>
        <v>4</v>
      </c>
      <c r="E163" s="379" t="str">
        <f>IFERROR(__xludf.DUMMYFUNCTION("""COMPUTED_VALUE"""),"Thiolicor")</f>
        <v>Thiolicor</v>
      </c>
      <c r="F163" s="379" t="str">
        <f>IFERROR(__xludf.DUMMYFUNCTION("""COMPUTED_VALUE"""),"Thiago")</f>
        <v>Thiago</v>
      </c>
      <c r="G163" s="379" t="str">
        <f>IFERROR(__xludf.DUMMYFUNCTION("""COMPUTED_VALUE"""),"de Oliveira Cordeiro")</f>
        <v>de Oliveira Cordeiro</v>
      </c>
      <c r="H163" s="379" t="str">
        <f>IFERROR(__xludf.DUMMYFUNCTION("""COMPUTED_VALUE"""),"Brazil")</f>
        <v>Brazil</v>
      </c>
      <c r="I163" s="329" t="str">
        <f>IFERROR(__xludf.DUMMYFUNCTION("""COMPUTED_VALUE"""),"3")</f>
        <v>3</v>
      </c>
    </row>
    <row r="164">
      <c r="A164" s="186"/>
      <c r="B164" s="378" t="str">
        <f>IFERROR(__xludf.DUMMYFUNCTION("""COMPUTED_VALUE"""),"LGD Gaming")</f>
        <v>LGD Gaming</v>
      </c>
      <c r="C164" s="378" t="str">
        <f>IFERROR(__xludf.DUMMYFUNCTION("""COMPUTED_VALUE"""),"Player")</f>
        <v>Player</v>
      </c>
      <c r="D164" s="378">
        <f>IFERROR(__xludf.DUMMYFUNCTION("""COMPUTED_VALUE"""),5.0)</f>
        <v>5</v>
      </c>
      <c r="E164" s="379" t="str">
        <f>IFERROR(__xludf.DUMMYFUNCTION("""COMPUTED_VALUE"""),"KingJungles")</f>
        <v>KingJungles</v>
      </c>
      <c r="F164" s="379" t="str">
        <f>IFERROR(__xludf.DUMMYFUNCTION("""COMPUTED_VALUE"""),"Mateus")</f>
        <v>Mateus</v>
      </c>
      <c r="G164" s="379" t="str">
        <f>IFERROR(__xludf.DUMMYFUNCTION("""COMPUTED_VALUE"""),"Santos Jungles Diniz")</f>
        <v>Santos Jungles Diniz</v>
      </c>
      <c r="H164" s="379" t="str">
        <f>IFERROR(__xludf.DUMMYFUNCTION("""COMPUTED_VALUE"""),"Brazil")</f>
        <v>Brazil</v>
      </c>
      <c r="I164" s="329" t="str">
        <f>IFERROR(__xludf.DUMMYFUNCTION("""COMPUTED_VALUE"""),"4")</f>
        <v>4</v>
      </c>
    </row>
    <row r="165">
      <c r="A165" s="186"/>
      <c r="B165" s="331" t="str">
        <f>IFERROR(__xludf.DUMMYFUNCTION("""COMPUTED_VALUE"""),"LGD Gaming")</f>
        <v>LGD Gaming</v>
      </c>
      <c r="C165" s="332" t="str">
        <f>IFERROR(__xludf.DUMMYFUNCTION("""COMPUTED_VALUE"""),"Coach")</f>
        <v>Coach</v>
      </c>
      <c r="D165" s="332" t="str">
        <f>IFERROR(__xludf.DUMMYFUNCTION("""COMPUTED_VALUE"""),"Coach")</f>
        <v>Coach</v>
      </c>
      <c r="E165" s="342" t="str">
        <f>IFERROR(__xludf.DUMMYFUNCTION("""COMPUTED_VALUE"""),"kaffs")</f>
        <v>kaffs</v>
      </c>
      <c r="F165" s="342" t="str">
        <f>IFERROR(__xludf.DUMMYFUNCTION("""COMPUTED_VALUE"""),"Igor")</f>
        <v>Igor</v>
      </c>
      <c r="G165" s="342" t="str">
        <f>IFERROR(__xludf.DUMMYFUNCTION("""COMPUTED_VALUE"""),"Estevão")</f>
        <v>Estevão</v>
      </c>
      <c r="H165" s="343" t="str">
        <f>IFERROR(__xludf.DUMMYFUNCTION("""COMPUTED_VALUE"""),"Brazil")</f>
        <v>Brazil</v>
      </c>
      <c r="I165" s="333"/>
    </row>
    <row r="166">
      <c r="A166" s="186"/>
      <c r="B166" s="378"/>
      <c r="C166" s="378"/>
      <c r="D166" s="378"/>
      <c r="E166" s="379"/>
      <c r="F166" s="379"/>
      <c r="G166" s="379"/>
      <c r="H166" s="379"/>
      <c r="I166" s="330"/>
    </row>
    <row r="167">
      <c r="A167" s="186"/>
      <c r="B167" s="378" t="str">
        <f>IFERROR(__xludf.DUMMYFUNCTION("""COMPUTED_VALUE"""),"Rune Eaters")</f>
        <v>Rune Eaters</v>
      </c>
      <c r="C167" s="378" t="str">
        <f>IFERROR(__xludf.DUMMYFUNCTION("""COMPUTED_VALUE"""),"Player")</f>
        <v>Player</v>
      </c>
      <c r="D167" s="378">
        <f>IFERROR(__xludf.DUMMYFUNCTION("""COMPUTED_VALUE"""),1.0)</f>
        <v>1</v>
      </c>
      <c r="E167" s="379" t="str">
        <f>IFERROR(__xludf.DUMMYFUNCTION("""COMPUTED_VALUE"""),"Darklord^")</f>
        <v>Darklord^</v>
      </c>
      <c r="F167" s="379" t="str">
        <f>IFERROR(__xludf.DUMMYFUNCTION("""COMPUTED_VALUE"""),"Mikhail")</f>
        <v>Mikhail</v>
      </c>
      <c r="G167" s="379" t="str">
        <f>IFERROR(__xludf.DUMMYFUNCTION("""COMPUTED_VALUE"""),"Blinov")</f>
        <v>Blinov</v>
      </c>
      <c r="H167" s="379" t="str">
        <f>IFERROR(__xludf.DUMMYFUNCTION("""COMPUTED_VALUE"""),"Ukraine")</f>
        <v>Ukraine</v>
      </c>
      <c r="I167" s="329" t="str">
        <f>IFERROR(__xludf.DUMMYFUNCTION("""COMPUTED_VALUE"""),"1")</f>
        <v>1</v>
      </c>
    </row>
    <row r="168">
      <c r="A168" s="186"/>
      <c r="B168" s="378" t="str">
        <f>IFERROR(__xludf.DUMMYFUNCTION("""COMPUTED_VALUE"""),"Rune Eaters")</f>
        <v>Rune Eaters</v>
      </c>
      <c r="C168" s="378" t="str">
        <f>IFERROR(__xludf.DUMMYFUNCTION("""COMPUTED_VALUE"""),"Player")</f>
        <v>Player</v>
      </c>
      <c r="D168" s="378">
        <f>IFERROR(__xludf.DUMMYFUNCTION("""COMPUTED_VALUE"""),2.0)</f>
        <v>2</v>
      </c>
      <c r="E168" s="379" t="str">
        <f>IFERROR(__xludf.DUMMYFUNCTION("""COMPUTED_VALUE"""),"Copy")</f>
        <v>Copy</v>
      </c>
      <c r="F168" s="379" t="str">
        <f>IFERROR(__xludf.DUMMYFUNCTION("""COMPUTED_VALUE"""),"Philipp")</f>
        <v>Philipp</v>
      </c>
      <c r="G168" s="379" t="str">
        <f>IFERROR(__xludf.DUMMYFUNCTION("""COMPUTED_VALUE"""),"Bühler")</f>
        <v>Bühler</v>
      </c>
      <c r="H168" s="379" t="str">
        <f>IFERROR(__xludf.DUMMYFUNCTION("""COMPUTED_VALUE"""),"Germany")</f>
        <v>Germany</v>
      </c>
      <c r="I168" s="329" t="str">
        <f>IFERROR(__xludf.DUMMYFUNCTION("""COMPUTED_VALUE"""),"5")</f>
        <v>5</v>
      </c>
    </row>
    <row r="169">
      <c r="A169" s="186"/>
      <c r="B169" s="378" t="str">
        <f>IFERROR(__xludf.DUMMYFUNCTION("""COMPUTED_VALUE"""),"Rune Eaters")</f>
        <v>Rune Eaters</v>
      </c>
      <c r="C169" s="378" t="str">
        <f>IFERROR(__xludf.DUMMYFUNCTION("""COMPUTED_VALUE"""),"Player")</f>
        <v>Player</v>
      </c>
      <c r="D169" s="378">
        <f>IFERROR(__xludf.DUMMYFUNCTION("""COMPUTED_VALUE"""),3.0)</f>
        <v>3</v>
      </c>
      <c r="E169" s="379" t="str">
        <f>IFERROR(__xludf.DUMMYFUNCTION("""COMPUTED_VALUE"""),"Malik")</f>
        <v>Malik</v>
      </c>
      <c r="F169" s="379" t="str">
        <f>IFERROR(__xludf.DUMMYFUNCTION("""COMPUTED_VALUE"""),"Abdimalik")</f>
        <v>Abdimalik</v>
      </c>
      <c r="G169" s="379" t="str">
        <f>IFERROR(__xludf.DUMMYFUNCTION("""COMPUTED_VALUE"""),"Sailau")</f>
        <v>Sailau</v>
      </c>
      <c r="H169" s="379" t="str">
        <f>IFERROR(__xludf.DUMMYFUNCTION("""COMPUTED_VALUE"""),"Kazakhstan")</f>
        <v>Kazakhstan</v>
      </c>
      <c r="I169" s="329" t="str">
        <f>IFERROR(__xludf.DUMMYFUNCTION("""COMPUTED_VALUE"""),"4")</f>
        <v>4</v>
      </c>
    </row>
    <row r="170">
      <c r="A170" s="186"/>
      <c r="B170" s="378" t="str">
        <f>IFERROR(__xludf.DUMMYFUNCTION("""COMPUTED_VALUE"""),"Rune Eaters")</f>
        <v>Rune Eaters</v>
      </c>
      <c r="C170" s="378" t="str">
        <f>IFERROR(__xludf.DUMMYFUNCTION("""COMPUTED_VALUE"""),"Player")</f>
        <v>Player</v>
      </c>
      <c r="D170" s="378">
        <f>IFERROR(__xludf.DUMMYFUNCTION("""COMPUTED_VALUE"""),5.0)</f>
        <v>5</v>
      </c>
      <c r="E170" s="379" t="str">
        <f>IFERROR(__xludf.DUMMYFUNCTION("""COMPUTED_VALUE"""),"aik")</f>
        <v>aik</v>
      </c>
      <c r="F170" s="379" t="str">
        <f>IFERROR(__xludf.DUMMYFUNCTION("""COMPUTED_VALUE"""),"Alim")</f>
        <v>Alim</v>
      </c>
      <c r="G170" s="379" t="str">
        <f>IFERROR(__xludf.DUMMYFUNCTION("""COMPUTED_VALUE"""),"Bespayev")</f>
        <v>Bespayev</v>
      </c>
      <c r="H170" s="379" t="str">
        <f>IFERROR(__xludf.DUMMYFUNCTION("""COMPUTED_VALUE"""),"Kazakhstan")</f>
        <v>Kazakhstan</v>
      </c>
      <c r="I170" s="329" t="str">
        <f>IFERROR(__xludf.DUMMYFUNCTION("""COMPUTED_VALUE"""),"2")</f>
        <v>2</v>
      </c>
    </row>
    <row r="171">
      <c r="A171" s="186"/>
      <c r="B171" s="378" t="str">
        <f>IFERROR(__xludf.DUMMYFUNCTION("""COMPUTED_VALUE"""),"Rune Eaters")</f>
        <v>Rune Eaters</v>
      </c>
      <c r="C171" s="378" t="str">
        <f>IFERROR(__xludf.DUMMYFUNCTION("""COMPUTED_VALUE"""),"Player")</f>
        <v>Player</v>
      </c>
      <c r="D171" s="378">
        <f>IFERROR(__xludf.DUMMYFUNCTION("""COMPUTED_VALUE"""),4.0)</f>
        <v>4</v>
      </c>
      <c r="E171" s="379" t="str">
        <f>IFERROR(__xludf.DUMMYFUNCTION("""COMPUTED_VALUE"""),"Ekki")</f>
        <v>Ekki</v>
      </c>
      <c r="F171" s="379" t="str">
        <f>IFERROR(__xludf.DUMMYFUNCTION("""COMPUTED_VALUE"""),"Marcel")</f>
        <v>Marcel</v>
      </c>
      <c r="G171" s="379" t="str">
        <f>IFERROR(__xludf.DUMMYFUNCTION("""COMPUTED_VALUE"""),"Hołowienko")</f>
        <v>Hołowienko</v>
      </c>
      <c r="H171" s="379" t="str">
        <f>IFERROR(__xludf.DUMMYFUNCTION("""COMPUTED_VALUE"""),"Poland")</f>
        <v>Poland</v>
      </c>
      <c r="I171" s="329" t="str">
        <f>IFERROR(__xludf.DUMMYFUNCTION("""COMPUTED_VALUE"""),"3")</f>
        <v>3</v>
      </c>
    </row>
    <row r="172">
      <c r="A172" s="186"/>
      <c r="B172" s="331" t="str">
        <f>IFERROR(__xludf.DUMMYFUNCTION("""COMPUTED_VALUE"""),"Rune Eaters")</f>
        <v>Rune Eaters</v>
      </c>
      <c r="C172" s="332" t="str">
        <f>IFERROR(__xludf.DUMMYFUNCTION("""COMPUTED_VALUE"""),"Coach")</f>
        <v>Coach</v>
      </c>
      <c r="D172" s="332" t="str">
        <f>IFERROR(__xludf.DUMMYFUNCTION("""COMPUTED_VALUE"""),"Coach")</f>
        <v>Coach</v>
      </c>
      <c r="E172" s="342" t="str">
        <f>IFERROR(__xludf.DUMMYFUNCTION("""COMPUTED_VALUE"""),"Mag")</f>
        <v>Mag</v>
      </c>
      <c r="F172" s="342" t="str">
        <f>IFERROR(__xludf.DUMMYFUNCTION("""COMPUTED_VALUE"""),"Andrii")</f>
        <v>Andrii</v>
      </c>
      <c r="G172" s="342" t="str">
        <f>IFERROR(__xludf.DUMMYFUNCTION("""COMPUTED_VALUE"""),"Chipenko")</f>
        <v>Chipenko</v>
      </c>
      <c r="H172" s="343" t="str">
        <f>IFERROR(__xludf.DUMMYFUNCTION("""COMPUTED_VALUE"""),"Ukraine")</f>
        <v>Ukraine</v>
      </c>
      <c r="I172" s="333"/>
    </row>
    <row r="173">
      <c r="A173" s="186"/>
      <c r="B173" s="330"/>
      <c r="C173" s="330"/>
      <c r="D173" s="330"/>
      <c r="E173" s="330"/>
      <c r="F173" s="330"/>
      <c r="G173" s="330"/>
      <c r="H173" s="330"/>
      <c r="I173" s="330"/>
    </row>
    <row r="174">
      <c r="A174" s="186"/>
      <c r="B174" s="330"/>
      <c r="C174" s="330"/>
      <c r="D174" s="330"/>
      <c r="E174" s="330"/>
      <c r="F174" s="330"/>
      <c r="G174" s="330"/>
      <c r="H174" s="330"/>
      <c r="I174" s="330"/>
    </row>
    <row r="175">
      <c r="A175" s="186"/>
      <c r="B175" s="330"/>
      <c r="C175" s="330"/>
      <c r="D175" s="330"/>
      <c r="E175" s="330"/>
      <c r="F175" s="330"/>
      <c r="G175" s="330"/>
      <c r="H175" s="330"/>
      <c r="I175" s="330"/>
    </row>
    <row r="176">
      <c r="A176" s="186"/>
      <c r="B176" s="330"/>
      <c r="C176" s="330"/>
      <c r="D176" s="330"/>
      <c r="E176" s="330"/>
      <c r="F176" s="330"/>
      <c r="G176" s="330"/>
      <c r="H176" s="330"/>
      <c r="I176" s="330"/>
    </row>
    <row r="177">
      <c r="A177" s="186"/>
      <c r="B177" s="330"/>
      <c r="C177" s="330"/>
      <c r="D177" s="330"/>
      <c r="E177" s="330"/>
      <c r="F177" s="330"/>
      <c r="G177" s="330"/>
      <c r="H177" s="330"/>
      <c r="I177" s="330"/>
    </row>
    <row r="178">
      <c r="A178" s="186"/>
      <c r="B178" s="330"/>
      <c r="C178" s="330"/>
      <c r="D178" s="330"/>
      <c r="E178" s="330"/>
      <c r="F178" s="330"/>
      <c r="G178" s="330"/>
      <c r="H178" s="330"/>
      <c r="I178" s="330"/>
    </row>
    <row r="179">
      <c r="A179" s="186"/>
      <c r="B179" s="330"/>
      <c r="C179" s="330"/>
      <c r="D179" s="330"/>
      <c r="E179" s="330"/>
      <c r="F179" s="330"/>
      <c r="G179" s="330"/>
      <c r="H179" s="330"/>
      <c r="I179" s="330"/>
    </row>
    <row r="180">
      <c r="A180" s="186"/>
      <c r="B180" s="330"/>
      <c r="C180" s="330"/>
      <c r="D180" s="330"/>
      <c r="E180" s="330"/>
      <c r="F180" s="330"/>
      <c r="G180" s="330"/>
      <c r="H180" s="330"/>
      <c r="I180" s="330"/>
    </row>
    <row r="181">
      <c r="A181" s="186"/>
      <c r="B181" s="330"/>
      <c r="C181" s="330"/>
      <c r="D181" s="330"/>
      <c r="E181" s="330"/>
      <c r="F181" s="330"/>
      <c r="G181" s="330"/>
      <c r="H181" s="330"/>
      <c r="I181" s="330"/>
    </row>
    <row r="182">
      <c r="A182" s="186"/>
      <c r="B182" s="330"/>
      <c r="C182" s="330"/>
      <c r="D182" s="330"/>
      <c r="E182" s="330"/>
      <c r="F182" s="330"/>
      <c r="G182" s="330"/>
      <c r="H182" s="330"/>
      <c r="I182" s="330"/>
    </row>
    <row r="183">
      <c r="A183" s="186"/>
      <c r="B183" s="330"/>
      <c r="C183" s="330"/>
      <c r="D183" s="330"/>
      <c r="E183" s="330"/>
      <c r="F183" s="330"/>
      <c r="G183" s="330"/>
      <c r="H183" s="330"/>
      <c r="I183" s="330"/>
    </row>
    <row r="184">
      <c r="A184" s="186"/>
      <c r="B184" s="330"/>
      <c r="C184" s="330"/>
      <c r="D184" s="330"/>
      <c r="E184" s="330"/>
      <c r="F184" s="330"/>
      <c r="G184" s="330"/>
      <c r="H184" s="330"/>
      <c r="I184" s="330"/>
    </row>
    <row r="185">
      <c r="A185" s="186"/>
      <c r="B185" s="330"/>
      <c r="C185" s="330"/>
      <c r="D185" s="330"/>
      <c r="E185" s="330"/>
      <c r="F185" s="330"/>
      <c r="G185" s="330"/>
      <c r="H185" s="330"/>
      <c r="I185" s="330"/>
    </row>
    <row r="186">
      <c r="A186" s="186"/>
      <c r="B186" s="330"/>
      <c r="C186" s="330"/>
      <c r="D186" s="330"/>
      <c r="E186" s="330"/>
      <c r="F186" s="330"/>
      <c r="G186" s="330"/>
      <c r="H186" s="330"/>
      <c r="I186" s="330"/>
    </row>
    <row r="187">
      <c r="A187" s="186"/>
      <c r="B187" s="330"/>
      <c r="C187" s="330"/>
      <c r="D187" s="330"/>
      <c r="E187" s="330"/>
      <c r="F187" s="330"/>
      <c r="G187" s="330"/>
      <c r="H187" s="330"/>
      <c r="I187" s="330"/>
    </row>
    <row r="188">
      <c r="A188" s="186"/>
      <c r="B188" s="330"/>
      <c r="C188" s="330"/>
      <c r="D188" s="330"/>
      <c r="E188" s="330"/>
      <c r="F188" s="330"/>
      <c r="G188" s="330"/>
      <c r="H188" s="330"/>
      <c r="I188" s="330"/>
    </row>
    <row r="189">
      <c r="A189" s="186"/>
      <c r="B189" s="330"/>
      <c r="C189" s="330"/>
      <c r="D189" s="330"/>
      <c r="E189" s="330"/>
      <c r="F189" s="330"/>
      <c r="G189" s="330"/>
      <c r="H189" s="330"/>
      <c r="I189" s="330"/>
    </row>
    <row r="190">
      <c r="A190" s="186"/>
      <c r="B190" s="330"/>
      <c r="C190" s="330"/>
      <c r="D190" s="330"/>
      <c r="E190" s="330"/>
      <c r="F190" s="330"/>
      <c r="G190" s="330"/>
      <c r="H190" s="330"/>
      <c r="I190" s="330"/>
    </row>
    <row r="191">
      <c r="A191" s="186"/>
      <c r="B191" s="330"/>
      <c r="C191" s="330"/>
      <c r="D191" s="330"/>
      <c r="E191" s="330"/>
      <c r="F191" s="330"/>
      <c r="G191" s="330"/>
      <c r="H191" s="330"/>
      <c r="I191" s="330"/>
    </row>
    <row r="192">
      <c r="A192" s="186"/>
      <c r="B192" s="330"/>
      <c r="C192" s="330"/>
      <c r="D192" s="330"/>
      <c r="E192" s="330"/>
      <c r="F192" s="330"/>
      <c r="G192" s="330"/>
      <c r="H192" s="330"/>
      <c r="I192" s="330"/>
    </row>
    <row r="193">
      <c r="A193" s="186"/>
      <c r="B193" s="330"/>
      <c r="C193" s="330"/>
      <c r="D193" s="330"/>
      <c r="E193" s="330"/>
      <c r="F193" s="330"/>
      <c r="G193" s="330"/>
      <c r="H193" s="330"/>
      <c r="I193" s="330"/>
    </row>
    <row r="194">
      <c r="A194" s="186"/>
      <c r="B194" s="330"/>
      <c r="C194" s="330"/>
      <c r="D194" s="330"/>
      <c r="E194" s="330"/>
      <c r="F194" s="330"/>
      <c r="G194" s="330"/>
      <c r="H194" s="330"/>
      <c r="I194" s="330"/>
    </row>
    <row r="195">
      <c r="A195" s="186"/>
      <c r="B195" s="330"/>
      <c r="C195" s="330"/>
      <c r="D195" s="330"/>
      <c r="E195" s="330"/>
      <c r="F195" s="330"/>
      <c r="G195" s="330"/>
      <c r="H195" s="330"/>
      <c r="I195" s="330"/>
    </row>
    <row r="196">
      <c r="A196" s="186"/>
      <c r="B196" s="330"/>
      <c r="C196" s="330"/>
      <c r="D196" s="330"/>
      <c r="E196" s="330"/>
      <c r="F196" s="330"/>
      <c r="G196" s="330"/>
      <c r="H196" s="330"/>
      <c r="I196" s="330"/>
    </row>
    <row r="197">
      <c r="A197" s="186"/>
      <c r="B197" s="330"/>
      <c r="C197" s="330"/>
      <c r="D197" s="330"/>
      <c r="E197" s="330"/>
      <c r="F197" s="330"/>
      <c r="G197" s="330"/>
      <c r="H197" s="330"/>
      <c r="I197" s="330"/>
    </row>
    <row r="198">
      <c r="A198" s="186"/>
      <c r="B198" s="330"/>
      <c r="C198" s="330"/>
      <c r="D198" s="330"/>
      <c r="E198" s="330"/>
      <c r="F198" s="330"/>
      <c r="G198" s="330"/>
      <c r="H198" s="330"/>
      <c r="I198" s="330"/>
    </row>
    <row r="199">
      <c r="A199" s="186"/>
      <c r="B199" s="330"/>
      <c r="C199" s="330"/>
      <c r="D199" s="330"/>
      <c r="E199" s="330"/>
      <c r="F199" s="330"/>
      <c r="G199" s="330"/>
      <c r="H199" s="330"/>
      <c r="I199" s="330"/>
    </row>
    <row r="200">
      <c r="A200" s="186"/>
      <c r="B200" s="330"/>
      <c r="C200" s="330"/>
      <c r="D200" s="330"/>
      <c r="E200" s="330"/>
      <c r="F200" s="330"/>
      <c r="G200" s="330"/>
      <c r="H200" s="330"/>
      <c r="I200" s="330"/>
    </row>
    <row r="201">
      <c r="A201" s="186"/>
      <c r="B201" s="330"/>
      <c r="C201" s="330"/>
      <c r="D201" s="330"/>
      <c r="E201" s="330"/>
      <c r="F201" s="330"/>
      <c r="G201" s="330"/>
      <c r="H201" s="330"/>
      <c r="I201" s="330"/>
    </row>
    <row r="202">
      <c r="A202" s="186"/>
      <c r="B202" s="330"/>
      <c r="C202" s="330"/>
      <c r="D202" s="330"/>
      <c r="E202" s="330"/>
      <c r="F202" s="330"/>
      <c r="G202" s="330"/>
      <c r="H202" s="330"/>
      <c r="I202" s="330"/>
    </row>
    <row r="203">
      <c r="A203" s="186"/>
      <c r="B203" s="330"/>
      <c r="C203" s="330"/>
      <c r="D203" s="330"/>
      <c r="E203" s="330"/>
      <c r="F203" s="330"/>
      <c r="G203" s="330"/>
      <c r="H203" s="330"/>
      <c r="I203" s="330"/>
    </row>
    <row r="204">
      <c r="A204" s="186"/>
      <c r="B204" s="330"/>
      <c r="C204" s="330"/>
      <c r="D204" s="330"/>
      <c r="E204" s="330"/>
      <c r="F204" s="330"/>
      <c r="G204" s="330"/>
      <c r="H204" s="330"/>
      <c r="I204" s="330"/>
    </row>
    <row r="205">
      <c r="A205" s="186"/>
      <c r="B205" s="330"/>
      <c r="C205" s="330"/>
      <c r="D205" s="330"/>
      <c r="E205" s="330"/>
      <c r="F205" s="330"/>
      <c r="G205" s="330"/>
      <c r="H205" s="330"/>
      <c r="I205" s="330"/>
    </row>
    <row r="206">
      <c r="A206" s="186"/>
      <c r="B206" s="330"/>
      <c r="C206" s="330"/>
      <c r="D206" s="330"/>
      <c r="E206" s="330"/>
      <c r="F206" s="330"/>
      <c r="G206" s="330"/>
      <c r="H206" s="330"/>
      <c r="I206" s="330"/>
    </row>
    <row r="207">
      <c r="A207" s="186"/>
      <c r="B207" s="330"/>
      <c r="C207" s="330"/>
      <c r="D207" s="330"/>
      <c r="E207" s="330"/>
      <c r="F207" s="330"/>
      <c r="G207" s="330"/>
      <c r="H207" s="330"/>
      <c r="I207" s="330"/>
    </row>
    <row r="208">
      <c r="A208" s="186"/>
      <c r="B208" s="330"/>
      <c r="C208" s="330"/>
      <c r="D208" s="330"/>
      <c r="E208" s="330"/>
      <c r="F208" s="330"/>
      <c r="G208" s="330"/>
      <c r="H208" s="330"/>
      <c r="I208" s="330"/>
    </row>
    <row r="209">
      <c r="A209" s="186"/>
      <c r="B209" s="330"/>
      <c r="C209" s="330"/>
      <c r="D209" s="330"/>
      <c r="E209" s="330"/>
      <c r="F209" s="330"/>
      <c r="G209" s="330"/>
      <c r="H209" s="330"/>
      <c r="I209" s="330"/>
    </row>
    <row r="210">
      <c r="A210" s="186"/>
      <c r="B210" s="330"/>
      <c r="C210" s="330"/>
      <c r="D210" s="330"/>
      <c r="E210" s="330"/>
      <c r="F210" s="330"/>
      <c r="G210" s="330"/>
      <c r="H210" s="330"/>
      <c r="I210" s="330"/>
    </row>
    <row r="211">
      <c r="A211" s="186"/>
      <c r="B211" s="330"/>
      <c r="C211" s="330"/>
      <c r="D211" s="330"/>
      <c r="E211" s="330"/>
      <c r="F211" s="330"/>
      <c r="G211" s="330"/>
      <c r="H211" s="330"/>
      <c r="I211" s="330"/>
    </row>
    <row r="212">
      <c r="A212" s="186"/>
      <c r="B212" s="330"/>
      <c r="C212" s="330"/>
      <c r="D212" s="330"/>
      <c r="E212" s="330"/>
      <c r="F212" s="330"/>
      <c r="G212" s="330"/>
      <c r="H212" s="330"/>
      <c r="I212" s="330"/>
    </row>
    <row r="213">
      <c r="A213" s="186"/>
      <c r="B213" s="330"/>
      <c r="C213" s="330"/>
      <c r="D213" s="330"/>
      <c r="E213" s="330"/>
      <c r="F213" s="330"/>
      <c r="G213" s="330"/>
      <c r="H213" s="330"/>
      <c r="I213" s="330"/>
    </row>
    <row r="214">
      <c r="A214" s="186"/>
      <c r="B214" s="330"/>
      <c r="C214" s="330"/>
      <c r="D214" s="330"/>
      <c r="E214" s="330"/>
      <c r="F214" s="330"/>
      <c r="G214" s="330"/>
      <c r="H214" s="330"/>
      <c r="I214" s="330"/>
    </row>
    <row r="215">
      <c r="A215" s="186"/>
      <c r="B215" s="330"/>
      <c r="C215" s="330"/>
      <c r="D215" s="330"/>
      <c r="E215" s="330"/>
      <c r="F215" s="330"/>
      <c r="G215" s="330"/>
      <c r="H215" s="330"/>
      <c r="I215" s="330"/>
    </row>
    <row r="216">
      <c r="A216" s="186"/>
      <c r="B216" s="330"/>
      <c r="C216" s="330"/>
      <c r="D216" s="330"/>
      <c r="E216" s="330"/>
      <c r="F216" s="330"/>
      <c r="G216" s="330"/>
      <c r="H216" s="330"/>
      <c r="I216" s="330"/>
    </row>
    <row r="217">
      <c r="A217" s="186"/>
      <c r="B217" s="330"/>
      <c r="C217" s="330"/>
      <c r="D217" s="330"/>
      <c r="E217" s="330"/>
      <c r="F217" s="330"/>
      <c r="G217" s="330"/>
      <c r="H217" s="330"/>
      <c r="I217" s="330"/>
    </row>
    <row r="218">
      <c r="A218" s="186"/>
      <c r="B218" s="330"/>
      <c r="C218" s="330"/>
      <c r="D218" s="330"/>
      <c r="E218" s="330"/>
      <c r="F218" s="330"/>
      <c r="G218" s="330"/>
      <c r="H218" s="330"/>
      <c r="I218" s="330"/>
    </row>
    <row r="219">
      <c r="A219" s="186"/>
      <c r="B219" s="330"/>
      <c r="C219" s="330"/>
      <c r="D219" s="330"/>
      <c r="E219" s="330"/>
      <c r="F219" s="330"/>
      <c r="G219" s="330"/>
      <c r="H219" s="330"/>
      <c r="I219" s="330"/>
    </row>
    <row r="220">
      <c r="A220" s="186"/>
      <c r="B220" s="330"/>
      <c r="C220" s="330"/>
      <c r="D220" s="330"/>
      <c r="E220" s="330"/>
      <c r="F220" s="330"/>
      <c r="G220" s="330"/>
      <c r="H220" s="330"/>
      <c r="I220" s="330"/>
    </row>
    <row r="221">
      <c r="A221" s="186"/>
      <c r="B221" s="330"/>
      <c r="C221" s="330"/>
      <c r="D221" s="330"/>
      <c r="E221" s="330"/>
      <c r="F221" s="330"/>
      <c r="G221" s="330"/>
      <c r="H221" s="330"/>
      <c r="I221" s="330"/>
    </row>
    <row r="222">
      <c r="A222" s="186"/>
      <c r="B222" s="330"/>
      <c r="C222" s="330"/>
      <c r="D222" s="330"/>
      <c r="E222" s="330"/>
      <c r="F222" s="330"/>
      <c r="G222" s="330"/>
      <c r="H222" s="330"/>
      <c r="I222" s="330"/>
    </row>
    <row r="223">
      <c r="A223" s="186"/>
      <c r="B223" s="330"/>
      <c r="C223" s="330"/>
      <c r="D223" s="330"/>
      <c r="E223" s="330"/>
      <c r="F223" s="330"/>
      <c r="G223" s="330"/>
      <c r="H223" s="330"/>
      <c r="I223" s="330"/>
    </row>
    <row r="224">
      <c r="A224" s="186"/>
      <c r="B224" s="330"/>
      <c r="C224" s="330"/>
      <c r="D224" s="330"/>
      <c r="E224" s="330"/>
      <c r="F224" s="330"/>
      <c r="G224" s="330"/>
      <c r="H224" s="330"/>
      <c r="I224" s="330"/>
    </row>
    <row r="225">
      <c r="A225" s="186"/>
      <c r="B225" s="330"/>
      <c r="C225" s="330"/>
      <c r="D225" s="330"/>
      <c r="E225" s="330"/>
      <c r="F225" s="330"/>
      <c r="G225" s="330"/>
      <c r="H225" s="330"/>
      <c r="I225" s="330"/>
    </row>
    <row r="226">
      <c r="A226" s="186"/>
      <c r="B226" s="330"/>
      <c r="C226" s="330"/>
      <c r="D226" s="330"/>
      <c r="E226" s="330"/>
      <c r="F226" s="330"/>
      <c r="G226" s="330"/>
      <c r="H226" s="330"/>
      <c r="I226" s="330"/>
    </row>
    <row r="227">
      <c r="A227" s="186"/>
      <c r="B227" s="330"/>
      <c r="C227" s="330"/>
      <c r="D227" s="330"/>
      <c r="E227" s="330"/>
      <c r="F227" s="330"/>
      <c r="G227" s="330"/>
      <c r="H227" s="330"/>
      <c r="I227" s="330"/>
    </row>
    <row r="228">
      <c r="A228" s="186"/>
      <c r="B228" s="330"/>
      <c r="C228" s="330"/>
      <c r="D228" s="330"/>
      <c r="E228" s="330"/>
      <c r="F228" s="330"/>
      <c r="G228" s="330"/>
      <c r="H228" s="330"/>
      <c r="I228" s="330"/>
    </row>
    <row r="229">
      <c r="A229" s="186"/>
      <c r="B229" s="330"/>
      <c r="C229" s="330"/>
      <c r="D229" s="330"/>
      <c r="E229" s="330"/>
      <c r="F229" s="330"/>
      <c r="G229" s="330"/>
      <c r="H229" s="330"/>
      <c r="I229" s="330"/>
    </row>
    <row r="230">
      <c r="A230" s="186"/>
      <c r="B230" s="330"/>
      <c r="C230" s="330"/>
      <c r="D230" s="330"/>
      <c r="E230" s="330"/>
      <c r="F230" s="330"/>
      <c r="G230" s="330"/>
      <c r="H230" s="330"/>
      <c r="I230" s="330"/>
    </row>
    <row r="231">
      <c r="A231" s="186"/>
      <c r="B231" s="330"/>
      <c r="C231" s="330"/>
      <c r="D231" s="330"/>
      <c r="E231" s="330"/>
      <c r="F231" s="330"/>
      <c r="G231" s="330"/>
      <c r="H231" s="330"/>
      <c r="I231" s="330"/>
    </row>
    <row r="232">
      <c r="A232" s="186"/>
      <c r="B232" s="330"/>
      <c r="C232" s="330"/>
      <c r="D232" s="330"/>
      <c r="E232" s="330"/>
      <c r="F232" s="330"/>
      <c r="G232" s="330"/>
      <c r="H232" s="330"/>
      <c r="I232" s="330"/>
    </row>
    <row r="233">
      <c r="A233" s="186"/>
      <c r="B233" s="330"/>
      <c r="C233" s="330"/>
      <c r="D233" s="330"/>
      <c r="E233" s="330"/>
      <c r="F233" s="330"/>
      <c r="G233" s="330"/>
      <c r="H233" s="330"/>
      <c r="I233" s="330"/>
    </row>
    <row r="234">
      <c r="A234" s="186"/>
      <c r="B234" s="330"/>
      <c r="C234" s="330"/>
      <c r="D234" s="330"/>
      <c r="E234" s="330"/>
      <c r="F234" s="330"/>
      <c r="G234" s="330"/>
      <c r="H234" s="330"/>
      <c r="I234" s="330"/>
    </row>
    <row r="235">
      <c r="A235" s="186"/>
      <c r="B235" s="330"/>
      <c r="C235" s="330"/>
      <c r="D235" s="330"/>
      <c r="E235" s="330"/>
      <c r="F235" s="330"/>
      <c r="G235" s="330"/>
      <c r="H235" s="330"/>
      <c r="I235" s="330"/>
    </row>
    <row r="236">
      <c r="A236" s="186"/>
      <c r="B236" s="330"/>
      <c r="C236" s="330"/>
      <c r="D236" s="330"/>
      <c r="E236" s="330"/>
      <c r="F236" s="330"/>
      <c r="G236" s="330"/>
      <c r="H236" s="330"/>
      <c r="I236" s="330"/>
    </row>
    <row r="237">
      <c r="A237" s="186"/>
      <c r="B237" s="330"/>
      <c r="C237" s="330"/>
      <c r="D237" s="330"/>
      <c r="E237" s="330"/>
      <c r="F237" s="330"/>
      <c r="G237" s="330"/>
      <c r="H237" s="330"/>
      <c r="I237" s="330"/>
    </row>
    <row r="238">
      <c r="A238" s="186"/>
      <c r="B238" s="330"/>
      <c r="C238" s="330"/>
      <c r="D238" s="330"/>
      <c r="E238" s="330"/>
      <c r="F238" s="330"/>
      <c r="G238" s="330"/>
      <c r="H238" s="330"/>
      <c r="I238" s="330"/>
    </row>
    <row r="239">
      <c r="A239" s="186"/>
      <c r="B239" s="330"/>
      <c r="C239" s="330"/>
      <c r="D239" s="330"/>
      <c r="E239" s="330"/>
      <c r="F239" s="330"/>
      <c r="G239" s="330"/>
      <c r="H239" s="330"/>
      <c r="I239" s="330"/>
    </row>
    <row r="240">
      <c r="A240" s="186"/>
      <c r="B240" s="330"/>
      <c r="C240" s="330"/>
      <c r="D240" s="330"/>
      <c r="E240" s="330"/>
      <c r="F240" s="330"/>
      <c r="G240" s="330"/>
      <c r="H240" s="330"/>
      <c r="I240" s="330"/>
    </row>
    <row r="241">
      <c r="A241" s="186"/>
      <c r="B241" s="330"/>
      <c r="C241" s="330"/>
      <c r="D241" s="330"/>
      <c r="E241" s="330"/>
      <c r="F241" s="330"/>
      <c r="G241" s="330"/>
      <c r="H241" s="330"/>
      <c r="I241" s="330"/>
    </row>
    <row r="242">
      <c r="A242" s="186"/>
      <c r="B242" s="330"/>
      <c r="C242" s="330"/>
      <c r="D242" s="330"/>
      <c r="E242" s="330"/>
      <c r="F242" s="330"/>
      <c r="G242" s="330"/>
      <c r="H242" s="330"/>
      <c r="I242" s="330"/>
    </row>
    <row r="243">
      <c r="A243" s="186"/>
      <c r="B243" s="330"/>
      <c r="C243" s="330"/>
      <c r="D243" s="330"/>
      <c r="E243" s="330"/>
      <c r="F243" s="330"/>
      <c r="G243" s="330"/>
      <c r="H243" s="330"/>
      <c r="I243" s="330"/>
    </row>
    <row r="244">
      <c r="A244" s="186"/>
      <c r="B244" s="330"/>
      <c r="C244" s="330"/>
      <c r="D244" s="330"/>
      <c r="E244" s="330"/>
      <c r="F244" s="330"/>
      <c r="G244" s="330"/>
      <c r="H244" s="330"/>
      <c r="I244" s="330"/>
    </row>
    <row r="245">
      <c r="A245" s="186"/>
      <c r="B245" s="330"/>
      <c r="C245" s="330"/>
      <c r="D245" s="330"/>
      <c r="E245" s="330"/>
      <c r="F245" s="330"/>
      <c r="G245" s="330"/>
      <c r="H245" s="330"/>
      <c r="I245" s="330"/>
    </row>
    <row r="246">
      <c r="A246" s="186"/>
      <c r="B246" s="330"/>
      <c r="C246" s="330"/>
      <c r="D246" s="330"/>
      <c r="E246" s="330"/>
      <c r="F246" s="330"/>
      <c r="G246" s="330"/>
      <c r="H246" s="330"/>
      <c r="I246" s="330"/>
    </row>
    <row r="247">
      <c r="A247" s="186"/>
      <c r="B247" s="330"/>
      <c r="C247" s="330"/>
      <c r="D247" s="330"/>
      <c r="E247" s="330"/>
      <c r="F247" s="330"/>
      <c r="G247" s="330"/>
      <c r="H247" s="330"/>
      <c r="I247" s="330"/>
    </row>
    <row r="248">
      <c r="A248" s="186"/>
      <c r="B248" s="330"/>
      <c r="C248" s="330"/>
      <c r="D248" s="330"/>
      <c r="E248" s="330"/>
      <c r="F248" s="330"/>
      <c r="G248" s="330"/>
      <c r="H248" s="330"/>
      <c r="I248" s="330"/>
    </row>
    <row r="249">
      <c r="A249" s="186"/>
      <c r="B249" s="330"/>
      <c r="C249" s="330"/>
      <c r="D249" s="330"/>
      <c r="E249" s="330"/>
      <c r="F249" s="330"/>
      <c r="G249" s="330"/>
      <c r="H249" s="330"/>
      <c r="I249" s="330"/>
    </row>
    <row r="250">
      <c r="A250" s="186"/>
      <c r="B250" s="330"/>
      <c r="C250" s="330"/>
      <c r="D250" s="330"/>
      <c r="E250" s="330"/>
      <c r="F250" s="330"/>
      <c r="G250" s="330"/>
      <c r="H250" s="330"/>
      <c r="I250" s="330"/>
    </row>
    <row r="251">
      <c r="A251" s="186"/>
      <c r="B251" s="330"/>
      <c r="C251" s="330"/>
      <c r="D251" s="330"/>
      <c r="E251" s="330"/>
      <c r="F251" s="330"/>
      <c r="G251" s="330"/>
      <c r="H251" s="330"/>
      <c r="I251" s="330"/>
    </row>
    <row r="252">
      <c r="A252" s="186"/>
      <c r="B252" s="330"/>
      <c r="C252" s="330"/>
      <c r="D252" s="330"/>
      <c r="E252" s="330"/>
      <c r="F252" s="330"/>
      <c r="G252" s="330"/>
      <c r="H252" s="330"/>
      <c r="I252" s="330"/>
    </row>
    <row r="253">
      <c r="A253" s="186"/>
      <c r="B253" s="330"/>
      <c r="C253" s="330"/>
      <c r="D253" s="330"/>
      <c r="E253" s="330"/>
      <c r="F253" s="330"/>
      <c r="G253" s="330"/>
      <c r="H253" s="330"/>
      <c r="I253" s="330"/>
    </row>
    <row r="254">
      <c r="A254" s="186"/>
      <c r="B254" s="330"/>
      <c r="C254" s="330"/>
      <c r="D254" s="330"/>
      <c r="E254" s="330"/>
      <c r="F254" s="330"/>
      <c r="G254" s="330"/>
      <c r="H254" s="330"/>
      <c r="I254" s="330"/>
    </row>
    <row r="255">
      <c r="A255" s="186"/>
      <c r="B255" s="330"/>
      <c r="C255" s="330"/>
      <c r="D255" s="330"/>
      <c r="E255" s="330"/>
      <c r="F255" s="330"/>
      <c r="G255" s="330"/>
      <c r="H255" s="330"/>
      <c r="I255" s="330"/>
    </row>
    <row r="256">
      <c r="A256" s="186"/>
      <c r="B256" s="330"/>
      <c r="C256" s="330"/>
      <c r="D256" s="330"/>
      <c r="E256" s="330"/>
      <c r="F256" s="330"/>
      <c r="G256" s="330"/>
      <c r="H256" s="330"/>
      <c r="I256" s="330"/>
    </row>
    <row r="257">
      <c r="A257" s="186"/>
      <c r="B257" s="330"/>
      <c r="C257" s="330"/>
      <c r="D257" s="330"/>
      <c r="E257" s="330"/>
      <c r="F257" s="330"/>
      <c r="G257" s="330"/>
      <c r="H257" s="330"/>
      <c r="I257" s="330"/>
    </row>
    <row r="258">
      <c r="A258" s="186"/>
      <c r="B258" s="330"/>
      <c r="C258" s="330"/>
      <c r="D258" s="330"/>
      <c r="E258" s="330"/>
      <c r="F258" s="330"/>
      <c r="G258" s="330"/>
      <c r="H258" s="330"/>
      <c r="I258" s="330"/>
    </row>
    <row r="259">
      <c r="A259" s="186"/>
      <c r="B259" s="330"/>
      <c r="C259" s="330"/>
      <c r="D259" s="330"/>
      <c r="E259" s="330"/>
      <c r="F259" s="330"/>
      <c r="G259" s="330"/>
      <c r="H259" s="330"/>
      <c r="I259" s="330"/>
    </row>
    <row r="260">
      <c r="A260" s="186"/>
      <c r="B260" s="330"/>
      <c r="C260" s="330"/>
      <c r="D260" s="330"/>
      <c r="E260" s="330"/>
      <c r="F260" s="330"/>
      <c r="G260" s="330"/>
      <c r="H260" s="330"/>
      <c r="I260" s="330"/>
    </row>
    <row r="261">
      <c r="A261" s="186"/>
      <c r="B261" s="330"/>
      <c r="C261" s="330"/>
      <c r="D261" s="330"/>
      <c r="E261" s="330"/>
      <c r="F261" s="330"/>
      <c r="G261" s="330"/>
      <c r="H261" s="330"/>
      <c r="I261" s="330"/>
    </row>
    <row r="262">
      <c r="A262" s="186"/>
      <c r="B262" s="330"/>
      <c r="C262" s="330"/>
      <c r="D262" s="330"/>
      <c r="E262" s="330"/>
      <c r="F262" s="330"/>
      <c r="G262" s="330"/>
      <c r="H262" s="330"/>
      <c r="I262" s="330"/>
    </row>
    <row r="263">
      <c r="A263" s="186"/>
      <c r="B263" s="330"/>
      <c r="C263" s="330"/>
      <c r="D263" s="330"/>
      <c r="E263" s="330"/>
      <c r="F263" s="330"/>
      <c r="G263" s="330"/>
      <c r="H263" s="330"/>
      <c r="I263" s="330"/>
    </row>
    <row r="264">
      <c r="A264" s="186"/>
      <c r="B264" s="330"/>
      <c r="C264" s="330"/>
      <c r="D264" s="330"/>
      <c r="E264" s="330"/>
      <c r="F264" s="330"/>
      <c r="G264" s="330"/>
      <c r="H264" s="330"/>
      <c r="I264" s="330"/>
    </row>
    <row r="265">
      <c r="A265" s="186"/>
      <c r="B265" s="330"/>
      <c r="C265" s="330"/>
      <c r="D265" s="330"/>
      <c r="E265" s="330"/>
      <c r="F265" s="330"/>
      <c r="G265" s="330"/>
      <c r="H265" s="330"/>
      <c r="I265" s="330"/>
    </row>
    <row r="266">
      <c r="A266" s="186"/>
      <c r="B266" s="330"/>
      <c r="C266" s="330"/>
      <c r="D266" s="330"/>
      <c r="E266" s="330"/>
      <c r="F266" s="330"/>
      <c r="G266" s="330"/>
      <c r="H266" s="330"/>
      <c r="I266" s="330"/>
    </row>
    <row r="267">
      <c r="A267" s="186"/>
      <c r="B267" s="330"/>
      <c r="C267" s="330"/>
      <c r="D267" s="330"/>
      <c r="E267" s="330"/>
      <c r="F267" s="330"/>
      <c r="G267" s="330"/>
      <c r="H267" s="330"/>
      <c r="I267" s="330"/>
    </row>
    <row r="268">
      <c r="A268" s="186"/>
      <c r="B268" s="330"/>
      <c r="C268" s="330"/>
      <c r="D268" s="330"/>
      <c r="E268" s="330"/>
      <c r="F268" s="330"/>
      <c r="G268" s="330"/>
      <c r="H268" s="330"/>
      <c r="I268" s="330"/>
    </row>
    <row r="269">
      <c r="A269" s="186"/>
      <c r="B269" s="330"/>
      <c r="C269" s="330"/>
      <c r="D269" s="330"/>
      <c r="E269" s="330"/>
      <c r="F269" s="330"/>
      <c r="G269" s="330"/>
      <c r="H269" s="330"/>
      <c r="I269" s="330"/>
    </row>
    <row r="270">
      <c r="A270" s="186"/>
      <c r="B270" s="330"/>
      <c r="C270" s="330"/>
      <c r="D270" s="330"/>
      <c r="E270" s="330"/>
      <c r="F270" s="330"/>
      <c r="G270" s="330"/>
      <c r="H270" s="330"/>
      <c r="I270" s="330"/>
    </row>
    <row r="271">
      <c r="A271" s="186"/>
      <c r="B271" s="330"/>
      <c r="C271" s="330"/>
      <c r="D271" s="330"/>
      <c r="E271" s="330"/>
      <c r="F271" s="330"/>
      <c r="G271" s="330"/>
      <c r="H271" s="330"/>
      <c r="I271" s="330"/>
    </row>
    <row r="272">
      <c r="A272" s="186"/>
      <c r="B272" s="330"/>
      <c r="C272" s="330"/>
      <c r="D272" s="330"/>
      <c r="E272" s="330"/>
      <c r="F272" s="330"/>
      <c r="G272" s="330"/>
      <c r="H272" s="330"/>
      <c r="I272" s="330"/>
    </row>
    <row r="273">
      <c r="A273" s="186"/>
      <c r="B273" s="330"/>
      <c r="C273" s="330"/>
      <c r="D273" s="330"/>
      <c r="E273" s="330"/>
      <c r="F273" s="330"/>
      <c r="G273" s="330"/>
      <c r="H273" s="330"/>
      <c r="I273" s="330"/>
    </row>
    <row r="274">
      <c r="A274" s="186"/>
      <c r="B274" s="330"/>
      <c r="C274" s="330"/>
      <c r="D274" s="330"/>
      <c r="E274" s="330"/>
      <c r="F274" s="330"/>
      <c r="G274" s="330"/>
      <c r="H274" s="330"/>
      <c r="I274" s="330"/>
    </row>
    <row r="275">
      <c r="A275" s="186"/>
      <c r="B275" s="330"/>
      <c r="C275" s="330"/>
      <c r="D275" s="330"/>
      <c r="E275" s="330"/>
      <c r="F275" s="330"/>
      <c r="G275" s="330"/>
      <c r="H275" s="330"/>
      <c r="I275" s="330"/>
    </row>
    <row r="276">
      <c r="A276" s="186"/>
      <c r="B276" s="330"/>
      <c r="C276" s="330"/>
      <c r="D276" s="330"/>
      <c r="E276" s="330"/>
      <c r="F276" s="330"/>
      <c r="G276" s="330"/>
      <c r="H276" s="330"/>
      <c r="I276" s="330"/>
    </row>
    <row r="277">
      <c r="A277" s="186"/>
      <c r="B277" s="330"/>
      <c r="C277" s="330"/>
      <c r="D277" s="330"/>
      <c r="E277" s="330"/>
      <c r="F277" s="330"/>
      <c r="G277" s="330"/>
      <c r="H277" s="330"/>
      <c r="I277" s="330"/>
    </row>
    <row r="278">
      <c r="A278" s="186"/>
      <c r="B278" s="330"/>
      <c r="C278" s="330"/>
      <c r="D278" s="330"/>
      <c r="E278" s="330"/>
      <c r="F278" s="330"/>
      <c r="G278" s="330"/>
      <c r="H278" s="330"/>
      <c r="I278" s="330"/>
    </row>
    <row r="279">
      <c r="A279" s="186"/>
      <c r="B279" s="330"/>
      <c r="C279" s="330"/>
      <c r="D279" s="330"/>
      <c r="E279" s="330"/>
      <c r="F279" s="330"/>
      <c r="G279" s="330"/>
      <c r="H279" s="330"/>
      <c r="I279" s="330"/>
    </row>
    <row r="280">
      <c r="A280" s="186"/>
      <c r="B280" s="330"/>
      <c r="C280" s="330"/>
      <c r="D280" s="330"/>
      <c r="E280" s="330"/>
      <c r="F280" s="330"/>
      <c r="G280" s="330"/>
      <c r="H280" s="330"/>
      <c r="I280" s="330"/>
    </row>
    <row r="281">
      <c r="A281" s="186"/>
      <c r="B281" s="330"/>
      <c r="C281" s="330"/>
      <c r="D281" s="330"/>
      <c r="E281" s="330"/>
      <c r="F281" s="330"/>
      <c r="G281" s="330"/>
      <c r="H281" s="330"/>
      <c r="I281" s="330"/>
    </row>
    <row r="282">
      <c r="A282" s="186"/>
      <c r="B282" s="330"/>
      <c r="C282" s="330"/>
      <c r="D282" s="330"/>
      <c r="E282" s="330"/>
      <c r="F282" s="330"/>
      <c r="G282" s="330"/>
      <c r="H282" s="330"/>
      <c r="I282" s="330"/>
    </row>
    <row r="283">
      <c r="A283" s="186"/>
      <c r="B283" s="330"/>
      <c r="C283" s="330"/>
      <c r="D283" s="330"/>
      <c r="E283" s="330"/>
      <c r="F283" s="330"/>
      <c r="G283" s="330"/>
      <c r="H283" s="330"/>
      <c r="I283" s="330"/>
    </row>
    <row r="284">
      <c r="A284" s="186"/>
      <c r="B284" s="330"/>
      <c r="C284" s="330"/>
      <c r="D284" s="330"/>
      <c r="E284" s="330"/>
      <c r="F284" s="330"/>
      <c r="G284" s="330"/>
      <c r="H284" s="330"/>
      <c r="I284" s="330"/>
    </row>
    <row r="285">
      <c r="A285" s="186"/>
      <c r="B285" s="330"/>
      <c r="C285" s="330"/>
      <c r="D285" s="330"/>
      <c r="E285" s="330"/>
      <c r="F285" s="330"/>
      <c r="G285" s="330"/>
      <c r="H285" s="330"/>
      <c r="I285" s="330"/>
    </row>
    <row r="286">
      <c r="A286" s="186"/>
      <c r="B286" s="330"/>
      <c r="C286" s="330"/>
      <c r="D286" s="330"/>
      <c r="E286" s="330"/>
      <c r="F286" s="330"/>
      <c r="G286" s="330"/>
      <c r="H286" s="330"/>
      <c r="I286" s="330"/>
    </row>
    <row r="287">
      <c r="A287" s="186"/>
      <c r="B287" s="330"/>
      <c r="C287" s="330"/>
      <c r="D287" s="330"/>
      <c r="E287" s="330"/>
      <c r="F287" s="330"/>
      <c r="G287" s="330"/>
      <c r="H287" s="330"/>
      <c r="I287" s="330"/>
    </row>
    <row r="288">
      <c r="A288" s="186"/>
      <c r="B288" s="330"/>
      <c r="C288" s="330"/>
      <c r="D288" s="330"/>
      <c r="E288" s="330"/>
      <c r="F288" s="330"/>
      <c r="G288" s="330"/>
      <c r="H288" s="330"/>
      <c r="I288" s="330"/>
    </row>
    <row r="289">
      <c r="A289" s="186"/>
      <c r="B289" s="330"/>
      <c r="C289" s="330"/>
      <c r="D289" s="330"/>
      <c r="E289" s="330"/>
      <c r="F289" s="330"/>
      <c r="G289" s="330"/>
      <c r="H289" s="330"/>
      <c r="I289" s="330"/>
    </row>
    <row r="290">
      <c r="A290" s="186"/>
      <c r="B290" s="330"/>
      <c r="C290" s="330"/>
      <c r="D290" s="330"/>
      <c r="E290" s="330"/>
      <c r="F290" s="330"/>
      <c r="G290" s="330"/>
      <c r="H290" s="330"/>
      <c r="I290" s="330"/>
    </row>
    <row r="291">
      <c r="A291" s="186"/>
      <c r="B291" s="330"/>
      <c r="C291" s="330"/>
      <c r="D291" s="330"/>
      <c r="E291" s="330"/>
      <c r="F291" s="330"/>
      <c r="G291" s="330"/>
      <c r="H291" s="330"/>
      <c r="I291" s="330"/>
    </row>
    <row r="292">
      <c r="A292" s="186"/>
      <c r="B292" s="330"/>
      <c r="C292" s="330"/>
      <c r="D292" s="330"/>
      <c r="E292" s="330"/>
      <c r="F292" s="330"/>
      <c r="G292" s="330"/>
      <c r="H292" s="330"/>
      <c r="I292" s="330"/>
    </row>
    <row r="293">
      <c r="A293" s="186"/>
      <c r="B293" s="330"/>
      <c r="C293" s="330"/>
      <c r="D293" s="330"/>
      <c r="E293" s="330"/>
      <c r="F293" s="330"/>
      <c r="G293" s="330"/>
      <c r="H293" s="330"/>
      <c r="I293" s="330"/>
    </row>
    <row r="294">
      <c r="A294" s="186"/>
      <c r="B294" s="330"/>
      <c r="C294" s="330"/>
      <c r="D294" s="330"/>
      <c r="E294" s="330"/>
      <c r="F294" s="330"/>
      <c r="G294" s="330"/>
      <c r="H294" s="330"/>
      <c r="I294" s="330"/>
    </row>
    <row r="295">
      <c r="A295" s="186"/>
      <c r="B295" s="330"/>
      <c r="C295" s="330"/>
      <c r="D295" s="330"/>
      <c r="E295" s="330"/>
      <c r="F295" s="330"/>
      <c r="G295" s="330"/>
      <c r="H295" s="330"/>
      <c r="I295" s="330"/>
    </row>
    <row r="296">
      <c r="A296" s="186"/>
      <c r="B296" s="330"/>
      <c r="C296" s="330"/>
      <c r="D296" s="330"/>
      <c r="E296" s="330"/>
      <c r="F296" s="330"/>
      <c r="G296" s="330"/>
      <c r="H296" s="330"/>
      <c r="I296" s="330"/>
    </row>
    <row r="297">
      <c r="A297" s="186"/>
      <c r="B297" s="330"/>
      <c r="C297" s="330"/>
      <c r="D297" s="330"/>
      <c r="E297" s="330"/>
      <c r="F297" s="330"/>
      <c r="G297" s="330"/>
      <c r="H297" s="330"/>
      <c r="I297" s="330"/>
    </row>
    <row r="298">
      <c r="A298" s="186"/>
      <c r="B298" s="330"/>
      <c r="C298" s="330"/>
      <c r="D298" s="330"/>
      <c r="E298" s="330"/>
      <c r="F298" s="330"/>
      <c r="G298" s="330"/>
      <c r="H298" s="330"/>
      <c r="I298" s="330"/>
    </row>
    <row r="299">
      <c r="A299" s="186"/>
      <c r="B299" s="330"/>
      <c r="C299" s="330"/>
      <c r="D299" s="330"/>
      <c r="E299" s="330"/>
      <c r="F299" s="330"/>
      <c r="G299" s="330"/>
      <c r="H299" s="330"/>
      <c r="I299" s="330"/>
    </row>
    <row r="300">
      <c r="A300" s="186"/>
      <c r="B300" s="330"/>
      <c r="C300" s="330"/>
      <c r="D300" s="330"/>
      <c r="E300" s="330"/>
      <c r="F300" s="330"/>
      <c r="G300" s="330"/>
      <c r="H300" s="330"/>
      <c r="I300" s="330"/>
    </row>
    <row r="301">
      <c r="A301" s="186"/>
      <c r="B301" s="330"/>
      <c r="C301" s="330"/>
      <c r="D301" s="330"/>
      <c r="E301" s="330"/>
      <c r="F301" s="330"/>
      <c r="G301" s="330"/>
      <c r="H301" s="330"/>
      <c r="I301" s="330"/>
    </row>
    <row r="302">
      <c r="A302" s="186"/>
      <c r="B302" s="330"/>
      <c r="C302" s="330"/>
      <c r="D302" s="330"/>
      <c r="E302" s="330"/>
      <c r="F302" s="330"/>
      <c r="G302" s="330"/>
      <c r="H302" s="330"/>
      <c r="I302" s="330"/>
    </row>
    <row r="303">
      <c r="A303" s="186"/>
      <c r="B303" s="330"/>
      <c r="C303" s="330"/>
      <c r="D303" s="330"/>
      <c r="E303" s="330"/>
      <c r="F303" s="330"/>
      <c r="G303" s="330"/>
      <c r="H303" s="330"/>
      <c r="I303" s="330"/>
    </row>
    <row r="304">
      <c r="A304" s="186"/>
      <c r="B304" s="330"/>
      <c r="C304" s="330"/>
      <c r="D304" s="330"/>
      <c r="E304" s="330"/>
      <c r="F304" s="330"/>
      <c r="G304" s="330"/>
      <c r="H304" s="330"/>
      <c r="I304" s="330"/>
    </row>
    <row r="305">
      <c r="A305" s="186"/>
      <c r="B305" s="330"/>
      <c r="C305" s="330"/>
      <c r="D305" s="330"/>
      <c r="E305" s="330"/>
      <c r="F305" s="330"/>
      <c r="G305" s="330"/>
      <c r="H305" s="330"/>
      <c r="I305" s="330"/>
    </row>
    <row r="306">
      <c r="A306" s="186"/>
      <c r="B306" s="330"/>
      <c r="C306" s="330"/>
      <c r="D306" s="330"/>
      <c r="E306" s="330"/>
      <c r="F306" s="330"/>
      <c r="G306" s="330"/>
      <c r="H306" s="330"/>
      <c r="I306" s="330"/>
    </row>
    <row r="307">
      <c r="A307" s="186"/>
      <c r="B307" s="330"/>
      <c r="C307" s="330"/>
      <c r="D307" s="330"/>
      <c r="E307" s="330"/>
      <c r="F307" s="330"/>
      <c r="G307" s="330"/>
      <c r="H307" s="330"/>
      <c r="I307" s="330"/>
    </row>
    <row r="308">
      <c r="A308" s="186"/>
      <c r="B308" s="330"/>
      <c r="C308" s="330"/>
      <c r="D308" s="330"/>
      <c r="E308" s="330"/>
      <c r="F308" s="330"/>
      <c r="G308" s="330"/>
      <c r="H308" s="330"/>
      <c r="I308" s="330"/>
    </row>
    <row r="309">
      <c r="A309" s="186"/>
      <c r="B309" s="330"/>
      <c r="C309" s="330"/>
      <c r="D309" s="330"/>
      <c r="E309" s="330"/>
      <c r="F309" s="330"/>
      <c r="G309" s="330"/>
      <c r="H309" s="330"/>
      <c r="I309" s="330"/>
    </row>
    <row r="310">
      <c r="A310" s="186"/>
      <c r="B310" s="330"/>
      <c r="C310" s="330"/>
      <c r="D310" s="330"/>
      <c r="E310" s="330"/>
      <c r="F310" s="330"/>
      <c r="G310" s="330"/>
      <c r="H310" s="330"/>
      <c r="I310" s="330"/>
    </row>
    <row r="311">
      <c r="A311" s="186"/>
      <c r="B311" s="330"/>
      <c r="C311" s="330"/>
      <c r="D311" s="330"/>
      <c r="E311" s="330"/>
      <c r="F311" s="330"/>
      <c r="G311" s="330"/>
      <c r="H311" s="330"/>
      <c r="I311" s="330"/>
    </row>
    <row r="312">
      <c r="A312" s="186"/>
      <c r="B312" s="330"/>
      <c r="C312" s="330"/>
      <c r="D312" s="330"/>
      <c r="E312" s="330"/>
      <c r="F312" s="330"/>
      <c r="G312" s="330"/>
      <c r="H312" s="330"/>
      <c r="I312" s="330"/>
    </row>
    <row r="313">
      <c r="A313" s="186"/>
      <c r="B313" s="330"/>
      <c r="C313" s="330"/>
      <c r="D313" s="330"/>
      <c r="E313" s="330"/>
      <c r="F313" s="330"/>
      <c r="G313" s="330"/>
      <c r="H313" s="330"/>
      <c r="I313" s="330"/>
    </row>
    <row r="314">
      <c r="A314" s="186"/>
      <c r="B314" s="330"/>
      <c r="C314" s="330"/>
      <c r="D314" s="330"/>
      <c r="E314" s="330"/>
      <c r="F314" s="330"/>
      <c r="G314" s="330"/>
      <c r="H314" s="330"/>
      <c r="I314" s="330"/>
    </row>
    <row r="315">
      <c r="A315" s="186"/>
      <c r="B315" s="330"/>
      <c r="C315" s="330"/>
      <c r="D315" s="330"/>
      <c r="E315" s="330"/>
      <c r="F315" s="330"/>
      <c r="G315" s="330"/>
      <c r="H315" s="330"/>
      <c r="I315" s="330"/>
    </row>
    <row r="316">
      <c r="A316" s="186"/>
      <c r="B316" s="330"/>
      <c r="C316" s="330"/>
      <c r="D316" s="330"/>
      <c r="E316" s="330"/>
      <c r="F316" s="330"/>
      <c r="G316" s="330"/>
      <c r="H316" s="330"/>
      <c r="I316" s="330"/>
    </row>
    <row r="317">
      <c r="A317" s="186"/>
      <c r="B317" s="330"/>
      <c r="C317" s="330"/>
      <c r="D317" s="330"/>
      <c r="E317" s="330"/>
      <c r="F317" s="330"/>
      <c r="G317" s="330"/>
      <c r="H317" s="330"/>
      <c r="I317" s="330"/>
    </row>
    <row r="318">
      <c r="A318" s="186"/>
      <c r="B318" s="330"/>
      <c r="C318" s="330"/>
      <c r="D318" s="330"/>
      <c r="E318" s="330"/>
      <c r="F318" s="330"/>
      <c r="G318" s="330"/>
      <c r="H318" s="330"/>
      <c r="I318" s="330"/>
    </row>
    <row r="319">
      <c r="A319" s="186"/>
      <c r="B319" s="330"/>
      <c r="C319" s="330"/>
      <c r="D319" s="330"/>
      <c r="E319" s="330"/>
      <c r="F319" s="330"/>
      <c r="G319" s="330"/>
      <c r="H319" s="330"/>
      <c r="I319" s="330"/>
    </row>
    <row r="320">
      <c r="A320" s="186"/>
      <c r="B320" s="330"/>
      <c r="C320" s="330"/>
      <c r="D320" s="330"/>
      <c r="E320" s="330"/>
      <c r="F320" s="330"/>
      <c r="G320" s="330"/>
      <c r="H320" s="330"/>
      <c r="I320" s="330"/>
    </row>
    <row r="321">
      <c r="A321" s="186"/>
      <c r="B321" s="330"/>
      <c r="C321" s="330"/>
      <c r="D321" s="330"/>
      <c r="E321" s="330"/>
      <c r="F321" s="330"/>
      <c r="G321" s="330"/>
      <c r="H321" s="330"/>
      <c r="I321" s="330"/>
    </row>
    <row r="322">
      <c r="A322" s="186"/>
      <c r="B322" s="330"/>
      <c r="C322" s="330"/>
      <c r="D322" s="330"/>
      <c r="E322" s="330"/>
      <c r="F322" s="330"/>
      <c r="G322" s="330"/>
      <c r="H322" s="330"/>
      <c r="I322" s="330"/>
    </row>
    <row r="323">
      <c r="A323" s="186"/>
      <c r="B323" s="330"/>
      <c r="C323" s="330"/>
      <c r="D323" s="330"/>
      <c r="E323" s="330"/>
      <c r="F323" s="330"/>
      <c r="G323" s="330"/>
      <c r="H323" s="330"/>
      <c r="I323" s="330"/>
    </row>
    <row r="324">
      <c r="A324" s="186"/>
      <c r="B324" s="330"/>
      <c r="C324" s="330"/>
      <c r="D324" s="330"/>
      <c r="E324" s="330"/>
      <c r="F324" s="330"/>
      <c r="G324" s="330"/>
      <c r="H324" s="330"/>
      <c r="I324" s="330"/>
    </row>
    <row r="325">
      <c r="A325" s="186"/>
      <c r="B325" s="330"/>
      <c r="C325" s="330"/>
      <c r="D325" s="330"/>
      <c r="E325" s="330"/>
      <c r="F325" s="330"/>
      <c r="G325" s="330"/>
      <c r="H325" s="330"/>
      <c r="I325" s="330"/>
    </row>
    <row r="326">
      <c r="A326" s="186"/>
      <c r="B326" s="330"/>
      <c r="C326" s="330"/>
      <c r="D326" s="330"/>
      <c r="E326" s="330"/>
      <c r="F326" s="330"/>
      <c r="G326" s="330"/>
      <c r="H326" s="330"/>
      <c r="I326" s="330"/>
    </row>
    <row r="327">
      <c r="A327" s="186"/>
      <c r="B327" s="330"/>
      <c r="C327" s="330"/>
      <c r="D327" s="330"/>
      <c r="E327" s="330"/>
      <c r="F327" s="330"/>
      <c r="G327" s="330"/>
      <c r="H327" s="330"/>
      <c r="I327" s="330"/>
    </row>
    <row r="328">
      <c r="A328" s="186"/>
      <c r="B328" s="330"/>
      <c r="C328" s="330"/>
      <c r="D328" s="330"/>
      <c r="E328" s="330"/>
      <c r="F328" s="330"/>
      <c r="G328" s="330"/>
      <c r="H328" s="330"/>
      <c r="I328" s="330"/>
    </row>
    <row r="329">
      <c r="A329" s="186"/>
      <c r="B329" s="330"/>
      <c r="C329" s="330"/>
      <c r="D329" s="330"/>
      <c r="E329" s="330"/>
      <c r="F329" s="330"/>
      <c r="G329" s="330"/>
      <c r="H329" s="330"/>
      <c r="I329" s="330"/>
    </row>
    <row r="330">
      <c r="A330" s="186"/>
      <c r="B330" s="330"/>
      <c r="C330" s="330"/>
      <c r="D330" s="330"/>
      <c r="E330" s="330"/>
      <c r="F330" s="330"/>
      <c r="G330" s="330"/>
      <c r="H330" s="330"/>
      <c r="I330" s="330"/>
    </row>
    <row r="331">
      <c r="A331" s="186"/>
      <c r="B331" s="330"/>
      <c r="C331" s="330"/>
      <c r="D331" s="330"/>
      <c r="E331" s="330"/>
      <c r="F331" s="330"/>
      <c r="G331" s="330"/>
      <c r="H331" s="330"/>
      <c r="I331" s="330"/>
    </row>
    <row r="332">
      <c r="A332" s="186"/>
      <c r="B332" s="330"/>
      <c r="C332" s="330"/>
      <c r="D332" s="330"/>
      <c r="E332" s="330"/>
      <c r="F332" s="330"/>
      <c r="G332" s="330"/>
      <c r="H332" s="330"/>
      <c r="I332" s="330"/>
    </row>
    <row r="333">
      <c r="A333" s="186"/>
      <c r="B333" s="330"/>
      <c r="C333" s="330"/>
      <c r="D333" s="330"/>
      <c r="E333" s="330"/>
      <c r="F333" s="330"/>
      <c r="G333" s="330"/>
      <c r="H333" s="330"/>
      <c r="I333" s="330"/>
    </row>
    <row r="334">
      <c r="A334" s="186"/>
      <c r="B334" s="330"/>
      <c r="C334" s="330"/>
      <c r="D334" s="330"/>
      <c r="E334" s="330"/>
      <c r="F334" s="330"/>
      <c r="G334" s="330"/>
      <c r="H334" s="330"/>
      <c r="I334" s="330"/>
    </row>
    <row r="335">
      <c r="A335" s="186"/>
      <c r="B335" s="330"/>
      <c r="C335" s="330"/>
      <c r="D335" s="330"/>
      <c r="E335" s="330"/>
      <c r="F335" s="330"/>
      <c r="G335" s="330"/>
      <c r="H335" s="330"/>
      <c r="I335" s="330"/>
    </row>
    <row r="336">
      <c r="A336" s="186"/>
      <c r="B336" s="330"/>
      <c r="C336" s="330"/>
      <c r="D336" s="330"/>
      <c r="E336" s="330"/>
      <c r="F336" s="330"/>
      <c r="G336" s="330"/>
      <c r="H336" s="330"/>
      <c r="I336" s="330"/>
    </row>
    <row r="337">
      <c r="A337" s="186"/>
      <c r="B337" s="330"/>
      <c r="C337" s="330"/>
      <c r="D337" s="330"/>
      <c r="E337" s="330"/>
      <c r="F337" s="330"/>
      <c r="G337" s="330"/>
      <c r="H337" s="330"/>
      <c r="I337" s="330"/>
    </row>
    <row r="338">
      <c r="A338" s="186"/>
      <c r="B338" s="330"/>
      <c r="C338" s="330"/>
      <c r="D338" s="330"/>
      <c r="E338" s="330"/>
      <c r="F338" s="330"/>
      <c r="G338" s="330"/>
      <c r="H338" s="330"/>
      <c r="I338" s="330"/>
    </row>
    <row r="339">
      <c r="A339" s="186"/>
      <c r="B339" s="330"/>
      <c r="C339" s="330"/>
      <c r="D339" s="330"/>
      <c r="E339" s="330"/>
      <c r="F339" s="330"/>
      <c r="G339" s="330"/>
      <c r="H339" s="330"/>
      <c r="I339" s="330"/>
    </row>
    <row r="340">
      <c r="A340" s="186"/>
      <c r="B340" s="330"/>
      <c r="C340" s="330"/>
      <c r="D340" s="330"/>
      <c r="E340" s="330"/>
      <c r="F340" s="330"/>
      <c r="G340" s="330"/>
      <c r="H340" s="330"/>
      <c r="I340" s="330"/>
    </row>
    <row r="341">
      <c r="A341" s="186"/>
      <c r="B341" s="330"/>
      <c r="C341" s="330"/>
      <c r="D341" s="330"/>
      <c r="E341" s="330"/>
      <c r="F341" s="330"/>
      <c r="G341" s="330"/>
      <c r="H341" s="330"/>
      <c r="I341" s="330"/>
    </row>
    <row r="342">
      <c r="A342" s="186"/>
      <c r="B342" s="330"/>
      <c r="C342" s="330"/>
      <c r="D342" s="330"/>
      <c r="E342" s="330"/>
      <c r="F342" s="330"/>
      <c r="G342" s="330"/>
      <c r="H342" s="330"/>
      <c r="I342" s="330"/>
    </row>
    <row r="343">
      <c r="A343" s="186"/>
      <c r="B343" s="330"/>
      <c r="C343" s="330"/>
      <c r="D343" s="330"/>
      <c r="E343" s="330"/>
      <c r="F343" s="330"/>
      <c r="G343" s="330"/>
      <c r="H343" s="330"/>
      <c r="I343" s="330"/>
    </row>
    <row r="344">
      <c r="A344" s="186"/>
      <c r="B344" s="330"/>
      <c r="C344" s="330"/>
      <c r="D344" s="330"/>
      <c r="E344" s="330"/>
      <c r="F344" s="330"/>
      <c r="G344" s="330"/>
      <c r="H344" s="330"/>
      <c r="I344" s="330"/>
    </row>
    <row r="345">
      <c r="A345" s="186"/>
      <c r="B345" s="330"/>
      <c r="C345" s="330"/>
      <c r="D345" s="330"/>
      <c r="E345" s="330"/>
      <c r="F345" s="330"/>
      <c r="G345" s="330"/>
      <c r="H345" s="330"/>
      <c r="I345" s="330"/>
    </row>
    <row r="346">
      <c r="A346" s="186"/>
      <c r="B346" s="330"/>
      <c r="C346" s="330"/>
      <c r="D346" s="330"/>
      <c r="E346" s="330"/>
      <c r="F346" s="330"/>
      <c r="G346" s="330"/>
      <c r="H346" s="330"/>
      <c r="I346" s="330"/>
    </row>
    <row r="347">
      <c r="A347" s="186"/>
      <c r="B347" s="330"/>
      <c r="C347" s="330"/>
      <c r="D347" s="330"/>
      <c r="E347" s="330"/>
      <c r="F347" s="330"/>
      <c r="G347" s="330"/>
      <c r="H347" s="330"/>
      <c r="I347" s="330"/>
    </row>
    <row r="348">
      <c r="A348" s="186"/>
      <c r="B348" s="330"/>
      <c r="C348" s="330"/>
      <c r="D348" s="330"/>
      <c r="E348" s="330"/>
      <c r="F348" s="330"/>
      <c r="G348" s="330"/>
      <c r="H348" s="330"/>
      <c r="I348" s="330"/>
    </row>
    <row r="349">
      <c r="A349" s="186"/>
      <c r="B349" s="330"/>
      <c r="C349" s="330"/>
      <c r="D349" s="330"/>
      <c r="E349" s="330"/>
      <c r="F349" s="330"/>
      <c r="G349" s="330"/>
      <c r="H349" s="330"/>
      <c r="I349" s="330"/>
    </row>
    <row r="350">
      <c r="A350" s="186"/>
      <c r="B350" s="330"/>
      <c r="C350" s="330"/>
      <c r="D350" s="330"/>
      <c r="E350" s="330"/>
      <c r="F350" s="330"/>
      <c r="G350" s="330"/>
      <c r="H350" s="330"/>
      <c r="I350" s="330"/>
    </row>
    <row r="351">
      <c r="A351" s="186"/>
      <c r="B351" s="330"/>
      <c r="C351" s="330"/>
      <c r="D351" s="330"/>
      <c r="E351" s="330"/>
      <c r="F351" s="330"/>
      <c r="G351" s="330"/>
      <c r="H351" s="330"/>
      <c r="I351" s="330"/>
    </row>
    <row r="352">
      <c r="A352" s="186"/>
      <c r="B352" s="330"/>
      <c r="C352" s="330"/>
      <c r="D352" s="330"/>
      <c r="E352" s="330"/>
      <c r="F352" s="330"/>
      <c r="G352" s="330"/>
      <c r="H352" s="330"/>
      <c r="I352" s="330"/>
    </row>
    <row r="353">
      <c r="A353" s="186"/>
      <c r="B353" s="330"/>
      <c r="C353" s="330"/>
      <c r="D353" s="330"/>
      <c r="E353" s="330"/>
      <c r="F353" s="330"/>
      <c r="G353" s="330"/>
      <c r="H353" s="330"/>
      <c r="I353" s="330"/>
    </row>
    <row r="354">
      <c r="A354" s="186"/>
      <c r="B354" s="330"/>
      <c r="C354" s="330"/>
      <c r="D354" s="330"/>
      <c r="E354" s="330"/>
      <c r="F354" s="330"/>
      <c r="G354" s="330"/>
      <c r="H354" s="330"/>
      <c r="I354" s="330"/>
    </row>
    <row r="355">
      <c r="A355" s="186"/>
      <c r="B355" s="330"/>
      <c r="C355" s="330"/>
      <c r="D355" s="330"/>
      <c r="E355" s="330"/>
      <c r="F355" s="330"/>
      <c r="G355" s="330"/>
      <c r="H355" s="330"/>
      <c r="I355" s="330"/>
    </row>
    <row r="356">
      <c r="A356" s="186"/>
      <c r="B356" s="330"/>
      <c r="C356" s="330"/>
      <c r="D356" s="330"/>
      <c r="E356" s="330"/>
      <c r="F356" s="330"/>
      <c r="G356" s="330"/>
      <c r="H356" s="330"/>
      <c r="I356" s="330"/>
    </row>
    <row r="357">
      <c r="A357" s="186"/>
      <c r="B357" s="330"/>
      <c r="C357" s="330"/>
      <c r="D357" s="330"/>
      <c r="E357" s="330"/>
      <c r="F357" s="330"/>
      <c r="G357" s="330"/>
      <c r="H357" s="330"/>
      <c r="I357" s="330"/>
    </row>
    <row r="358">
      <c r="A358" s="186"/>
      <c r="B358" s="330"/>
      <c r="C358" s="330"/>
      <c r="D358" s="330"/>
      <c r="E358" s="330"/>
      <c r="F358" s="330"/>
      <c r="G358" s="330"/>
      <c r="H358" s="330"/>
      <c r="I358" s="330"/>
    </row>
    <row r="359">
      <c r="A359" s="186"/>
      <c r="B359" s="330"/>
      <c r="C359" s="330"/>
      <c r="D359" s="330"/>
      <c r="E359" s="330"/>
      <c r="F359" s="330"/>
      <c r="G359" s="330"/>
      <c r="H359" s="330"/>
      <c r="I359" s="330"/>
    </row>
    <row r="360">
      <c r="A360" s="186"/>
      <c r="B360" s="330"/>
      <c r="C360" s="330"/>
      <c r="D360" s="330"/>
      <c r="E360" s="330"/>
      <c r="F360" s="330"/>
      <c r="G360" s="330"/>
      <c r="H360" s="330"/>
      <c r="I360" s="330"/>
    </row>
    <row r="361">
      <c r="A361" s="186"/>
      <c r="B361" s="330"/>
      <c r="C361" s="330"/>
      <c r="D361" s="330"/>
      <c r="E361" s="330"/>
      <c r="F361" s="330"/>
      <c r="G361" s="330"/>
      <c r="H361" s="330"/>
      <c r="I361" s="330"/>
    </row>
    <row r="362">
      <c r="A362" s="186"/>
      <c r="B362" s="330"/>
      <c r="C362" s="330"/>
      <c r="D362" s="330"/>
      <c r="E362" s="330"/>
      <c r="F362" s="330"/>
      <c r="G362" s="330"/>
      <c r="H362" s="330"/>
      <c r="I362" s="330"/>
    </row>
    <row r="363">
      <c r="A363" s="186"/>
      <c r="B363" s="330"/>
      <c r="C363" s="330"/>
      <c r="D363" s="330"/>
      <c r="E363" s="330"/>
      <c r="F363" s="330"/>
      <c r="G363" s="330"/>
      <c r="H363" s="330"/>
      <c r="I363" s="330"/>
    </row>
    <row r="364">
      <c r="A364" s="186"/>
      <c r="B364" s="330"/>
      <c r="C364" s="330"/>
      <c r="D364" s="330"/>
      <c r="E364" s="330"/>
      <c r="F364" s="330"/>
      <c r="G364" s="330"/>
      <c r="H364" s="330"/>
      <c r="I364" s="330"/>
    </row>
    <row r="365">
      <c r="A365" s="186"/>
      <c r="B365" s="330"/>
      <c r="C365" s="330"/>
      <c r="D365" s="330"/>
      <c r="E365" s="330"/>
      <c r="F365" s="330"/>
      <c r="G365" s="330"/>
      <c r="H365" s="330"/>
      <c r="I365" s="330"/>
    </row>
    <row r="366">
      <c r="A366" s="186"/>
      <c r="B366" s="330"/>
      <c r="C366" s="330"/>
      <c r="D366" s="330"/>
      <c r="E366" s="330"/>
      <c r="F366" s="330"/>
      <c r="G366" s="330"/>
      <c r="H366" s="330"/>
      <c r="I366" s="330"/>
    </row>
    <row r="367">
      <c r="A367" s="186"/>
      <c r="B367" s="330"/>
      <c r="C367" s="330"/>
      <c r="D367" s="330"/>
      <c r="E367" s="330"/>
      <c r="F367" s="330"/>
      <c r="G367" s="330"/>
      <c r="H367" s="330"/>
      <c r="I367" s="330"/>
    </row>
    <row r="368">
      <c r="A368" s="186"/>
      <c r="B368" s="330"/>
      <c r="C368" s="330"/>
      <c r="D368" s="330"/>
      <c r="E368" s="330"/>
      <c r="F368" s="330"/>
      <c r="G368" s="330"/>
      <c r="H368" s="330"/>
      <c r="I368" s="330"/>
    </row>
    <row r="369">
      <c r="A369" s="186"/>
      <c r="B369" s="330"/>
      <c r="C369" s="330"/>
      <c r="D369" s="330"/>
      <c r="E369" s="330"/>
      <c r="F369" s="330"/>
      <c r="G369" s="330"/>
      <c r="H369" s="330"/>
      <c r="I369" s="330"/>
    </row>
    <row r="370">
      <c r="A370" s="186"/>
      <c r="B370" s="330"/>
      <c r="C370" s="330"/>
      <c r="D370" s="330"/>
      <c r="E370" s="330"/>
      <c r="F370" s="330"/>
      <c r="G370" s="330"/>
      <c r="H370" s="330"/>
      <c r="I370" s="330"/>
    </row>
    <row r="371">
      <c r="A371" s="186"/>
      <c r="B371" s="330"/>
      <c r="C371" s="330"/>
      <c r="D371" s="330"/>
      <c r="E371" s="330"/>
      <c r="F371" s="330"/>
      <c r="G371" s="330"/>
      <c r="H371" s="330"/>
      <c r="I371" s="330"/>
    </row>
    <row r="372">
      <c r="A372" s="186"/>
      <c r="B372" s="330"/>
      <c r="C372" s="330"/>
      <c r="D372" s="330"/>
      <c r="E372" s="330"/>
      <c r="F372" s="330"/>
      <c r="G372" s="330"/>
      <c r="H372" s="330"/>
      <c r="I372" s="330"/>
    </row>
    <row r="373">
      <c r="A373" s="186"/>
      <c r="B373" s="330"/>
      <c r="C373" s="330"/>
      <c r="D373" s="330"/>
      <c r="E373" s="330"/>
      <c r="F373" s="330"/>
      <c r="G373" s="330"/>
      <c r="H373" s="330"/>
      <c r="I373" s="330"/>
    </row>
    <row r="374">
      <c r="A374" s="186"/>
      <c r="B374" s="330"/>
      <c r="C374" s="330"/>
      <c r="D374" s="330"/>
      <c r="E374" s="330"/>
      <c r="F374" s="330"/>
      <c r="G374" s="330"/>
      <c r="H374" s="330"/>
      <c r="I374" s="330"/>
    </row>
    <row r="375">
      <c r="A375" s="186"/>
      <c r="B375" s="330"/>
      <c r="C375" s="330"/>
      <c r="D375" s="330"/>
      <c r="E375" s="330"/>
      <c r="F375" s="330"/>
      <c r="G375" s="330"/>
      <c r="H375" s="330"/>
      <c r="I375" s="330"/>
    </row>
    <row r="376">
      <c r="A376" s="186"/>
      <c r="B376" s="330"/>
      <c r="C376" s="330"/>
      <c r="D376" s="330"/>
      <c r="E376" s="330"/>
      <c r="F376" s="330"/>
      <c r="G376" s="330"/>
      <c r="H376" s="330"/>
      <c r="I376" s="330"/>
    </row>
    <row r="377">
      <c r="A377" s="186"/>
      <c r="B377" s="330"/>
      <c r="C377" s="330"/>
      <c r="D377" s="330"/>
      <c r="E377" s="330"/>
      <c r="F377" s="330"/>
      <c r="G377" s="330"/>
      <c r="H377" s="330"/>
      <c r="I377" s="330"/>
    </row>
    <row r="378">
      <c r="A378" s="186"/>
      <c r="B378" s="330"/>
      <c r="C378" s="330"/>
      <c r="D378" s="330"/>
      <c r="E378" s="330"/>
      <c r="F378" s="330"/>
      <c r="G378" s="330"/>
      <c r="H378" s="330"/>
      <c r="I378" s="330"/>
    </row>
    <row r="379">
      <c r="A379" s="186"/>
      <c r="B379" s="330"/>
      <c r="C379" s="330"/>
      <c r="D379" s="330"/>
      <c r="E379" s="330"/>
      <c r="F379" s="330"/>
      <c r="G379" s="330"/>
      <c r="H379" s="330"/>
      <c r="I379" s="330"/>
    </row>
    <row r="380">
      <c r="A380" s="186"/>
      <c r="B380" s="330"/>
      <c r="C380" s="330"/>
      <c r="D380" s="330"/>
      <c r="E380" s="330"/>
      <c r="F380" s="330"/>
      <c r="G380" s="330"/>
      <c r="H380" s="330"/>
      <c r="I380" s="330"/>
    </row>
    <row r="381">
      <c r="A381" s="186"/>
      <c r="B381" s="330"/>
      <c r="C381" s="330"/>
      <c r="D381" s="330"/>
      <c r="E381" s="330"/>
      <c r="F381" s="330"/>
      <c r="G381" s="330"/>
      <c r="H381" s="330"/>
      <c r="I381" s="330"/>
    </row>
    <row r="382">
      <c r="A382" s="186"/>
      <c r="B382" s="330"/>
      <c r="C382" s="330"/>
      <c r="D382" s="330"/>
      <c r="E382" s="330"/>
      <c r="F382" s="330"/>
      <c r="G382" s="330"/>
      <c r="H382" s="330"/>
      <c r="I382" s="330"/>
    </row>
    <row r="383">
      <c r="A383" s="186"/>
      <c r="B383" s="330"/>
      <c r="C383" s="330"/>
      <c r="D383" s="330"/>
      <c r="E383" s="330"/>
      <c r="F383" s="330"/>
      <c r="G383" s="330"/>
      <c r="H383" s="330"/>
      <c r="I383" s="330"/>
    </row>
    <row r="384">
      <c r="A384" s="186"/>
      <c r="B384" s="330"/>
      <c r="C384" s="330"/>
      <c r="D384" s="330"/>
      <c r="E384" s="330"/>
      <c r="F384" s="330"/>
      <c r="G384" s="330"/>
      <c r="H384" s="330"/>
      <c r="I384" s="330"/>
    </row>
    <row r="385">
      <c r="A385" s="186"/>
      <c r="B385" s="330"/>
      <c r="C385" s="330"/>
      <c r="D385" s="330"/>
      <c r="E385" s="330"/>
      <c r="F385" s="330"/>
      <c r="G385" s="330"/>
      <c r="H385" s="330"/>
      <c r="I385" s="330"/>
    </row>
    <row r="386">
      <c r="A386" s="186"/>
      <c r="B386" s="330"/>
      <c r="C386" s="330"/>
      <c r="D386" s="330"/>
      <c r="E386" s="330"/>
      <c r="F386" s="330"/>
      <c r="G386" s="330"/>
      <c r="H386" s="330"/>
      <c r="I386" s="330"/>
    </row>
    <row r="387">
      <c r="A387" s="186"/>
      <c r="B387" s="330"/>
      <c r="C387" s="330"/>
      <c r="D387" s="330"/>
      <c r="E387" s="330"/>
      <c r="F387" s="330"/>
      <c r="G387" s="330"/>
      <c r="H387" s="330"/>
      <c r="I387" s="330"/>
    </row>
    <row r="388">
      <c r="A388" s="186"/>
      <c r="B388" s="330"/>
      <c r="C388" s="330"/>
      <c r="D388" s="330"/>
      <c r="E388" s="330"/>
      <c r="F388" s="330"/>
      <c r="G388" s="330"/>
      <c r="H388" s="330"/>
      <c r="I388" s="330"/>
    </row>
    <row r="389">
      <c r="A389" s="186"/>
      <c r="B389" s="330"/>
      <c r="C389" s="330"/>
      <c r="D389" s="330"/>
      <c r="E389" s="330"/>
      <c r="F389" s="330"/>
      <c r="G389" s="330"/>
      <c r="H389" s="330"/>
      <c r="I389" s="330"/>
    </row>
    <row r="390">
      <c r="A390" s="186"/>
      <c r="B390" s="330"/>
      <c r="C390" s="330"/>
      <c r="D390" s="330"/>
      <c r="E390" s="330"/>
      <c r="F390" s="330"/>
      <c r="G390" s="330"/>
      <c r="H390" s="330"/>
      <c r="I390" s="330"/>
    </row>
    <row r="391">
      <c r="A391" s="186"/>
      <c r="B391" s="330"/>
      <c r="C391" s="330"/>
      <c r="D391" s="330"/>
      <c r="E391" s="330"/>
      <c r="F391" s="330"/>
      <c r="G391" s="330"/>
      <c r="H391" s="330"/>
      <c r="I391" s="330"/>
    </row>
    <row r="392">
      <c r="A392" s="186"/>
      <c r="B392" s="330"/>
      <c r="C392" s="330"/>
      <c r="D392" s="330"/>
      <c r="E392" s="330"/>
      <c r="F392" s="330"/>
      <c r="G392" s="330"/>
      <c r="H392" s="330"/>
      <c r="I392" s="330"/>
    </row>
    <row r="393">
      <c r="A393" s="186"/>
      <c r="B393" s="330"/>
      <c r="C393" s="330"/>
      <c r="D393" s="330"/>
      <c r="E393" s="330"/>
      <c r="F393" s="330"/>
      <c r="G393" s="330"/>
      <c r="H393" s="330"/>
      <c r="I393" s="330"/>
    </row>
    <row r="394">
      <c r="A394" s="186"/>
      <c r="B394" s="330"/>
      <c r="C394" s="330"/>
      <c r="D394" s="330"/>
      <c r="E394" s="330"/>
      <c r="F394" s="330"/>
      <c r="G394" s="330"/>
      <c r="H394" s="330"/>
      <c r="I394" s="330"/>
    </row>
    <row r="395">
      <c r="A395" s="186"/>
      <c r="B395" s="330"/>
      <c r="C395" s="330"/>
      <c r="D395" s="330"/>
      <c r="E395" s="330"/>
      <c r="F395" s="330"/>
      <c r="G395" s="330"/>
      <c r="H395" s="330"/>
      <c r="I395" s="330"/>
    </row>
    <row r="396">
      <c r="A396" s="186"/>
      <c r="B396" s="330"/>
      <c r="C396" s="330"/>
      <c r="D396" s="330"/>
      <c r="E396" s="330"/>
      <c r="F396" s="330"/>
      <c r="G396" s="330"/>
      <c r="H396" s="330"/>
      <c r="I396" s="330"/>
    </row>
    <row r="397">
      <c r="A397" s="186"/>
      <c r="B397" s="330"/>
      <c r="C397" s="330"/>
      <c r="D397" s="330"/>
      <c r="E397" s="330"/>
      <c r="F397" s="330"/>
      <c r="G397" s="330"/>
      <c r="H397" s="330"/>
      <c r="I397" s="330"/>
    </row>
    <row r="398">
      <c r="A398" s="186"/>
      <c r="B398" s="330"/>
      <c r="C398" s="330"/>
      <c r="D398" s="330"/>
      <c r="E398" s="330"/>
      <c r="F398" s="330"/>
      <c r="G398" s="330"/>
      <c r="H398" s="330"/>
      <c r="I398" s="330"/>
    </row>
    <row r="399">
      <c r="A399" s="186"/>
      <c r="B399" s="330"/>
      <c r="C399" s="330"/>
      <c r="D399" s="330"/>
      <c r="E399" s="330"/>
      <c r="F399" s="330"/>
      <c r="G399" s="330"/>
      <c r="H399" s="330"/>
      <c r="I399" s="330"/>
    </row>
    <row r="400">
      <c r="A400" s="186"/>
      <c r="B400" s="330"/>
      <c r="C400" s="330"/>
      <c r="D400" s="330"/>
      <c r="E400" s="330"/>
      <c r="F400" s="330"/>
      <c r="G400" s="330"/>
      <c r="H400" s="330"/>
      <c r="I400" s="330"/>
    </row>
    <row r="401">
      <c r="A401" s="186"/>
      <c r="B401" s="330"/>
      <c r="C401" s="330"/>
      <c r="D401" s="330"/>
      <c r="E401" s="330"/>
      <c r="F401" s="330"/>
      <c r="G401" s="330"/>
      <c r="H401" s="330"/>
      <c r="I401" s="330"/>
    </row>
    <row r="402">
      <c r="A402" s="186"/>
      <c r="B402" s="330"/>
      <c r="C402" s="330"/>
      <c r="D402" s="330"/>
      <c r="E402" s="330"/>
      <c r="F402" s="330"/>
      <c r="G402" s="330"/>
      <c r="H402" s="330"/>
      <c r="I402" s="330"/>
    </row>
    <row r="403">
      <c r="A403" s="186"/>
      <c r="B403" s="330"/>
      <c r="C403" s="330"/>
      <c r="D403" s="330"/>
      <c r="E403" s="330"/>
      <c r="F403" s="330"/>
      <c r="G403" s="330"/>
      <c r="H403" s="330"/>
      <c r="I403" s="330"/>
    </row>
    <row r="404">
      <c r="A404" s="186"/>
      <c r="B404" s="330"/>
      <c r="C404" s="330"/>
      <c r="D404" s="330"/>
      <c r="E404" s="330"/>
      <c r="F404" s="330"/>
      <c r="G404" s="330"/>
      <c r="H404" s="330"/>
      <c r="I404" s="330"/>
    </row>
    <row r="405">
      <c r="A405" s="186"/>
      <c r="B405" s="330"/>
      <c r="C405" s="330"/>
      <c r="D405" s="330"/>
      <c r="E405" s="330"/>
      <c r="F405" s="330"/>
      <c r="G405" s="330"/>
      <c r="H405" s="330"/>
      <c r="I405" s="330"/>
    </row>
    <row r="406">
      <c r="A406" s="186"/>
      <c r="B406" s="330"/>
      <c r="C406" s="330"/>
      <c r="D406" s="330"/>
      <c r="E406" s="330"/>
      <c r="F406" s="330"/>
      <c r="G406" s="330"/>
      <c r="H406" s="330"/>
      <c r="I406" s="330"/>
    </row>
    <row r="407">
      <c r="A407" s="186"/>
      <c r="B407" s="330"/>
      <c r="C407" s="330"/>
      <c r="D407" s="330"/>
      <c r="E407" s="330"/>
      <c r="F407" s="330"/>
      <c r="G407" s="330"/>
      <c r="H407" s="330"/>
      <c r="I407" s="330"/>
    </row>
    <row r="408">
      <c r="A408" s="186"/>
      <c r="B408" s="330"/>
      <c r="C408" s="330"/>
      <c r="D408" s="330"/>
      <c r="E408" s="330"/>
      <c r="F408" s="330"/>
      <c r="G408" s="330"/>
      <c r="H408" s="330"/>
      <c r="I408" s="330"/>
    </row>
    <row r="409">
      <c r="A409" s="186"/>
      <c r="B409" s="330"/>
      <c r="C409" s="330"/>
      <c r="D409" s="330"/>
      <c r="E409" s="330"/>
      <c r="F409" s="330"/>
      <c r="G409" s="330"/>
      <c r="H409" s="330"/>
      <c r="I409" s="330"/>
    </row>
    <row r="410">
      <c r="A410" s="186"/>
      <c r="B410" s="330"/>
      <c r="C410" s="330"/>
      <c r="D410" s="330"/>
      <c r="E410" s="330"/>
      <c r="F410" s="330"/>
      <c r="G410" s="330"/>
      <c r="H410" s="330"/>
      <c r="I410" s="330"/>
    </row>
    <row r="411">
      <c r="A411" s="186"/>
      <c r="B411" s="330"/>
      <c r="C411" s="330"/>
      <c r="D411" s="330"/>
      <c r="E411" s="330"/>
      <c r="F411" s="330"/>
      <c r="G411" s="330"/>
      <c r="H411" s="330"/>
      <c r="I411" s="330"/>
    </row>
    <row r="412">
      <c r="A412" s="186"/>
      <c r="B412" s="330"/>
      <c r="C412" s="330"/>
      <c r="D412" s="330"/>
      <c r="E412" s="330"/>
      <c r="F412" s="330"/>
      <c r="G412" s="330"/>
      <c r="H412" s="330"/>
      <c r="I412" s="330"/>
    </row>
    <row r="413">
      <c r="A413" s="186"/>
      <c r="B413" s="330"/>
      <c r="C413" s="330"/>
      <c r="D413" s="330"/>
      <c r="E413" s="330"/>
      <c r="F413" s="330"/>
      <c r="G413" s="330"/>
      <c r="H413" s="330"/>
      <c r="I413" s="330"/>
    </row>
    <row r="414">
      <c r="A414" s="186"/>
      <c r="B414" s="330"/>
      <c r="C414" s="330"/>
      <c r="D414" s="330"/>
      <c r="E414" s="330"/>
      <c r="F414" s="330"/>
      <c r="G414" s="330"/>
      <c r="H414" s="330"/>
      <c r="I414" s="330"/>
    </row>
    <row r="415">
      <c r="A415" s="186"/>
      <c r="B415" s="330"/>
      <c r="C415" s="330"/>
      <c r="D415" s="330"/>
      <c r="E415" s="330"/>
      <c r="F415" s="330"/>
      <c r="G415" s="330"/>
      <c r="H415" s="330"/>
      <c r="I415" s="330"/>
    </row>
    <row r="416">
      <c r="A416" s="186"/>
      <c r="B416" s="330"/>
      <c r="C416" s="330"/>
      <c r="D416" s="330"/>
      <c r="E416" s="330"/>
      <c r="F416" s="330"/>
      <c r="G416" s="330"/>
      <c r="H416" s="330"/>
      <c r="I416" s="330"/>
    </row>
    <row r="417">
      <c r="A417" s="186"/>
      <c r="B417" s="330"/>
      <c r="C417" s="330"/>
      <c r="D417" s="330"/>
      <c r="E417" s="330"/>
      <c r="F417" s="330"/>
      <c r="G417" s="330"/>
      <c r="H417" s="330"/>
      <c r="I417" s="330"/>
    </row>
    <row r="418">
      <c r="A418" s="186"/>
      <c r="B418" s="330"/>
      <c r="C418" s="330"/>
      <c r="D418" s="330"/>
      <c r="E418" s="330"/>
      <c r="F418" s="330"/>
      <c r="G418" s="330"/>
      <c r="H418" s="330"/>
      <c r="I418" s="330"/>
    </row>
    <row r="419">
      <c r="A419" s="186"/>
      <c r="B419" s="330"/>
      <c r="C419" s="330"/>
      <c r="D419" s="330"/>
      <c r="E419" s="330"/>
      <c r="F419" s="330"/>
      <c r="G419" s="330"/>
      <c r="H419" s="330"/>
      <c r="I419" s="330"/>
    </row>
    <row r="420">
      <c r="A420" s="186"/>
      <c r="B420" s="330"/>
      <c r="C420" s="330"/>
      <c r="D420" s="330"/>
      <c r="E420" s="330"/>
      <c r="F420" s="330"/>
      <c r="G420" s="330"/>
      <c r="H420" s="330"/>
      <c r="I420" s="330"/>
    </row>
    <row r="421">
      <c r="A421" s="186"/>
      <c r="B421" s="330"/>
      <c r="C421" s="330"/>
      <c r="D421" s="330"/>
      <c r="E421" s="330"/>
      <c r="F421" s="330"/>
      <c r="G421" s="330"/>
      <c r="H421" s="330"/>
      <c r="I421" s="330"/>
    </row>
    <row r="422">
      <c r="A422" s="186"/>
      <c r="B422" s="330"/>
      <c r="C422" s="330"/>
      <c r="D422" s="330"/>
      <c r="E422" s="330"/>
      <c r="F422" s="330"/>
      <c r="G422" s="330"/>
      <c r="H422" s="330"/>
      <c r="I422" s="330"/>
    </row>
    <row r="423">
      <c r="A423" s="186"/>
      <c r="B423" s="330"/>
      <c r="C423" s="330"/>
      <c r="D423" s="330"/>
      <c r="E423" s="330"/>
      <c r="F423" s="330"/>
      <c r="G423" s="330"/>
      <c r="H423" s="330"/>
      <c r="I423" s="330"/>
    </row>
    <row r="424">
      <c r="A424" s="186"/>
      <c r="B424" s="330"/>
      <c r="C424" s="330"/>
      <c r="D424" s="330"/>
      <c r="E424" s="330"/>
      <c r="F424" s="330"/>
      <c r="G424" s="330"/>
      <c r="H424" s="330"/>
      <c r="I424" s="330"/>
    </row>
    <row r="425">
      <c r="A425" s="186"/>
      <c r="B425" s="330"/>
      <c r="C425" s="330"/>
      <c r="D425" s="330"/>
      <c r="E425" s="330"/>
      <c r="F425" s="330"/>
      <c r="G425" s="330"/>
      <c r="H425" s="330"/>
      <c r="I425" s="330"/>
    </row>
    <row r="426">
      <c r="A426" s="186"/>
      <c r="B426" s="330"/>
      <c r="C426" s="330"/>
      <c r="D426" s="330"/>
      <c r="E426" s="330"/>
      <c r="F426" s="330"/>
      <c r="G426" s="330"/>
      <c r="H426" s="330"/>
      <c r="I426" s="330"/>
    </row>
    <row r="427">
      <c r="A427" s="186"/>
      <c r="B427" s="330"/>
      <c r="C427" s="330"/>
      <c r="D427" s="330"/>
      <c r="E427" s="330"/>
      <c r="F427" s="330"/>
      <c r="G427" s="330"/>
      <c r="H427" s="330"/>
      <c r="I427" s="330"/>
    </row>
    <row r="428">
      <c r="A428" s="186"/>
      <c r="B428" s="330"/>
      <c r="C428" s="330"/>
      <c r="D428" s="330"/>
      <c r="E428" s="330"/>
      <c r="F428" s="330"/>
      <c r="G428" s="330"/>
      <c r="H428" s="330"/>
      <c r="I428" s="330"/>
    </row>
    <row r="429">
      <c r="A429" s="186"/>
      <c r="B429" s="330"/>
      <c r="C429" s="330"/>
      <c r="D429" s="330"/>
      <c r="E429" s="330"/>
      <c r="F429" s="330"/>
      <c r="G429" s="330"/>
      <c r="H429" s="330"/>
      <c r="I429" s="330"/>
    </row>
    <row r="430">
      <c r="A430" s="186"/>
      <c r="B430" s="330"/>
      <c r="C430" s="330"/>
      <c r="D430" s="330"/>
      <c r="E430" s="330"/>
      <c r="F430" s="330"/>
      <c r="G430" s="330"/>
      <c r="H430" s="330"/>
      <c r="I430" s="330"/>
    </row>
    <row r="431">
      <c r="A431" s="186"/>
      <c r="B431" s="330"/>
      <c r="C431" s="330"/>
      <c r="D431" s="330"/>
      <c r="E431" s="330"/>
      <c r="F431" s="330"/>
      <c r="G431" s="330"/>
      <c r="H431" s="330"/>
      <c r="I431" s="330"/>
    </row>
    <row r="432">
      <c r="A432" s="186"/>
      <c r="B432" s="330"/>
      <c r="C432" s="330"/>
      <c r="D432" s="330"/>
      <c r="E432" s="330"/>
      <c r="F432" s="330"/>
      <c r="G432" s="330"/>
      <c r="H432" s="330"/>
      <c r="I432" s="330"/>
    </row>
    <row r="433">
      <c r="A433" s="186"/>
      <c r="B433" s="330"/>
      <c r="C433" s="330"/>
      <c r="D433" s="330"/>
      <c r="E433" s="330"/>
      <c r="F433" s="330"/>
      <c r="G433" s="330"/>
      <c r="H433" s="330"/>
      <c r="I433" s="330"/>
    </row>
    <row r="434">
      <c r="A434" s="186"/>
      <c r="B434" s="330"/>
      <c r="C434" s="330"/>
      <c r="D434" s="330"/>
      <c r="E434" s="330"/>
      <c r="F434" s="330"/>
      <c r="G434" s="330"/>
      <c r="H434" s="330"/>
      <c r="I434" s="330"/>
    </row>
    <row r="435">
      <c r="A435" s="186"/>
      <c r="B435" s="330"/>
      <c r="C435" s="330"/>
      <c r="D435" s="330"/>
      <c r="E435" s="330"/>
      <c r="F435" s="330"/>
      <c r="G435" s="330"/>
      <c r="H435" s="330"/>
      <c r="I435" s="330"/>
    </row>
    <row r="436">
      <c r="A436" s="186"/>
      <c r="B436" s="330"/>
      <c r="C436" s="330"/>
      <c r="D436" s="330"/>
      <c r="E436" s="330"/>
      <c r="F436" s="330"/>
      <c r="G436" s="330"/>
      <c r="H436" s="330"/>
      <c r="I436" s="330"/>
    </row>
    <row r="437">
      <c r="A437" s="186"/>
      <c r="B437" s="330"/>
      <c r="C437" s="330"/>
      <c r="D437" s="330"/>
      <c r="E437" s="330"/>
      <c r="F437" s="330"/>
      <c r="G437" s="330"/>
      <c r="H437" s="330"/>
      <c r="I437" s="330"/>
    </row>
    <row r="438">
      <c r="A438" s="186"/>
      <c r="B438" s="330"/>
      <c r="C438" s="330"/>
      <c r="D438" s="330"/>
      <c r="E438" s="330"/>
      <c r="F438" s="330"/>
      <c r="G438" s="330"/>
      <c r="H438" s="330"/>
      <c r="I438" s="330"/>
    </row>
    <row r="439">
      <c r="A439" s="186"/>
      <c r="B439" s="330"/>
      <c r="C439" s="330"/>
      <c r="D439" s="330"/>
      <c r="E439" s="330"/>
      <c r="F439" s="330"/>
      <c r="G439" s="330"/>
      <c r="H439" s="330"/>
      <c r="I439" s="330"/>
    </row>
    <row r="440">
      <c r="A440" s="186"/>
      <c r="B440" s="330"/>
      <c r="C440" s="330"/>
      <c r="D440" s="330"/>
      <c r="E440" s="330"/>
      <c r="F440" s="330"/>
      <c r="G440" s="330"/>
      <c r="H440" s="330"/>
      <c r="I440" s="330"/>
    </row>
    <row r="441">
      <c r="A441" s="186"/>
      <c r="B441" s="330"/>
      <c r="C441" s="330"/>
      <c r="D441" s="330"/>
      <c r="E441" s="330"/>
      <c r="F441" s="330"/>
      <c r="G441" s="330"/>
      <c r="H441" s="330"/>
      <c r="I441" s="330"/>
    </row>
    <row r="442">
      <c r="A442" s="186"/>
      <c r="B442" s="330"/>
      <c r="C442" s="330"/>
      <c r="D442" s="330"/>
      <c r="E442" s="330"/>
      <c r="F442" s="330"/>
      <c r="G442" s="330"/>
      <c r="H442" s="330"/>
      <c r="I442" s="330"/>
    </row>
    <row r="443">
      <c r="A443" s="186"/>
      <c r="B443" s="330"/>
      <c r="C443" s="330"/>
      <c r="D443" s="330"/>
      <c r="E443" s="330"/>
      <c r="F443" s="330"/>
      <c r="G443" s="330"/>
      <c r="H443" s="330"/>
      <c r="I443" s="330"/>
    </row>
    <row r="444">
      <c r="A444" s="186"/>
      <c r="B444" s="330"/>
      <c r="C444" s="330"/>
      <c r="D444" s="330"/>
      <c r="E444" s="330"/>
      <c r="F444" s="330"/>
      <c r="G444" s="330"/>
      <c r="H444" s="330"/>
      <c r="I444" s="330"/>
    </row>
    <row r="445">
      <c r="A445" s="186"/>
      <c r="B445" s="330"/>
      <c r="C445" s="330"/>
      <c r="D445" s="330"/>
      <c r="E445" s="330"/>
      <c r="F445" s="330"/>
      <c r="G445" s="330"/>
      <c r="H445" s="330"/>
      <c r="I445" s="330"/>
    </row>
    <row r="446">
      <c r="A446" s="186"/>
      <c r="B446" s="330"/>
      <c r="C446" s="330"/>
      <c r="D446" s="330"/>
      <c r="E446" s="330"/>
      <c r="F446" s="330"/>
      <c r="G446" s="330"/>
      <c r="H446" s="330"/>
      <c r="I446" s="330"/>
    </row>
    <row r="447">
      <c r="A447" s="186"/>
      <c r="B447" s="330"/>
      <c r="C447" s="330"/>
      <c r="D447" s="330"/>
      <c r="E447" s="330"/>
      <c r="F447" s="330"/>
      <c r="G447" s="330"/>
      <c r="H447" s="330"/>
      <c r="I447" s="330"/>
    </row>
    <row r="448">
      <c r="A448" s="186"/>
      <c r="B448" s="330"/>
      <c r="C448" s="330"/>
      <c r="D448" s="330"/>
      <c r="E448" s="330"/>
      <c r="F448" s="330"/>
      <c r="G448" s="330"/>
      <c r="H448" s="330"/>
      <c r="I448" s="330"/>
    </row>
    <row r="449">
      <c r="A449" s="186"/>
      <c r="B449" s="330"/>
      <c r="C449" s="330"/>
      <c r="D449" s="330"/>
      <c r="E449" s="330"/>
      <c r="F449" s="330"/>
      <c r="G449" s="330"/>
      <c r="H449" s="330"/>
      <c r="I449" s="330"/>
    </row>
    <row r="450">
      <c r="A450" s="186"/>
      <c r="B450" s="330"/>
      <c r="C450" s="330"/>
      <c r="D450" s="330"/>
      <c r="E450" s="330"/>
      <c r="F450" s="330"/>
      <c r="G450" s="330"/>
      <c r="H450" s="330"/>
      <c r="I450" s="330"/>
    </row>
    <row r="451">
      <c r="A451" s="186"/>
      <c r="B451" s="330"/>
      <c r="C451" s="330"/>
      <c r="D451" s="330"/>
      <c r="E451" s="330"/>
      <c r="F451" s="330"/>
      <c r="G451" s="330"/>
      <c r="H451" s="330"/>
      <c r="I451" s="330"/>
    </row>
    <row r="452">
      <c r="A452" s="186"/>
      <c r="B452" s="330"/>
      <c r="C452" s="330"/>
      <c r="D452" s="330"/>
      <c r="E452" s="330"/>
      <c r="F452" s="330"/>
      <c r="G452" s="330"/>
      <c r="H452" s="330"/>
      <c r="I452" s="330"/>
    </row>
    <row r="453">
      <c r="A453" s="186"/>
      <c r="B453" s="330"/>
      <c r="C453" s="330"/>
      <c r="D453" s="330"/>
      <c r="E453" s="330"/>
      <c r="F453" s="330"/>
      <c r="G453" s="330"/>
      <c r="H453" s="330"/>
      <c r="I453" s="330"/>
    </row>
    <row r="454">
      <c r="A454" s="186"/>
      <c r="B454" s="330"/>
      <c r="C454" s="330"/>
      <c r="D454" s="330"/>
      <c r="E454" s="330"/>
      <c r="F454" s="330"/>
      <c r="G454" s="330"/>
      <c r="H454" s="330"/>
      <c r="I454" s="330"/>
    </row>
    <row r="455">
      <c r="A455" s="186"/>
      <c r="B455" s="330"/>
      <c r="C455" s="330"/>
      <c r="D455" s="330"/>
      <c r="E455" s="330"/>
      <c r="F455" s="330"/>
      <c r="G455" s="330"/>
      <c r="H455" s="330"/>
      <c r="I455" s="330"/>
    </row>
    <row r="456">
      <c r="A456" s="186"/>
      <c r="B456" s="330"/>
      <c r="C456" s="330"/>
      <c r="D456" s="330"/>
      <c r="E456" s="330"/>
      <c r="F456" s="330"/>
      <c r="G456" s="330"/>
      <c r="H456" s="330"/>
      <c r="I456" s="330"/>
    </row>
    <row r="457">
      <c r="A457" s="186"/>
      <c r="B457" s="330"/>
      <c r="C457" s="330"/>
      <c r="D457" s="330"/>
      <c r="E457" s="330"/>
      <c r="F457" s="330"/>
      <c r="G457" s="330"/>
      <c r="H457" s="330"/>
      <c r="I457" s="330"/>
    </row>
    <row r="458">
      <c r="A458" s="186"/>
      <c r="B458" s="330"/>
      <c r="C458" s="330"/>
      <c r="D458" s="330"/>
      <c r="E458" s="330"/>
      <c r="F458" s="330"/>
      <c r="G458" s="330"/>
      <c r="H458" s="330"/>
      <c r="I458" s="330"/>
    </row>
    <row r="459">
      <c r="A459" s="186"/>
      <c r="B459" s="330"/>
      <c r="C459" s="330"/>
      <c r="D459" s="330"/>
      <c r="E459" s="330"/>
      <c r="F459" s="330"/>
      <c r="G459" s="330"/>
      <c r="H459" s="330"/>
      <c r="I459" s="330"/>
    </row>
    <row r="460">
      <c r="A460" s="186"/>
      <c r="B460" s="330"/>
      <c r="C460" s="330"/>
      <c r="D460" s="330"/>
      <c r="E460" s="330"/>
      <c r="F460" s="330"/>
      <c r="G460" s="330"/>
      <c r="H460" s="330"/>
      <c r="I460" s="330"/>
    </row>
    <row r="461">
      <c r="A461" s="186"/>
      <c r="B461" s="330"/>
      <c r="C461" s="330"/>
      <c r="D461" s="330"/>
      <c r="E461" s="330"/>
      <c r="F461" s="330"/>
      <c r="G461" s="330"/>
      <c r="H461" s="330"/>
      <c r="I461" s="330"/>
    </row>
    <row r="462">
      <c r="A462" s="186"/>
      <c r="B462" s="330"/>
      <c r="C462" s="330"/>
      <c r="D462" s="330"/>
      <c r="E462" s="330"/>
      <c r="F462" s="330"/>
      <c r="G462" s="330"/>
      <c r="H462" s="330"/>
      <c r="I462" s="330"/>
    </row>
    <row r="463">
      <c r="A463" s="186"/>
      <c r="B463" s="330"/>
      <c r="C463" s="330"/>
      <c r="D463" s="330"/>
      <c r="E463" s="330"/>
      <c r="F463" s="330"/>
      <c r="G463" s="330"/>
      <c r="H463" s="330"/>
      <c r="I463" s="330"/>
    </row>
    <row r="464">
      <c r="A464" s="186"/>
      <c r="B464" s="330"/>
      <c r="C464" s="330"/>
      <c r="D464" s="330"/>
      <c r="E464" s="330"/>
      <c r="F464" s="330"/>
      <c r="G464" s="330"/>
      <c r="H464" s="330"/>
      <c r="I464" s="330"/>
    </row>
    <row r="465">
      <c r="A465" s="186"/>
      <c r="B465" s="330"/>
      <c r="C465" s="330"/>
      <c r="D465" s="330"/>
      <c r="E465" s="330"/>
      <c r="F465" s="330"/>
      <c r="G465" s="330"/>
      <c r="H465" s="330"/>
      <c r="I465" s="330"/>
    </row>
    <row r="466">
      <c r="A466" s="186"/>
      <c r="B466" s="330"/>
      <c r="C466" s="330"/>
      <c r="D466" s="330"/>
      <c r="E466" s="330"/>
      <c r="F466" s="330"/>
      <c r="G466" s="330"/>
      <c r="H466" s="330"/>
      <c r="I466" s="330"/>
    </row>
    <row r="467">
      <c r="A467" s="186"/>
      <c r="B467" s="330"/>
      <c r="C467" s="330"/>
      <c r="D467" s="330"/>
      <c r="E467" s="330"/>
      <c r="F467" s="330"/>
      <c r="G467" s="330"/>
      <c r="H467" s="330"/>
      <c r="I467" s="330"/>
    </row>
    <row r="468">
      <c r="A468" s="186"/>
      <c r="B468" s="330"/>
      <c r="C468" s="330"/>
      <c r="D468" s="330"/>
      <c r="E468" s="330"/>
      <c r="F468" s="330"/>
      <c r="G468" s="330"/>
      <c r="H468" s="330"/>
      <c r="I468" s="330"/>
    </row>
    <row r="469">
      <c r="A469" s="186"/>
      <c r="B469" s="330"/>
      <c r="C469" s="330"/>
      <c r="D469" s="330"/>
      <c r="E469" s="330"/>
      <c r="F469" s="330"/>
      <c r="G469" s="330"/>
      <c r="H469" s="330"/>
      <c r="I469" s="330"/>
    </row>
    <row r="470">
      <c r="A470" s="186"/>
      <c r="B470" s="330"/>
      <c r="C470" s="330"/>
      <c r="D470" s="330"/>
      <c r="E470" s="330"/>
      <c r="F470" s="330"/>
      <c r="G470" s="330"/>
      <c r="H470" s="330"/>
      <c r="I470" s="330"/>
    </row>
    <row r="471">
      <c r="A471" s="186"/>
      <c r="B471" s="330"/>
      <c r="C471" s="330"/>
      <c r="D471" s="330"/>
      <c r="E471" s="330"/>
      <c r="F471" s="330"/>
      <c r="G471" s="330"/>
      <c r="H471" s="330"/>
      <c r="I471" s="330"/>
    </row>
    <row r="472">
      <c r="A472" s="186"/>
      <c r="B472" s="330"/>
      <c r="C472" s="330"/>
      <c r="D472" s="330"/>
      <c r="E472" s="330"/>
      <c r="F472" s="330"/>
      <c r="G472" s="330"/>
      <c r="H472" s="330"/>
      <c r="I472" s="330"/>
    </row>
    <row r="473">
      <c r="A473" s="186"/>
      <c r="B473" s="330"/>
      <c r="C473" s="330"/>
      <c r="D473" s="330"/>
      <c r="E473" s="330"/>
      <c r="F473" s="330"/>
      <c r="G473" s="330"/>
      <c r="H473" s="330"/>
      <c r="I473" s="330"/>
    </row>
    <row r="474">
      <c r="A474" s="186"/>
      <c r="B474" s="330"/>
      <c r="C474" s="330"/>
      <c r="D474" s="330"/>
      <c r="E474" s="330"/>
      <c r="F474" s="330"/>
      <c r="G474" s="330"/>
      <c r="H474" s="330"/>
      <c r="I474" s="330"/>
    </row>
    <row r="475">
      <c r="A475" s="186"/>
      <c r="B475" s="330"/>
      <c r="C475" s="330"/>
      <c r="D475" s="330"/>
      <c r="E475" s="330"/>
      <c r="F475" s="330"/>
      <c r="G475" s="330"/>
      <c r="H475" s="330"/>
      <c r="I475" s="330"/>
    </row>
    <row r="476">
      <c r="A476" s="186"/>
      <c r="B476" s="330"/>
      <c r="C476" s="330"/>
      <c r="D476" s="330"/>
      <c r="E476" s="330"/>
      <c r="F476" s="330"/>
      <c r="G476" s="330"/>
      <c r="H476" s="330"/>
      <c r="I476" s="330"/>
    </row>
    <row r="477">
      <c r="A477" s="186"/>
      <c r="B477" s="330"/>
      <c r="C477" s="330"/>
      <c r="D477" s="330"/>
      <c r="E477" s="330"/>
      <c r="F477" s="330"/>
      <c r="G477" s="330"/>
      <c r="H477" s="330"/>
      <c r="I477" s="330"/>
    </row>
    <row r="478">
      <c r="A478" s="186"/>
      <c r="B478" s="330"/>
      <c r="C478" s="330"/>
      <c r="D478" s="330"/>
      <c r="E478" s="330"/>
      <c r="F478" s="330"/>
      <c r="G478" s="330"/>
      <c r="H478" s="330"/>
      <c r="I478" s="330"/>
    </row>
    <row r="479">
      <c r="A479" s="186"/>
      <c r="B479" s="330"/>
      <c r="C479" s="330"/>
      <c r="D479" s="330"/>
      <c r="E479" s="330"/>
      <c r="F479" s="330"/>
      <c r="G479" s="330"/>
      <c r="H479" s="330"/>
      <c r="I479" s="330"/>
    </row>
    <row r="480">
      <c r="A480" s="186"/>
      <c r="B480" s="330"/>
      <c r="C480" s="330"/>
      <c r="D480" s="330"/>
      <c r="E480" s="330"/>
      <c r="F480" s="330"/>
      <c r="G480" s="330"/>
      <c r="H480" s="330"/>
      <c r="I480" s="330"/>
    </row>
    <row r="481">
      <c r="A481" s="186"/>
      <c r="B481" s="330"/>
      <c r="C481" s="330"/>
      <c r="D481" s="330"/>
      <c r="E481" s="330"/>
      <c r="F481" s="330"/>
      <c r="G481" s="330"/>
      <c r="H481" s="330"/>
      <c r="I481" s="330"/>
    </row>
    <row r="482">
      <c r="A482" s="186"/>
      <c r="B482" s="330"/>
      <c r="C482" s="330"/>
      <c r="D482" s="330"/>
      <c r="E482" s="330"/>
      <c r="F482" s="330"/>
      <c r="G482" s="330"/>
      <c r="H482" s="330"/>
      <c r="I482" s="330"/>
    </row>
    <row r="483">
      <c r="A483" s="186"/>
      <c r="B483" s="330"/>
      <c r="C483" s="330"/>
      <c r="D483" s="330"/>
      <c r="E483" s="330"/>
      <c r="F483" s="330"/>
      <c r="G483" s="330"/>
      <c r="H483" s="330"/>
      <c r="I483" s="330"/>
    </row>
    <row r="484">
      <c r="A484" s="186"/>
      <c r="B484" s="330"/>
      <c r="C484" s="330"/>
      <c r="D484" s="330"/>
      <c r="E484" s="330"/>
      <c r="F484" s="330"/>
      <c r="G484" s="330"/>
      <c r="H484" s="330"/>
      <c r="I484" s="330"/>
    </row>
    <row r="485">
      <c r="A485" s="186"/>
      <c r="B485" s="330"/>
      <c r="C485" s="330"/>
      <c r="D485" s="330"/>
      <c r="E485" s="330"/>
      <c r="F485" s="330"/>
      <c r="G485" s="330"/>
      <c r="H485" s="330"/>
      <c r="I485" s="330"/>
    </row>
    <row r="486">
      <c r="A486" s="186"/>
      <c r="B486" s="330"/>
      <c r="C486" s="330"/>
      <c r="D486" s="330"/>
      <c r="E486" s="330"/>
      <c r="F486" s="330"/>
      <c r="G486" s="330"/>
      <c r="H486" s="330"/>
      <c r="I486" s="330"/>
    </row>
    <row r="487">
      <c r="A487" s="186"/>
      <c r="B487" s="330"/>
      <c r="C487" s="330"/>
      <c r="D487" s="330"/>
      <c r="E487" s="330"/>
      <c r="F487" s="330"/>
      <c r="G487" s="330"/>
      <c r="H487" s="330"/>
      <c r="I487" s="330"/>
    </row>
    <row r="488">
      <c r="A488" s="186"/>
      <c r="B488" s="330"/>
      <c r="C488" s="330"/>
      <c r="D488" s="330"/>
      <c r="E488" s="330"/>
      <c r="F488" s="330"/>
      <c r="G488" s="330"/>
      <c r="H488" s="330"/>
      <c r="I488" s="330"/>
    </row>
    <row r="489">
      <c r="A489" s="186"/>
      <c r="B489" s="330"/>
      <c r="C489" s="330"/>
      <c r="D489" s="330"/>
      <c r="E489" s="330"/>
      <c r="F489" s="330"/>
      <c r="G489" s="330"/>
      <c r="H489" s="330"/>
      <c r="I489" s="330"/>
    </row>
    <row r="490">
      <c r="A490" s="186"/>
      <c r="B490" s="330"/>
      <c r="C490" s="330"/>
      <c r="D490" s="330"/>
      <c r="E490" s="330"/>
      <c r="F490" s="330"/>
      <c r="G490" s="330"/>
      <c r="H490" s="330"/>
      <c r="I490" s="330"/>
    </row>
    <row r="491">
      <c r="A491" s="186"/>
      <c r="B491" s="330"/>
      <c r="C491" s="330"/>
      <c r="D491" s="330"/>
      <c r="E491" s="330"/>
      <c r="F491" s="330"/>
      <c r="G491" s="330"/>
      <c r="H491" s="330"/>
      <c r="I491" s="330"/>
    </row>
    <row r="492">
      <c r="A492" s="186"/>
      <c r="B492" s="330"/>
      <c r="C492" s="330"/>
      <c r="D492" s="330"/>
      <c r="E492" s="330"/>
      <c r="F492" s="330"/>
      <c r="G492" s="330"/>
      <c r="H492" s="330"/>
      <c r="I492" s="330"/>
    </row>
    <row r="493">
      <c r="A493" s="186"/>
      <c r="B493" s="330"/>
      <c r="C493" s="330"/>
      <c r="D493" s="330"/>
      <c r="E493" s="330"/>
      <c r="F493" s="330"/>
      <c r="G493" s="330"/>
      <c r="H493" s="330"/>
      <c r="I493" s="330"/>
    </row>
    <row r="494">
      <c r="A494" s="186"/>
      <c r="B494" s="330"/>
      <c r="C494" s="330"/>
      <c r="D494" s="330"/>
      <c r="E494" s="330"/>
      <c r="F494" s="330"/>
      <c r="G494" s="330"/>
      <c r="H494" s="330"/>
      <c r="I494" s="330"/>
    </row>
    <row r="495">
      <c r="A495" s="186"/>
      <c r="B495" s="330"/>
      <c r="C495" s="330"/>
      <c r="D495" s="330"/>
      <c r="E495" s="330"/>
      <c r="F495" s="330"/>
      <c r="G495" s="330"/>
      <c r="H495" s="330"/>
      <c r="I495" s="330"/>
    </row>
    <row r="496">
      <c r="A496" s="186"/>
      <c r="B496" s="330"/>
      <c r="C496" s="330"/>
      <c r="D496" s="330"/>
      <c r="E496" s="330"/>
      <c r="F496" s="330"/>
      <c r="G496" s="330"/>
      <c r="H496" s="330"/>
      <c r="I496" s="330"/>
    </row>
    <row r="497">
      <c r="A497" s="186"/>
      <c r="B497" s="330"/>
      <c r="C497" s="330"/>
      <c r="D497" s="330"/>
      <c r="E497" s="330"/>
      <c r="F497" s="330"/>
      <c r="G497" s="330"/>
      <c r="H497" s="330"/>
      <c r="I497" s="330"/>
    </row>
    <row r="498">
      <c r="A498" s="186"/>
      <c r="B498" s="330"/>
      <c r="C498" s="330"/>
      <c r="D498" s="330"/>
      <c r="E498" s="330"/>
      <c r="F498" s="330"/>
      <c r="G498" s="330"/>
      <c r="H498" s="330"/>
      <c r="I498" s="330"/>
    </row>
    <row r="499">
      <c r="A499" s="186"/>
      <c r="B499" s="330"/>
      <c r="C499" s="330"/>
      <c r="D499" s="330"/>
      <c r="E499" s="330"/>
      <c r="F499" s="330"/>
      <c r="G499" s="330"/>
      <c r="H499" s="330"/>
      <c r="I499" s="330"/>
    </row>
    <row r="500">
      <c r="A500" s="186"/>
      <c r="B500" s="330"/>
      <c r="C500" s="330"/>
      <c r="D500" s="330"/>
      <c r="E500" s="330"/>
      <c r="F500" s="330"/>
      <c r="G500" s="330"/>
      <c r="H500" s="330"/>
      <c r="I500" s="330"/>
    </row>
    <row r="501">
      <c r="A501" s="186"/>
      <c r="B501" s="330"/>
      <c r="C501" s="330"/>
      <c r="D501" s="330"/>
      <c r="E501" s="330"/>
      <c r="F501" s="330"/>
      <c r="G501" s="330"/>
      <c r="H501" s="330"/>
      <c r="I501" s="330"/>
    </row>
    <row r="502">
      <c r="A502" s="186"/>
      <c r="B502" s="330"/>
      <c r="C502" s="330"/>
      <c r="D502" s="330"/>
      <c r="E502" s="330"/>
      <c r="F502" s="330"/>
      <c r="G502" s="330"/>
      <c r="H502" s="330"/>
      <c r="I502" s="330"/>
    </row>
    <row r="503">
      <c r="A503" s="186"/>
      <c r="B503" s="330"/>
      <c r="C503" s="330"/>
      <c r="D503" s="330"/>
      <c r="E503" s="330"/>
      <c r="F503" s="330"/>
      <c r="G503" s="330"/>
      <c r="H503" s="330"/>
      <c r="I503" s="330"/>
    </row>
    <row r="504">
      <c r="A504" s="186"/>
      <c r="B504" s="330"/>
      <c r="C504" s="330"/>
      <c r="D504" s="330"/>
      <c r="E504" s="330"/>
      <c r="F504" s="330"/>
      <c r="G504" s="330"/>
      <c r="H504" s="330"/>
      <c r="I504" s="330"/>
    </row>
    <row r="505">
      <c r="A505" s="186"/>
      <c r="B505" s="330"/>
      <c r="C505" s="330"/>
      <c r="D505" s="330"/>
      <c r="E505" s="330"/>
      <c r="F505" s="330"/>
      <c r="G505" s="330"/>
      <c r="H505" s="330"/>
      <c r="I505" s="330"/>
    </row>
    <row r="506">
      <c r="A506" s="186"/>
      <c r="B506" s="330"/>
      <c r="C506" s="330"/>
      <c r="D506" s="330"/>
      <c r="E506" s="330"/>
      <c r="F506" s="330"/>
      <c r="G506" s="330"/>
      <c r="H506" s="330"/>
      <c r="I506" s="330"/>
    </row>
    <row r="507">
      <c r="A507" s="186"/>
      <c r="B507" s="330"/>
      <c r="C507" s="330"/>
      <c r="D507" s="330"/>
      <c r="E507" s="330"/>
      <c r="F507" s="330"/>
      <c r="G507" s="330"/>
      <c r="H507" s="330"/>
      <c r="I507" s="330"/>
    </row>
    <row r="508">
      <c r="A508" s="186"/>
      <c r="B508" s="330"/>
      <c r="C508" s="330"/>
      <c r="D508" s="330"/>
      <c r="E508" s="330"/>
      <c r="F508" s="330"/>
      <c r="G508" s="330"/>
      <c r="H508" s="330"/>
      <c r="I508" s="330"/>
    </row>
    <row r="509">
      <c r="A509" s="186"/>
      <c r="B509" s="330"/>
      <c r="C509" s="330"/>
      <c r="D509" s="330"/>
      <c r="E509" s="330"/>
      <c r="F509" s="330"/>
      <c r="G509" s="330"/>
      <c r="H509" s="330"/>
      <c r="I509" s="330"/>
    </row>
    <row r="510">
      <c r="A510" s="186"/>
      <c r="B510" s="330"/>
      <c r="C510" s="330"/>
      <c r="D510" s="330"/>
      <c r="E510" s="330"/>
      <c r="F510" s="330"/>
      <c r="G510" s="330"/>
      <c r="H510" s="330"/>
      <c r="I510" s="330"/>
    </row>
    <row r="511">
      <c r="A511" s="186"/>
      <c r="B511" s="330"/>
      <c r="C511" s="330"/>
      <c r="D511" s="330"/>
      <c r="E511" s="330"/>
      <c r="F511" s="330"/>
      <c r="G511" s="330"/>
      <c r="H511" s="330"/>
      <c r="I511" s="330"/>
    </row>
    <row r="512">
      <c r="A512" s="186"/>
      <c r="B512" s="330"/>
      <c r="C512" s="330"/>
      <c r="D512" s="330"/>
      <c r="E512" s="330"/>
      <c r="F512" s="330"/>
      <c r="G512" s="330"/>
      <c r="H512" s="330"/>
      <c r="I512" s="330"/>
    </row>
    <row r="513">
      <c r="A513" s="186"/>
      <c r="B513" s="330"/>
      <c r="C513" s="330"/>
      <c r="D513" s="330"/>
      <c r="E513" s="330"/>
      <c r="F513" s="330"/>
      <c r="G513" s="330"/>
      <c r="H513" s="330"/>
      <c r="I513" s="330"/>
    </row>
    <row r="514">
      <c r="A514" s="186"/>
      <c r="B514" s="330"/>
      <c r="C514" s="330"/>
      <c r="D514" s="330"/>
      <c r="E514" s="330"/>
      <c r="F514" s="330"/>
      <c r="G514" s="330"/>
      <c r="H514" s="330"/>
      <c r="I514" s="330"/>
    </row>
    <row r="515">
      <c r="A515" s="186"/>
      <c r="B515" s="330"/>
      <c r="C515" s="330"/>
      <c r="D515" s="330"/>
      <c r="E515" s="330"/>
      <c r="F515" s="330"/>
      <c r="G515" s="330"/>
      <c r="H515" s="330"/>
      <c r="I515" s="330"/>
    </row>
    <row r="516">
      <c r="A516" s="186"/>
      <c r="B516" s="330"/>
      <c r="C516" s="330"/>
      <c r="D516" s="330"/>
      <c r="E516" s="330"/>
      <c r="F516" s="330"/>
      <c r="G516" s="330"/>
      <c r="H516" s="330"/>
      <c r="I516" s="330"/>
    </row>
    <row r="517">
      <c r="A517" s="186"/>
      <c r="B517" s="330"/>
      <c r="C517" s="330"/>
      <c r="D517" s="330"/>
      <c r="E517" s="330"/>
      <c r="F517" s="330"/>
      <c r="G517" s="330"/>
      <c r="H517" s="330"/>
      <c r="I517" s="330"/>
    </row>
    <row r="518">
      <c r="A518" s="186"/>
      <c r="B518" s="330"/>
      <c r="C518" s="330"/>
      <c r="D518" s="330"/>
      <c r="E518" s="330"/>
      <c r="F518" s="330"/>
      <c r="G518" s="330"/>
      <c r="H518" s="330"/>
      <c r="I518" s="330"/>
    </row>
    <row r="519">
      <c r="A519" s="186"/>
      <c r="B519" s="330"/>
      <c r="C519" s="330"/>
      <c r="D519" s="330"/>
      <c r="E519" s="330"/>
      <c r="F519" s="330"/>
      <c r="G519" s="330"/>
      <c r="H519" s="330"/>
      <c r="I519" s="330"/>
    </row>
    <row r="520">
      <c r="A520" s="186"/>
      <c r="B520" s="330"/>
      <c r="C520" s="330"/>
      <c r="D520" s="330"/>
      <c r="E520" s="330"/>
      <c r="F520" s="330"/>
      <c r="G520" s="330"/>
      <c r="H520" s="330"/>
      <c r="I520" s="330"/>
    </row>
    <row r="521">
      <c r="A521" s="186"/>
      <c r="B521" s="330"/>
      <c r="C521" s="330"/>
      <c r="D521" s="330"/>
      <c r="E521" s="330"/>
      <c r="F521" s="330"/>
      <c r="G521" s="330"/>
      <c r="H521" s="330"/>
      <c r="I521" s="330"/>
    </row>
    <row r="522">
      <c r="A522" s="186"/>
      <c r="B522" s="330"/>
      <c r="C522" s="330"/>
      <c r="D522" s="330"/>
      <c r="E522" s="330"/>
      <c r="F522" s="330"/>
      <c r="G522" s="330"/>
      <c r="H522" s="330"/>
      <c r="I522" s="330"/>
    </row>
    <row r="523">
      <c r="A523" s="186"/>
      <c r="B523" s="330"/>
      <c r="C523" s="330"/>
      <c r="D523" s="330"/>
      <c r="E523" s="330"/>
      <c r="F523" s="330"/>
      <c r="G523" s="330"/>
      <c r="H523" s="330"/>
      <c r="I523" s="330"/>
    </row>
    <row r="524">
      <c r="A524" s="186"/>
      <c r="B524" s="330"/>
      <c r="C524" s="330"/>
      <c r="D524" s="330"/>
      <c r="E524" s="330"/>
      <c r="F524" s="330"/>
      <c r="G524" s="330"/>
      <c r="H524" s="330"/>
      <c r="I524" s="330"/>
    </row>
    <row r="525">
      <c r="A525" s="186"/>
      <c r="B525" s="330"/>
      <c r="C525" s="330"/>
      <c r="D525" s="330"/>
      <c r="E525" s="330"/>
      <c r="F525" s="330"/>
      <c r="G525" s="330"/>
      <c r="H525" s="330"/>
      <c r="I525" s="330"/>
    </row>
    <row r="526">
      <c r="A526" s="186"/>
      <c r="B526" s="330"/>
      <c r="C526" s="330"/>
      <c r="D526" s="330"/>
      <c r="E526" s="330"/>
      <c r="F526" s="330"/>
      <c r="G526" s="330"/>
      <c r="H526" s="330"/>
      <c r="I526" s="330"/>
    </row>
    <row r="527">
      <c r="A527" s="186"/>
      <c r="B527" s="330"/>
      <c r="C527" s="330"/>
      <c r="D527" s="330"/>
      <c r="E527" s="330"/>
      <c r="F527" s="330"/>
      <c r="G527" s="330"/>
      <c r="H527" s="330"/>
      <c r="I527" s="330"/>
    </row>
    <row r="528">
      <c r="A528" s="186"/>
      <c r="B528" s="330"/>
      <c r="C528" s="330"/>
      <c r="D528" s="330"/>
      <c r="E528" s="330"/>
      <c r="F528" s="330"/>
      <c r="G528" s="330"/>
      <c r="H528" s="330"/>
      <c r="I528" s="330"/>
    </row>
    <row r="529">
      <c r="A529" s="186"/>
      <c r="B529" s="330"/>
      <c r="C529" s="330"/>
      <c r="D529" s="330"/>
      <c r="E529" s="330"/>
      <c r="F529" s="330"/>
      <c r="G529" s="330"/>
      <c r="H529" s="330"/>
      <c r="I529" s="330"/>
    </row>
    <row r="530">
      <c r="A530" s="186"/>
      <c r="B530" s="330"/>
      <c r="C530" s="330"/>
      <c r="D530" s="330"/>
      <c r="E530" s="330"/>
      <c r="F530" s="330"/>
      <c r="G530" s="330"/>
      <c r="H530" s="330"/>
      <c r="I530" s="330"/>
    </row>
    <row r="531">
      <c r="A531" s="186"/>
      <c r="B531" s="330"/>
      <c r="C531" s="330"/>
      <c r="D531" s="330"/>
      <c r="E531" s="330"/>
      <c r="F531" s="330"/>
      <c r="G531" s="330"/>
      <c r="H531" s="330"/>
      <c r="I531" s="330"/>
    </row>
    <row r="532">
      <c r="A532" s="186"/>
      <c r="B532" s="330"/>
      <c r="C532" s="330"/>
      <c r="D532" s="330"/>
      <c r="E532" s="330"/>
      <c r="F532" s="330"/>
      <c r="G532" s="330"/>
      <c r="H532" s="330"/>
      <c r="I532" s="330"/>
    </row>
    <row r="533">
      <c r="A533" s="186"/>
      <c r="B533" s="330"/>
      <c r="C533" s="330"/>
      <c r="D533" s="330"/>
      <c r="E533" s="330"/>
      <c r="F533" s="330"/>
      <c r="G533" s="330"/>
      <c r="H533" s="330"/>
      <c r="I533" s="330"/>
    </row>
    <row r="534">
      <c r="A534" s="186"/>
      <c r="B534" s="330"/>
      <c r="C534" s="330"/>
      <c r="D534" s="330"/>
      <c r="E534" s="330"/>
      <c r="F534" s="330"/>
      <c r="G534" s="330"/>
      <c r="H534" s="330"/>
      <c r="I534" s="330"/>
    </row>
    <row r="535">
      <c r="A535" s="186"/>
      <c r="B535" s="330"/>
      <c r="C535" s="330"/>
      <c r="D535" s="330"/>
      <c r="E535" s="330"/>
      <c r="F535" s="330"/>
      <c r="G535" s="330"/>
      <c r="H535" s="330"/>
      <c r="I535" s="330"/>
    </row>
    <row r="536">
      <c r="A536" s="186"/>
      <c r="B536" s="330"/>
      <c r="C536" s="330"/>
      <c r="D536" s="330"/>
      <c r="E536" s="330"/>
      <c r="F536" s="330"/>
      <c r="G536" s="330"/>
      <c r="H536" s="330"/>
      <c r="I536" s="330"/>
    </row>
    <row r="537">
      <c r="A537" s="186"/>
      <c r="B537" s="330"/>
      <c r="C537" s="330"/>
      <c r="D537" s="330"/>
      <c r="E537" s="330"/>
      <c r="F537" s="330"/>
      <c r="G537" s="330"/>
      <c r="H537" s="330"/>
      <c r="I537" s="330"/>
    </row>
    <row r="538">
      <c r="A538" s="186"/>
      <c r="B538" s="330"/>
      <c r="C538" s="330"/>
      <c r="D538" s="330"/>
      <c r="E538" s="330"/>
      <c r="F538" s="330"/>
      <c r="G538" s="330"/>
      <c r="H538" s="330"/>
      <c r="I538" s="330"/>
    </row>
    <row r="539">
      <c r="A539" s="186"/>
      <c r="B539" s="330"/>
      <c r="C539" s="330"/>
      <c r="D539" s="330"/>
      <c r="E539" s="330"/>
      <c r="F539" s="330"/>
      <c r="G539" s="330"/>
      <c r="H539" s="330"/>
      <c r="I539" s="330"/>
    </row>
    <row r="540">
      <c r="A540" s="186"/>
      <c r="B540" s="330"/>
      <c r="C540" s="330"/>
      <c r="D540" s="330"/>
      <c r="E540" s="330"/>
      <c r="F540" s="330"/>
      <c r="G540" s="330"/>
      <c r="H540" s="330"/>
      <c r="I540" s="330"/>
    </row>
    <row r="541">
      <c r="A541" s="186"/>
      <c r="B541" s="330"/>
      <c r="C541" s="330"/>
      <c r="D541" s="330"/>
      <c r="E541" s="330"/>
      <c r="F541" s="330"/>
      <c r="G541" s="330"/>
      <c r="H541" s="330"/>
      <c r="I541" s="330"/>
    </row>
    <row r="542">
      <c r="A542" s="186"/>
      <c r="B542" s="330"/>
      <c r="C542" s="330"/>
      <c r="D542" s="330"/>
      <c r="E542" s="330"/>
      <c r="F542" s="330"/>
      <c r="G542" s="330"/>
      <c r="H542" s="330"/>
      <c r="I542" s="330"/>
    </row>
    <row r="543">
      <c r="A543" s="186"/>
      <c r="B543" s="330"/>
      <c r="C543" s="330"/>
      <c r="D543" s="330"/>
      <c r="E543" s="330"/>
      <c r="F543" s="330"/>
      <c r="G543" s="330"/>
      <c r="H543" s="330"/>
      <c r="I543" s="330"/>
    </row>
    <row r="544">
      <c r="A544" s="186"/>
      <c r="B544" s="330"/>
      <c r="C544" s="330"/>
      <c r="D544" s="330"/>
      <c r="E544" s="330"/>
      <c r="F544" s="330"/>
      <c r="G544" s="330"/>
      <c r="H544" s="330"/>
      <c r="I544" s="330"/>
    </row>
    <row r="545">
      <c r="A545" s="186"/>
      <c r="B545" s="330"/>
      <c r="C545" s="330"/>
      <c r="D545" s="330"/>
      <c r="E545" s="330"/>
      <c r="F545" s="330"/>
      <c r="G545" s="330"/>
      <c r="H545" s="330"/>
      <c r="I545" s="330"/>
    </row>
    <row r="546">
      <c r="A546" s="186"/>
      <c r="B546" s="330"/>
      <c r="C546" s="330"/>
      <c r="D546" s="330"/>
      <c r="E546" s="330"/>
      <c r="F546" s="330"/>
      <c r="G546" s="330"/>
      <c r="H546" s="330"/>
      <c r="I546" s="330"/>
    </row>
    <row r="547">
      <c r="A547" s="186"/>
      <c r="B547" s="330"/>
      <c r="C547" s="330"/>
      <c r="D547" s="330"/>
      <c r="E547" s="330"/>
      <c r="F547" s="330"/>
      <c r="G547" s="330"/>
      <c r="H547" s="330"/>
      <c r="I547" s="330"/>
    </row>
    <row r="548">
      <c r="A548" s="186"/>
      <c r="B548" s="330"/>
      <c r="C548" s="330"/>
      <c r="D548" s="330"/>
      <c r="E548" s="330"/>
      <c r="F548" s="330"/>
      <c r="G548" s="330"/>
      <c r="H548" s="330"/>
      <c r="I548" s="330"/>
    </row>
    <row r="549">
      <c r="A549" s="186"/>
      <c r="B549" s="330"/>
      <c r="C549" s="330"/>
      <c r="D549" s="330"/>
      <c r="E549" s="330"/>
      <c r="F549" s="330"/>
      <c r="G549" s="330"/>
      <c r="H549" s="330"/>
      <c r="I549" s="330"/>
    </row>
    <row r="550">
      <c r="A550" s="186"/>
      <c r="B550" s="330"/>
      <c r="C550" s="330"/>
      <c r="D550" s="330"/>
      <c r="E550" s="330"/>
      <c r="F550" s="330"/>
      <c r="G550" s="330"/>
      <c r="H550" s="330"/>
      <c r="I550" s="330"/>
    </row>
    <row r="551">
      <c r="A551" s="186"/>
      <c r="B551" s="330"/>
      <c r="C551" s="330"/>
      <c r="D551" s="330"/>
      <c r="E551" s="330"/>
      <c r="F551" s="330"/>
      <c r="G551" s="330"/>
      <c r="H551" s="330"/>
      <c r="I551" s="330"/>
    </row>
    <row r="552">
      <c r="A552" s="186"/>
      <c r="B552" s="330"/>
      <c r="C552" s="330"/>
      <c r="D552" s="330"/>
      <c r="E552" s="330"/>
      <c r="F552" s="330"/>
      <c r="G552" s="330"/>
      <c r="H552" s="330"/>
      <c r="I552" s="330"/>
    </row>
    <row r="553">
      <c r="A553" s="186"/>
      <c r="B553" s="330"/>
      <c r="C553" s="330"/>
      <c r="D553" s="330"/>
      <c r="E553" s="330"/>
      <c r="F553" s="330"/>
      <c r="G553" s="330"/>
      <c r="H553" s="330"/>
      <c r="I553" s="330"/>
    </row>
    <row r="554">
      <c r="A554" s="186"/>
      <c r="B554" s="330"/>
      <c r="C554" s="330"/>
      <c r="D554" s="330"/>
      <c r="E554" s="330"/>
      <c r="F554" s="330"/>
      <c r="G554" s="330"/>
      <c r="H554" s="330"/>
      <c r="I554" s="330"/>
    </row>
    <row r="555">
      <c r="A555" s="186"/>
      <c r="B555" s="330"/>
      <c r="C555" s="330"/>
      <c r="D555" s="330"/>
      <c r="E555" s="330"/>
      <c r="F555" s="330"/>
      <c r="G555" s="330"/>
      <c r="H555" s="330"/>
      <c r="I555" s="330"/>
    </row>
    <row r="556">
      <c r="A556" s="186"/>
      <c r="B556" s="330"/>
      <c r="C556" s="330"/>
      <c r="D556" s="330"/>
      <c r="E556" s="330"/>
      <c r="F556" s="330"/>
      <c r="G556" s="330"/>
      <c r="H556" s="330"/>
      <c r="I556" s="330"/>
    </row>
    <row r="557">
      <c r="A557" s="186"/>
      <c r="B557" s="330"/>
      <c r="C557" s="330"/>
      <c r="D557" s="330"/>
      <c r="E557" s="330"/>
      <c r="F557" s="330"/>
      <c r="G557" s="330"/>
      <c r="H557" s="330"/>
      <c r="I557" s="330"/>
    </row>
    <row r="558">
      <c r="A558" s="186"/>
      <c r="B558" s="330"/>
      <c r="C558" s="330"/>
      <c r="D558" s="330"/>
      <c r="E558" s="330"/>
      <c r="F558" s="330"/>
      <c r="G558" s="330"/>
      <c r="H558" s="330"/>
      <c r="I558" s="330"/>
    </row>
    <row r="559">
      <c r="A559" s="186"/>
      <c r="B559" s="330"/>
      <c r="C559" s="330"/>
      <c r="D559" s="330"/>
      <c r="E559" s="330"/>
      <c r="F559" s="330"/>
      <c r="G559" s="330"/>
      <c r="H559" s="330"/>
      <c r="I559" s="330"/>
    </row>
    <row r="560">
      <c r="A560" s="186"/>
      <c r="B560" s="330"/>
      <c r="C560" s="330"/>
      <c r="D560" s="330"/>
      <c r="E560" s="330"/>
      <c r="F560" s="330"/>
      <c r="G560" s="330"/>
      <c r="H560" s="330"/>
      <c r="I560" s="330"/>
    </row>
    <row r="561">
      <c r="A561" s="186"/>
      <c r="B561" s="330"/>
      <c r="C561" s="330"/>
      <c r="D561" s="330"/>
      <c r="E561" s="330"/>
      <c r="F561" s="330"/>
      <c r="G561" s="330"/>
      <c r="H561" s="330"/>
      <c r="I561" s="330"/>
    </row>
    <row r="562">
      <c r="A562" s="186"/>
      <c r="B562" s="330"/>
      <c r="C562" s="330"/>
      <c r="D562" s="330"/>
      <c r="E562" s="330"/>
      <c r="F562" s="330"/>
      <c r="G562" s="330"/>
      <c r="H562" s="330"/>
      <c r="I562" s="330"/>
    </row>
    <row r="563">
      <c r="A563" s="186"/>
      <c r="B563" s="330"/>
      <c r="C563" s="330"/>
      <c r="D563" s="330"/>
      <c r="E563" s="330"/>
      <c r="F563" s="330"/>
      <c r="G563" s="330"/>
      <c r="H563" s="330"/>
      <c r="I563" s="330"/>
    </row>
    <row r="564">
      <c r="A564" s="186"/>
      <c r="B564" s="330"/>
      <c r="C564" s="330"/>
      <c r="D564" s="330"/>
      <c r="E564" s="330"/>
      <c r="F564" s="330"/>
      <c r="G564" s="330"/>
      <c r="H564" s="330"/>
      <c r="I564" s="330"/>
    </row>
    <row r="565">
      <c r="A565" s="186"/>
      <c r="B565" s="330"/>
      <c r="C565" s="330"/>
      <c r="D565" s="330"/>
      <c r="E565" s="330"/>
      <c r="F565" s="330"/>
      <c r="G565" s="330"/>
      <c r="H565" s="330"/>
      <c r="I565" s="330"/>
    </row>
    <row r="566">
      <c r="A566" s="186"/>
      <c r="B566" s="330"/>
      <c r="C566" s="330"/>
      <c r="D566" s="330"/>
      <c r="E566" s="330"/>
      <c r="F566" s="330"/>
      <c r="G566" s="330"/>
      <c r="H566" s="330"/>
      <c r="I566" s="330"/>
    </row>
    <row r="567">
      <c r="A567" s="186"/>
      <c r="B567" s="330"/>
      <c r="C567" s="330"/>
      <c r="D567" s="330"/>
      <c r="E567" s="330"/>
      <c r="F567" s="330"/>
      <c r="G567" s="330"/>
      <c r="H567" s="330"/>
      <c r="I567" s="330"/>
    </row>
    <row r="568">
      <c r="A568" s="186"/>
      <c r="B568" s="330"/>
      <c r="C568" s="330"/>
      <c r="D568" s="330"/>
      <c r="E568" s="330"/>
      <c r="F568" s="330"/>
      <c r="G568" s="330"/>
      <c r="H568" s="330"/>
      <c r="I568" s="330"/>
    </row>
    <row r="569">
      <c r="A569" s="186"/>
      <c r="B569" s="330"/>
      <c r="C569" s="330"/>
      <c r="D569" s="330"/>
      <c r="E569" s="330"/>
      <c r="F569" s="330"/>
      <c r="G569" s="330"/>
      <c r="H569" s="330"/>
      <c r="I569" s="330"/>
    </row>
    <row r="570">
      <c r="A570" s="186"/>
      <c r="B570" s="330"/>
      <c r="C570" s="330"/>
      <c r="D570" s="330"/>
      <c r="E570" s="330"/>
      <c r="F570" s="330"/>
      <c r="G570" s="330"/>
      <c r="H570" s="330"/>
      <c r="I570" s="330"/>
    </row>
    <row r="571">
      <c r="A571" s="186"/>
      <c r="B571" s="330"/>
      <c r="C571" s="330"/>
      <c r="D571" s="330"/>
      <c r="E571" s="330"/>
      <c r="F571" s="330"/>
      <c r="G571" s="330"/>
      <c r="H571" s="330"/>
      <c r="I571" s="330"/>
    </row>
    <row r="572">
      <c r="A572" s="186"/>
      <c r="B572" s="330"/>
      <c r="C572" s="330"/>
      <c r="D572" s="330"/>
      <c r="E572" s="330"/>
      <c r="F572" s="330"/>
      <c r="G572" s="330"/>
      <c r="H572" s="330"/>
      <c r="I572" s="330"/>
    </row>
    <row r="573">
      <c r="A573" s="186"/>
      <c r="B573" s="330"/>
      <c r="C573" s="330"/>
      <c r="D573" s="330"/>
      <c r="E573" s="330"/>
      <c r="F573" s="330"/>
      <c r="G573" s="330"/>
      <c r="H573" s="330"/>
      <c r="I573" s="330"/>
    </row>
    <row r="574">
      <c r="A574" s="186"/>
      <c r="B574" s="330"/>
      <c r="C574" s="330"/>
      <c r="D574" s="330"/>
      <c r="E574" s="330"/>
      <c r="F574" s="330"/>
      <c r="G574" s="330"/>
      <c r="H574" s="330"/>
      <c r="I574" s="330"/>
    </row>
    <row r="575">
      <c r="A575" s="186"/>
      <c r="B575" s="330"/>
      <c r="C575" s="330"/>
      <c r="D575" s="330"/>
      <c r="E575" s="330"/>
      <c r="F575" s="330"/>
      <c r="G575" s="330"/>
      <c r="H575" s="330"/>
      <c r="I575" s="330"/>
    </row>
    <row r="576">
      <c r="A576" s="186"/>
      <c r="B576" s="330"/>
      <c r="C576" s="330"/>
      <c r="D576" s="330"/>
      <c r="E576" s="330"/>
      <c r="F576" s="330"/>
      <c r="G576" s="330"/>
      <c r="H576" s="330"/>
      <c r="I576" s="330"/>
    </row>
    <row r="577">
      <c r="A577" s="186"/>
      <c r="B577" s="330"/>
      <c r="C577" s="330"/>
      <c r="D577" s="330"/>
      <c r="E577" s="330"/>
      <c r="F577" s="330"/>
      <c r="G577" s="330"/>
      <c r="H577" s="330"/>
      <c r="I577" s="330"/>
    </row>
    <row r="578">
      <c r="A578" s="186"/>
      <c r="B578" s="330"/>
      <c r="C578" s="330"/>
      <c r="D578" s="330"/>
      <c r="E578" s="330"/>
      <c r="F578" s="330"/>
      <c r="G578" s="330"/>
      <c r="H578" s="330"/>
      <c r="I578" s="330"/>
    </row>
    <row r="579">
      <c r="A579" s="186"/>
      <c r="B579" s="330"/>
      <c r="C579" s="330"/>
      <c r="D579" s="330"/>
      <c r="E579" s="330"/>
      <c r="F579" s="330"/>
      <c r="G579" s="330"/>
      <c r="H579" s="330"/>
      <c r="I579" s="330"/>
    </row>
    <row r="580">
      <c r="A580" s="186"/>
      <c r="B580" s="330"/>
      <c r="C580" s="330"/>
      <c r="D580" s="330"/>
      <c r="E580" s="330"/>
      <c r="F580" s="330"/>
      <c r="G580" s="330"/>
      <c r="H580" s="330"/>
      <c r="I580" s="330"/>
    </row>
    <row r="581">
      <c r="A581" s="186"/>
      <c r="B581" s="330"/>
      <c r="C581" s="330"/>
      <c r="D581" s="330"/>
      <c r="E581" s="330"/>
      <c r="F581" s="330"/>
      <c r="G581" s="330"/>
      <c r="H581" s="330"/>
      <c r="I581" s="330"/>
    </row>
    <row r="582">
      <c r="A582" s="186"/>
      <c r="B582" s="330"/>
      <c r="C582" s="330"/>
      <c r="D582" s="330"/>
      <c r="E582" s="330"/>
      <c r="F582" s="330"/>
      <c r="G582" s="330"/>
      <c r="H582" s="330"/>
      <c r="I582" s="330"/>
    </row>
    <row r="583">
      <c r="A583" s="186"/>
      <c r="B583" s="330"/>
      <c r="C583" s="330"/>
      <c r="D583" s="330"/>
      <c r="E583" s="330"/>
      <c r="F583" s="330"/>
      <c r="G583" s="330"/>
      <c r="H583" s="330"/>
      <c r="I583" s="330"/>
    </row>
    <row r="584">
      <c r="A584" s="186"/>
      <c r="B584" s="330"/>
      <c r="C584" s="330"/>
      <c r="D584" s="330"/>
      <c r="E584" s="330"/>
      <c r="F584" s="330"/>
      <c r="G584" s="330"/>
      <c r="H584" s="330"/>
      <c r="I584" s="330"/>
    </row>
    <row r="585">
      <c r="A585" s="186"/>
      <c r="B585" s="330"/>
      <c r="C585" s="330"/>
      <c r="D585" s="330"/>
      <c r="E585" s="330"/>
      <c r="F585" s="330"/>
      <c r="G585" s="330"/>
      <c r="H585" s="330"/>
      <c r="I585" s="330"/>
    </row>
    <row r="586">
      <c r="A586" s="186"/>
      <c r="B586" s="330"/>
      <c r="C586" s="330"/>
      <c r="D586" s="330"/>
      <c r="E586" s="330"/>
      <c r="F586" s="330"/>
      <c r="G586" s="330"/>
      <c r="H586" s="330"/>
      <c r="I586" s="330"/>
    </row>
    <row r="587">
      <c r="A587" s="186"/>
      <c r="B587" s="330"/>
      <c r="C587" s="330"/>
      <c r="D587" s="330"/>
      <c r="E587" s="330"/>
      <c r="F587" s="330"/>
      <c r="G587" s="330"/>
      <c r="H587" s="330"/>
      <c r="I587" s="330"/>
    </row>
    <row r="588">
      <c r="A588" s="186"/>
      <c r="B588" s="330"/>
      <c r="C588" s="330"/>
      <c r="D588" s="330"/>
      <c r="E588" s="330"/>
      <c r="F588" s="330"/>
      <c r="G588" s="330"/>
      <c r="H588" s="330"/>
      <c r="I588" s="330"/>
    </row>
    <row r="589">
      <c r="A589" s="186"/>
      <c r="B589" s="330"/>
      <c r="C589" s="330"/>
      <c r="D589" s="330"/>
      <c r="E589" s="330"/>
      <c r="F589" s="330"/>
      <c r="G589" s="330"/>
      <c r="H589" s="330"/>
      <c r="I589" s="330"/>
    </row>
    <row r="590">
      <c r="A590" s="186"/>
      <c r="B590" s="330"/>
      <c r="C590" s="330"/>
      <c r="D590" s="330"/>
      <c r="E590" s="330"/>
      <c r="F590" s="330"/>
      <c r="G590" s="330"/>
      <c r="H590" s="330"/>
      <c r="I590" s="330"/>
    </row>
    <row r="591">
      <c r="A591" s="186"/>
      <c r="B591" s="330"/>
      <c r="C591" s="330"/>
      <c r="D591" s="330"/>
      <c r="E591" s="330"/>
      <c r="F591" s="330"/>
      <c r="G591" s="330"/>
      <c r="H591" s="330"/>
      <c r="I591" s="330"/>
    </row>
    <row r="592">
      <c r="A592" s="186"/>
      <c r="B592" s="330"/>
      <c r="C592" s="330"/>
      <c r="D592" s="330"/>
      <c r="E592" s="330"/>
      <c r="F592" s="330"/>
      <c r="G592" s="330"/>
      <c r="H592" s="330"/>
      <c r="I592" s="330"/>
    </row>
    <row r="593">
      <c r="A593" s="186"/>
      <c r="B593" s="330"/>
      <c r="C593" s="330"/>
      <c r="D593" s="330"/>
      <c r="E593" s="330"/>
      <c r="F593" s="330"/>
      <c r="G593" s="330"/>
      <c r="H593" s="330"/>
      <c r="I593" s="330"/>
    </row>
    <row r="594">
      <c r="A594" s="186"/>
      <c r="B594" s="330"/>
      <c r="C594" s="330"/>
      <c r="D594" s="330"/>
      <c r="E594" s="330"/>
      <c r="F594" s="330"/>
      <c r="G594" s="330"/>
      <c r="H594" s="330"/>
      <c r="I594" s="330"/>
    </row>
    <row r="595">
      <c r="A595" s="186"/>
      <c r="B595" s="330"/>
      <c r="C595" s="330"/>
      <c r="D595" s="330"/>
      <c r="E595" s="330"/>
      <c r="F595" s="330"/>
      <c r="G595" s="330"/>
      <c r="H595" s="330"/>
      <c r="I595" s="330"/>
    </row>
    <row r="596">
      <c r="A596" s="186"/>
      <c r="B596" s="330"/>
      <c r="C596" s="330"/>
      <c r="D596" s="330"/>
      <c r="E596" s="330"/>
      <c r="F596" s="330"/>
      <c r="G596" s="330"/>
      <c r="H596" s="330"/>
      <c r="I596" s="330"/>
    </row>
    <row r="597">
      <c r="A597" s="186"/>
      <c r="B597" s="330"/>
      <c r="C597" s="330"/>
      <c r="D597" s="330"/>
      <c r="E597" s="330"/>
      <c r="F597" s="330"/>
      <c r="G597" s="330"/>
      <c r="H597" s="330"/>
      <c r="I597" s="330"/>
    </row>
    <row r="598">
      <c r="A598" s="186"/>
      <c r="B598" s="330"/>
      <c r="C598" s="330"/>
      <c r="D598" s="330"/>
      <c r="E598" s="330"/>
      <c r="F598" s="330"/>
      <c r="G598" s="330"/>
      <c r="H598" s="330"/>
      <c r="I598" s="330"/>
    </row>
    <row r="599">
      <c r="A599" s="186"/>
      <c r="B599" s="330"/>
      <c r="C599" s="330"/>
      <c r="D599" s="330"/>
      <c r="E599" s="330"/>
      <c r="F599" s="330"/>
      <c r="G599" s="330"/>
      <c r="H599" s="330"/>
      <c r="I599" s="330"/>
    </row>
    <row r="600">
      <c r="A600" s="186"/>
      <c r="B600" s="330"/>
      <c r="C600" s="330"/>
      <c r="D600" s="330"/>
      <c r="E600" s="330"/>
      <c r="F600" s="330"/>
      <c r="G600" s="330"/>
      <c r="H600" s="330"/>
      <c r="I600" s="330"/>
    </row>
    <row r="601">
      <c r="A601" s="186"/>
      <c r="B601" s="330"/>
      <c r="C601" s="330"/>
      <c r="D601" s="330"/>
      <c r="E601" s="330"/>
      <c r="F601" s="330"/>
      <c r="G601" s="330"/>
      <c r="H601" s="330"/>
      <c r="I601" s="330"/>
    </row>
    <row r="602">
      <c r="A602" s="186"/>
      <c r="B602" s="330"/>
      <c r="C602" s="330"/>
      <c r="D602" s="330"/>
      <c r="E602" s="330"/>
      <c r="F602" s="330"/>
      <c r="G602" s="330"/>
      <c r="H602" s="330"/>
      <c r="I602" s="330"/>
    </row>
    <row r="603">
      <c r="A603" s="186"/>
      <c r="B603" s="330"/>
      <c r="C603" s="330"/>
      <c r="D603" s="330"/>
      <c r="E603" s="330"/>
      <c r="F603" s="330"/>
      <c r="G603" s="330"/>
      <c r="H603" s="330"/>
      <c r="I603" s="330"/>
    </row>
    <row r="604">
      <c r="A604" s="186"/>
      <c r="B604" s="330"/>
      <c r="C604" s="330"/>
      <c r="D604" s="330"/>
      <c r="E604" s="330"/>
      <c r="F604" s="330"/>
      <c r="G604" s="330"/>
      <c r="H604" s="330"/>
      <c r="I604" s="330"/>
    </row>
    <row r="605">
      <c r="A605" s="186"/>
      <c r="B605" s="330"/>
      <c r="C605" s="330"/>
      <c r="D605" s="330"/>
      <c r="E605" s="330"/>
      <c r="F605" s="330"/>
      <c r="G605" s="330"/>
      <c r="H605" s="330"/>
      <c r="I605" s="330"/>
    </row>
    <row r="606">
      <c r="A606" s="186"/>
      <c r="B606" s="330"/>
      <c r="C606" s="330"/>
      <c r="D606" s="330"/>
      <c r="E606" s="330"/>
      <c r="F606" s="330"/>
      <c r="G606" s="330"/>
      <c r="H606" s="330"/>
      <c r="I606" s="330"/>
    </row>
    <row r="607">
      <c r="A607" s="186"/>
      <c r="B607" s="330"/>
      <c r="C607" s="330"/>
      <c r="D607" s="330"/>
      <c r="E607" s="330"/>
      <c r="F607" s="330"/>
      <c r="G607" s="330"/>
      <c r="H607" s="330"/>
      <c r="I607" s="330"/>
    </row>
    <row r="608">
      <c r="A608" s="186"/>
      <c r="B608" s="330"/>
      <c r="C608" s="330"/>
      <c r="D608" s="330"/>
      <c r="E608" s="330"/>
      <c r="F608" s="330"/>
      <c r="G608" s="330"/>
      <c r="H608" s="330"/>
      <c r="I608" s="330"/>
    </row>
    <row r="609">
      <c r="A609" s="186"/>
      <c r="B609" s="330"/>
      <c r="C609" s="330"/>
      <c r="D609" s="330"/>
      <c r="E609" s="330"/>
      <c r="F609" s="330"/>
      <c r="G609" s="330"/>
      <c r="H609" s="330"/>
      <c r="I609" s="330"/>
    </row>
    <row r="610">
      <c r="A610" s="186"/>
      <c r="B610" s="330"/>
      <c r="C610" s="330"/>
      <c r="D610" s="330"/>
      <c r="E610" s="330"/>
      <c r="F610" s="330"/>
      <c r="G610" s="330"/>
      <c r="H610" s="330"/>
      <c r="I610" s="330"/>
    </row>
    <row r="611">
      <c r="A611" s="186"/>
      <c r="B611" s="330"/>
      <c r="C611" s="330"/>
      <c r="D611" s="330"/>
      <c r="E611" s="330"/>
      <c r="F611" s="330"/>
      <c r="G611" s="330"/>
      <c r="H611" s="330"/>
      <c r="I611" s="330"/>
    </row>
    <row r="612">
      <c r="A612" s="186"/>
      <c r="B612" s="330"/>
      <c r="C612" s="330"/>
      <c r="D612" s="330"/>
      <c r="E612" s="330"/>
      <c r="F612" s="330"/>
      <c r="G612" s="330"/>
      <c r="H612" s="330"/>
      <c r="I612" s="330"/>
    </row>
    <row r="613">
      <c r="A613" s="186"/>
      <c r="B613" s="330"/>
      <c r="C613" s="330"/>
      <c r="D613" s="330"/>
      <c r="E613" s="330"/>
      <c r="F613" s="330"/>
      <c r="G613" s="330"/>
      <c r="H613" s="330"/>
      <c r="I613" s="330"/>
    </row>
    <row r="614">
      <c r="A614" s="186"/>
      <c r="B614" s="330"/>
      <c r="C614" s="330"/>
      <c r="D614" s="330"/>
      <c r="E614" s="330"/>
      <c r="F614" s="330"/>
      <c r="G614" s="330"/>
      <c r="H614" s="330"/>
      <c r="I614" s="330"/>
    </row>
    <row r="615">
      <c r="A615" s="186"/>
      <c r="B615" s="330"/>
      <c r="C615" s="330"/>
      <c r="D615" s="330"/>
      <c r="E615" s="330"/>
      <c r="F615" s="330"/>
      <c r="G615" s="330"/>
      <c r="H615" s="330"/>
      <c r="I615" s="330"/>
    </row>
    <row r="616">
      <c r="A616" s="186"/>
      <c r="B616" s="330"/>
      <c r="C616" s="330"/>
      <c r="D616" s="330"/>
      <c r="E616" s="330"/>
      <c r="F616" s="330"/>
      <c r="G616" s="330"/>
      <c r="H616" s="330"/>
      <c r="I616" s="330"/>
    </row>
    <row r="617">
      <c r="A617" s="186"/>
      <c r="B617" s="330"/>
      <c r="C617" s="330"/>
      <c r="D617" s="330"/>
      <c r="E617" s="330"/>
      <c r="F617" s="330"/>
      <c r="G617" s="330"/>
      <c r="H617" s="330"/>
      <c r="I617" s="330"/>
    </row>
    <row r="618">
      <c r="A618" s="186"/>
      <c r="B618" s="330"/>
      <c r="C618" s="330"/>
      <c r="D618" s="330"/>
      <c r="E618" s="330"/>
      <c r="F618" s="330"/>
      <c r="G618" s="330"/>
      <c r="H618" s="330"/>
      <c r="I618" s="330"/>
    </row>
    <row r="619">
      <c r="A619" s="186"/>
      <c r="B619" s="330"/>
      <c r="C619" s="330"/>
      <c r="D619" s="330"/>
      <c r="E619" s="330"/>
      <c r="F619" s="330"/>
      <c r="G619" s="330"/>
      <c r="H619" s="330"/>
      <c r="I619" s="330"/>
    </row>
    <row r="620">
      <c r="A620" s="186"/>
      <c r="B620" s="330"/>
      <c r="C620" s="330"/>
      <c r="D620" s="330"/>
      <c r="E620" s="330"/>
      <c r="F620" s="330"/>
      <c r="G620" s="330"/>
      <c r="H620" s="330"/>
      <c r="I620" s="330"/>
    </row>
    <row r="621">
      <c r="A621" s="186"/>
      <c r="B621" s="330"/>
      <c r="C621" s="330"/>
      <c r="D621" s="330"/>
      <c r="E621" s="330"/>
      <c r="F621" s="330"/>
      <c r="G621" s="330"/>
      <c r="H621" s="330"/>
      <c r="I621" s="330"/>
    </row>
    <row r="622">
      <c r="A622" s="186"/>
      <c r="B622" s="330"/>
      <c r="C622" s="330"/>
      <c r="D622" s="330"/>
      <c r="E622" s="330"/>
      <c r="F622" s="330"/>
      <c r="G622" s="330"/>
      <c r="H622" s="330"/>
      <c r="I622" s="330"/>
    </row>
    <row r="623">
      <c r="A623" s="186"/>
      <c r="B623" s="330"/>
      <c r="C623" s="330"/>
      <c r="D623" s="330"/>
      <c r="E623" s="330"/>
      <c r="F623" s="330"/>
      <c r="G623" s="330"/>
      <c r="H623" s="330"/>
      <c r="I623" s="330"/>
    </row>
    <row r="624">
      <c r="A624" s="186"/>
      <c r="B624" s="330"/>
      <c r="C624" s="330"/>
      <c r="D624" s="330"/>
      <c r="E624" s="330"/>
      <c r="F624" s="330"/>
      <c r="G624" s="330"/>
      <c r="H624" s="330"/>
      <c r="I624" s="330"/>
    </row>
    <row r="625">
      <c r="A625" s="186"/>
      <c r="B625" s="330"/>
      <c r="C625" s="330"/>
      <c r="D625" s="330"/>
      <c r="E625" s="330"/>
      <c r="F625" s="330"/>
      <c r="G625" s="330"/>
      <c r="H625" s="330"/>
      <c r="I625" s="330"/>
    </row>
    <row r="626">
      <c r="A626" s="186"/>
      <c r="B626" s="330"/>
      <c r="C626" s="330"/>
      <c r="D626" s="330"/>
      <c r="E626" s="330"/>
      <c r="F626" s="330"/>
      <c r="G626" s="330"/>
      <c r="H626" s="330"/>
      <c r="I626" s="330"/>
    </row>
    <row r="627">
      <c r="A627" s="186"/>
      <c r="B627" s="330"/>
      <c r="C627" s="330"/>
      <c r="D627" s="330"/>
      <c r="E627" s="330"/>
      <c r="F627" s="330"/>
      <c r="G627" s="330"/>
      <c r="H627" s="330"/>
      <c r="I627" s="330"/>
    </row>
    <row r="628">
      <c r="A628" s="186"/>
      <c r="B628" s="330"/>
      <c r="C628" s="330"/>
      <c r="D628" s="330"/>
      <c r="E628" s="330"/>
      <c r="F628" s="330"/>
      <c r="G628" s="330"/>
      <c r="H628" s="330"/>
      <c r="I628" s="330"/>
    </row>
    <row r="629">
      <c r="A629" s="186"/>
      <c r="B629" s="330"/>
      <c r="C629" s="330"/>
      <c r="D629" s="330"/>
      <c r="E629" s="330"/>
      <c r="F629" s="330"/>
      <c r="G629" s="330"/>
      <c r="H629" s="330"/>
      <c r="I629" s="330"/>
    </row>
    <row r="630">
      <c r="A630" s="186"/>
      <c r="B630" s="330"/>
      <c r="C630" s="330"/>
      <c r="D630" s="330"/>
      <c r="E630" s="330"/>
      <c r="F630" s="330"/>
      <c r="G630" s="330"/>
      <c r="H630" s="330"/>
      <c r="I630" s="330"/>
    </row>
    <row r="631">
      <c r="A631" s="186"/>
      <c r="B631" s="330"/>
      <c r="C631" s="330"/>
      <c r="D631" s="330"/>
      <c r="E631" s="330"/>
      <c r="F631" s="330"/>
      <c r="G631" s="330"/>
      <c r="H631" s="330"/>
      <c r="I631" s="330"/>
    </row>
    <row r="632">
      <c r="A632" s="186"/>
      <c r="B632" s="330"/>
      <c r="C632" s="330"/>
      <c r="D632" s="330"/>
      <c r="E632" s="330"/>
      <c r="F632" s="330"/>
      <c r="G632" s="330"/>
      <c r="H632" s="330"/>
      <c r="I632" s="330"/>
    </row>
    <row r="633">
      <c r="A633" s="186"/>
      <c r="B633" s="330"/>
      <c r="C633" s="330"/>
      <c r="D633" s="330"/>
      <c r="E633" s="330"/>
      <c r="F633" s="330"/>
      <c r="G633" s="330"/>
      <c r="H633" s="330"/>
      <c r="I633" s="330"/>
    </row>
    <row r="634">
      <c r="A634" s="186"/>
      <c r="B634" s="330"/>
      <c r="C634" s="330"/>
      <c r="D634" s="330"/>
      <c r="E634" s="330"/>
      <c r="F634" s="330"/>
      <c r="G634" s="330"/>
      <c r="H634" s="330"/>
      <c r="I634" s="330"/>
    </row>
    <row r="635">
      <c r="A635" s="186"/>
      <c r="B635" s="330"/>
      <c r="C635" s="330"/>
      <c r="D635" s="330"/>
      <c r="E635" s="330"/>
      <c r="F635" s="330"/>
      <c r="G635" s="330"/>
      <c r="H635" s="330"/>
      <c r="I635" s="330"/>
    </row>
    <row r="636">
      <c r="A636" s="186"/>
      <c r="B636" s="330"/>
      <c r="C636" s="330"/>
      <c r="D636" s="330"/>
      <c r="E636" s="330"/>
      <c r="F636" s="330"/>
      <c r="G636" s="330"/>
      <c r="H636" s="330"/>
      <c r="I636" s="330"/>
    </row>
    <row r="637">
      <c r="A637" s="186"/>
      <c r="B637" s="330"/>
      <c r="C637" s="330"/>
      <c r="D637" s="330"/>
      <c r="E637" s="330"/>
      <c r="F637" s="330"/>
      <c r="G637" s="330"/>
      <c r="H637" s="330"/>
      <c r="I637" s="330"/>
    </row>
    <row r="638">
      <c r="A638" s="186"/>
      <c r="B638" s="330"/>
      <c r="C638" s="330"/>
      <c r="D638" s="330"/>
      <c r="E638" s="330"/>
      <c r="F638" s="330"/>
      <c r="G638" s="330"/>
      <c r="H638" s="330"/>
      <c r="I638" s="330"/>
    </row>
    <row r="639">
      <c r="A639" s="186"/>
      <c r="B639" s="330"/>
      <c r="C639" s="330"/>
      <c r="D639" s="330"/>
      <c r="E639" s="330"/>
      <c r="F639" s="330"/>
      <c r="G639" s="330"/>
      <c r="H639" s="330"/>
      <c r="I639" s="330"/>
    </row>
    <row r="640">
      <c r="A640" s="186"/>
      <c r="B640" s="330"/>
      <c r="C640" s="330"/>
      <c r="D640" s="330"/>
      <c r="E640" s="330"/>
      <c r="F640" s="330"/>
      <c r="G640" s="330"/>
      <c r="H640" s="330"/>
      <c r="I640" s="330"/>
    </row>
    <row r="641">
      <c r="A641" s="186"/>
      <c r="B641" s="330"/>
      <c r="C641" s="330"/>
      <c r="D641" s="330"/>
      <c r="E641" s="330"/>
      <c r="F641" s="330"/>
      <c r="G641" s="330"/>
      <c r="H641" s="330"/>
      <c r="I641" s="330"/>
    </row>
    <row r="642">
      <c r="A642" s="186"/>
      <c r="B642" s="330"/>
      <c r="C642" s="330"/>
      <c r="D642" s="330"/>
      <c r="E642" s="330"/>
      <c r="F642" s="330"/>
      <c r="G642" s="330"/>
      <c r="H642" s="330"/>
      <c r="I642" s="330"/>
    </row>
    <row r="643">
      <c r="A643" s="186"/>
      <c r="B643" s="330"/>
      <c r="C643" s="330"/>
      <c r="D643" s="330"/>
      <c r="E643" s="330"/>
      <c r="F643" s="330"/>
      <c r="G643" s="330"/>
      <c r="H643" s="330"/>
      <c r="I643" s="330"/>
    </row>
    <row r="644">
      <c r="A644" s="186"/>
      <c r="B644" s="330"/>
      <c r="C644" s="330"/>
      <c r="D644" s="330"/>
      <c r="E644" s="330"/>
      <c r="F644" s="330"/>
      <c r="G644" s="330"/>
      <c r="H644" s="330"/>
      <c r="I644" s="330"/>
    </row>
    <row r="645">
      <c r="A645" s="186"/>
      <c r="B645" s="330"/>
      <c r="C645" s="330"/>
      <c r="D645" s="330"/>
      <c r="E645" s="330"/>
      <c r="F645" s="330"/>
      <c r="G645" s="330"/>
      <c r="H645" s="330"/>
      <c r="I645" s="330"/>
    </row>
    <row r="646">
      <c r="A646" s="186"/>
      <c r="B646" s="330"/>
      <c r="C646" s="330"/>
      <c r="D646" s="330"/>
      <c r="E646" s="330"/>
      <c r="F646" s="330"/>
      <c r="G646" s="330"/>
      <c r="H646" s="330"/>
      <c r="I646" s="330"/>
    </row>
    <row r="647">
      <c r="A647" s="186"/>
      <c r="B647" s="330"/>
      <c r="C647" s="330"/>
      <c r="D647" s="330"/>
      <c r="E647" s="330"/>
      <c r="F647" s="330"/>
      <c r="G647" s="330"/>
      <c r="H647" s="330"/>
      <c r="I647" s="330"/>
    </row>
    <row r="648">
      <c r="A648" s="186"/>
      <c r="B648" s="330"/>
      <c r="C648" s="330"/>
      <c r="D648" s="330"/>
      <c r="E648" s="330"/>
      <c r="F648" s="330"/>
      <c r="G648" s="330"/>
      <c r="H648" s="330"/>
      <c r="I648" s="330"/>
    </row>
    <row r="649">
      <c r="A649" s="186"/>
      <c r="B649" s="330"/>
      <c r="C649" s="330"/>
      <c r="D649" s="330"/>
      <c r="E649" s="330"/>
      <c r="F649" s="330"/>
      <c r="G649" s="330"/>
      <c r="H649" s="330"/>
      <c r="I649" s="330"/>
    </row>
    <row r="650">
      <c r="A650" s="186"/>
      <c r="B650" s="330"/>
      <c r="C650" s="330"/>
      <c r="D650" s="330"/>
      <c r="E650" s="330"/>
      <c r="F650" s="330"/>
      <c r="G650" s="330"/>
      <c r="H650" s="330"/>
      <c r="I650" s="330"/>
    </row>
    <row r="651">
      <c r="A651" s="186"/>
      <c r="B651" s="330"/>
      <c r="C651" s="330"/>
      <c r="D651" s="330"/>
      <c r="E651" s="330"/>
      <c r="F651" s="330"/>
      <c r="G651" s="330"/>
      <c r="H651" s="330"/>
      <c r="I651" s="330"/>
    </row>
    <row r="652">
      <c r="A652" s="186"/>
      <c r="B652" s="330"/>
      <c r="C652" s="330"/>
      <c r="D652" s="330"/>
      <c r="E652" s="330"/>
      <c r="F652" s="330"/>
      <c r="G652" s="330"/>
      <c r="H652" s="330"/>
      <c r="I652" s="330"/>
    </row>
    <row r="653">
      <c r="A653" s="186"/>
      <c r="B653" s="330"/>
      <c r="C653" s="330"/>
      <c r="D653" s="330"/>
      <c r="E653" s="330"/>
      <c r="F653" s="330"/>
      <c r="G653" s="330"/>
      <c r="H653" s="330"/>
      <c r="I653" s="330"/>
    </row>
    <row r="654">
      <c r="A654" s="186"/>
      <c r="B654" s="330"/>
      <c r="C654" s="330"/>
      <c r="D654" s="330"/>
      <c r="E654" s="330"/>
      <c r="F654" s="330"/>
      <c r="G654" s="330"/>
      <c r="H654" s="330"/>
      <c r="I654" s="330"/>
    </row>
    <row r="655">
      <c r="A655" s="186"/>
      <c r="B655" s="330"/>
      <c r="C655" s="330"/>
      <c r="D655" s="330"/>
      <c r="E655" s="330"/>
      <c r="F655" s="330"/>
      <c r="G655" s="330"/>
      <c r="H655" s="330"/>
      <c r="I655" s="330"/>
    </row>
    <row r="656">
      <c r="A656" s="186"/>
      <c r="B656" s="330"/>
      <c r="C656" s="330"/>
      <c r="D656" s="330"/>
      <c r="E656" s="330"/>
      <c r="F656" s="330"/>
      <c r="G656" s="330"/>
      <c r="H656" s="330"/>
      <c r="I656" s="330"/>
    </row>
    <row r="657">
      <c r="A657" s="186"/>
      <c r="B657" s="330"/>
      <c r="C657" s="330"/>
      <c r="D657" s="330"/>
      <c r="E657" s="330"/>
      <c r="F657" s="330"/>
      <c r="G657" s="330"/>
      <c r="H657" s="330"/>
      <c r="I657" s="330"/>
    </row>
    <row r="658">
      <c r="A658" s="186"/>
      <c r="B658" s="330"/>
      <c r="C658" s="330"/>
      <c r="D658" s="330"/>
      <c r="E658" s="330"/>
      <c r="F658" s="330"/>
      <c r="G658" s="330"/>
      <c r="H658" s="330"/>
      <c r="I658" s="330"/>
    </row>
    <row r="659">
      <c r="A659" s="186"/>
      <c r="B659" s="330"/>
      <c r="C659" s="330"/>
      <c r="D659" s="330"/>
      <c r="E659" s="330"/>
      <c r="F659" s="330"/>
      <c r="G659" s="330"/>
      <c r="H659" s="330"/>
      <c r="I659" s="330"/>
    </row>
    <row r="660">
      <c r="A660" s="186"/>
      <c r="B660" s="330"/>
      <c r="C660" s="330"/>
      <c r="D660" s="330"/>
      <c r="E660" s="330"/>
      <c r="F660" s="330"/>
      <c r="G660" s="330"/>
      <c r="H660" s="330"/>
      <c r="I660" s="330"/>
    </row>
    <row r="661">
      <c r="A661" s="186"/>
      <c r="B661" s="330"/>
      <c r="C661" s="330"/>
      <c r="D661" s="330"/>
      <c r="E661" s="330"/>
      <c r="F661" s="330"/>
      <c r="G661" s="330"/>
      <c r="H661" s="330"/>
      <c r="I661" s="330"/>
    </row>
    <row r="662">
      <c r="A662" s="186"/>
      <c r="B662" s="330"/>
      <c r="C662" s="330"/>
      <c r="D662" s="330"/>
      <c r="E662" s="330"/>
      <c r="F662" s="330"/>
      <c r="G662" s="330"/>
      <c r="H662" s="330"/>
      <c r="I662" s="330"/>
    </row>
    <row r="663">
      <c r="A663" s="186"/>
      <c r="B663" s="330"/>
      <c r="C663" s="330"/>
      <c r="D663" s="330"/>
      <c r="E663" s="330"/>
      <c r="F663" s="330"/>
      <c r="G663" s="330"/>
      <c r="H663" s="330"/>
      <c r="I663" s="330"/>
    </row>
    <row r="664">
      <c r="A664" s="186"/>
      <c r="B664" s="330"/>
      <c r="C664" s="330"/>
      <c r="D664" s="330"/>
      <c r="E664" s="330"/>
      <c r="F664" s="330"/>
      <c r="G664" s="330"/>
      <c r="H664" s="330"/>
      <c r="I664" s="330"/>
    </row>
    <row r="665">
      <c r="A665" s="186"/>
      <c r="B665" s="330"/>
      <c r="C665" s="330"/>
      <c r="D665" s="330"/>
      <c r="E665" s="330"/>
      <c r="F665" s="330"/>
      <c r="G665" s="330"/>
      <c r="H665" s="330"/>
      <c r="I665" s="330"/>
    </row>
    <row r="666">
      <c r="A666" s="186"/>
      <c r="B666" s="330"/>
      <c r="C666" s="330"/>
      <c r="D666" s="330"/>
      <c r="E666" s="330"/>
      <c r="F666" s="330"/>
      <c r="G666" s="330"/>
      <c r="H666" s="330"/>
      <c r="I666" s="330"/>
    </row>
    <row r="667">
      <c r="A667" s="186"/>
      <c r="B667" s="330"/>
      <c r="C667" s="330"/>
      <c r="D667" s="330"/>
      <c r="E667" s="330"/>
      <c r="F667" s="330"/>
      <c r="G667" s="330"/>
      <c r="H667" s="330"/>
      <c r="I667" s="330"/>
    </row>
    <row r="668">
      <c r="A668" s="186"/>
      <c r="B668" s="330"/>
      <c r="C668" s="330"/>
      <c r="D668" s="330"/>
      <c r="E668" s="330"/>
      <c r="F668" s="330"/>
      <c r="G668" s="330"/>
      <c r="H668" s="330"/>
      <c r="I668" s="330"/>
    </row>
    <row r="669">
      <c r="A669" s="186"/>
      <c r="B669" s="330"/>
      <c r="C669" s="330"/>
      <c r="D669" s="330"/>
      <c r="E669" s="330"/>
      <c r="F669" s="330"/>
      <c r="G669" s="330"/>
      <c r="H669" s="330"/>
      <c r="I669" s="330"/>
    </row>
    <row r="670">
      <c r="A670" s="186"/>
      <c r="B670" s="330"/>
      <c r="C670" s="330"/>
      <c r="D670" s="330"/>
      <c r="E670" s="330"/>
      <c r="F670" s="330"/>
      <c r="G670" s="330"/>
      <c r="H670" s="330"/>
      <c r="I670" s="330"/>
    </row>
    <row r="671">
      <c r="A671" s="186"/>
      <c r="B671" s="330"/>
      <c r="C671" s="330"/>
      <c r="D671" s="330"/>
      <c r="E671" s="330"/>
      <c r="F671" s="330"/>
      <c r="G671" s="330"/>
      <c r="H671" s="330"/>
      <c r="I671" s="330"/>
    </row>
    <row r="672">
      <c r="A672" s="186"/>
      <c r="B672" s="330"/>
      <c r="C672" s="330"/>
      <c r="D672" s="330"/>
      <c r="E672" s="330"/>
      <c r="F672" s="330"/>
      <c r="G672" s="330"/>
      <c r="H672" s="330"/>
      <c r="I672" s="330"/>
    </row>
    <row r="673">
      <c r="A673" s="186"/>
      <c r="B673" s="330"/>
      <c r="C673" s="330"/>
      <c r="D673" s="330"/>
      <c r="E673" s="330"/>
      <c r="F673" s="330"/>
      <c r="G673" s="330"/>
      <c r="H673" s="330"/>
      <c r="I673" s="330"/>
    </row>
    <row r="674">
      <c r="A674" s="186"/>
      <c r="B674" s="330"/>
      <c r="C674" s="330"/>
      <c r="D674" s="330"/>
      <c r="E674" s="330"/>
      <c r="F674" s="330"/>
      <c r="G674" s="330"/>
      <c r="H674" s="330"/>
      <c r="I674" s="330"/>
    </row>
    <row r="675">
      <c r="A675" s="186"/>
      <c r="B675" s="330"/>
      <c r="C675" s="330"/>
      <c r="D675" s="330"/>
      <c r="E675" s="330"/>
      <c r="F675" s="330"/>
      <c r="G675" s="330"/>
      <c r="H675" s="330"/>
      <c r="I675" s="330"/>
    </row>
    <row r="676">
      <c r="A676" s="186"/>
      <c r="B676" s="330"/>
      <c r="C676" s="330"/>
      <c r="D676" s="330"/>
      <c r="E676" s="330"/>
      <c r="F676" s="330"/>
      <c r="G676" s="330"/>
      <c r="H676" s="330"/>
      <c r="I676" s="330"/>
    </row>
    <row r="677">
      <c r="A677" s="186"/>
      <c r="B677" s="330"/>
      <c r="C677" s="330"/>
      <c r="D677" s="330"/>
      <c r="E677" s="330"/>
      <c r="F677" s="330"/>
      <c r="G677" s="330"/>
      <c r="H677" s="330"/>
      <c r="I677" s="330"/>
    </row>
    <row r="678">
      <c r="A678" s="186"/>
      <c r="B678" s="330"/>
      <c r="C678" s="330"/>
      <c r="D678" s="330"/>
      <c r="E678" s="330"/>
      <c r="F678" s="330"/>
      <c r="G678" s="330"/>
      <c r="H678" s="330"/>
      <c r="I678" s="330"/>
    </row>
    <row r="679">
      <c r="A679" s="186"/>
      <c r="B679" s="330"/>
      <c r="C679" s="330"/>
      <c r="D679" s="330"/>
      <c r="E679" s="330"/>
      <c r="F679" s="330"/>
      <c r="G679" s="330"/>
      <c r="H679" s="330"/>
      <c r="I679" s="330"/>
    </row>
    <row r="680">
      <c r="A680" s="186"/>
      <c r="B680" s="330"/>
      <c r="C680" s="330"/>
      <c r="D680" s="330"/>
      <c r="E680" s="330"/>
      <c r="F680" s="330"/>
      <c r="G680" s="330"/>
      <c r="H680" s="330"/>
      <c r="I680" s="330"/>
    </row>
    <row r="681">
      <c r="A681" s="186"/>
      <c r="B681" s="330"/>
      <c r="C681" s="330"/>
      <c r="D681" s="330"/>
      <c r="E681" s="330"/>
      <c r="F681" s="330"/>
      <c r="G681" s="330"/>
      <c r="H681" s="330"/>
      <c r="I681" s="330"/>
    </row>
  </sheetData>
  <mergeCells count="1">
    <mergeCell ref="B2:I2"/>
  </mergeCells>
  <conditionalFormatting sqref="B5:H144">
    <cfRule type="expression" dxfId="12" priority="1">
      <formula>$E5="-"</formula>
    </cfRule>
  </conditionalFormatting>
  <hyperlinks>
    <hyperlink r:id="rId1" ref="B90"/>
    <hyperlink r:id="rId2" ref="B91"/>
    <hyperlink r:id="rId3" ref="B92"/>
    <hyperlink r:id="rId4" ref="B93"/>
    <hyperlink r:id="rId5" ref="B94"/>
    <hyperlink r:id="rId6" ref="B95"/>
  </hyperlinks>
  <drawing r:id="rId7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25.13"/>
    <col customWidth="1" min="4" max="4" width="3.88"/>
  </cols>
  <sheetData>
    <row r="1">
      <c r="A1" s="344"/>
      <c r="B1" s="344"/>
      <c r="C1" s="344"/>
      <c r="D1" s="344"/>
    </row>
    <row r="2">
      <c r="A2" s="344"/>
      <c r="B2" s="345" t="s">
        <v>130</v>
      </c>
      <c r="C2" s="344"/>
      <c r="D2" s="344"/>
    </row>
    <row r="3">
      <c r="A3" s="344"/>
      <c r="B3" s="346" t="s">
        <v>131</v>
      </c>
      <c r="C3" s="344"/>
      <c r="D3" s="344"/>
    </row>
    <row r="4">
      <c r="A4" s="344"/>
      <c r="B4" s="344"/>
      <c r="C4" s="344"/>
      <c r="D4" s="344"/>
    </row>
    <row r="5">
      <c r="A5" s="344"/>
      <c r="B5" s="347" t="s">
        <v>132</v>
      </c>
      <c r="C5" s="22"/>
      <c r="D5" s="195"/>
    </row>
    <row r="6">
      <c r="A6" s="344"/>
      <c r="B6" s="348" t="s">
        <v>133</v>
      </c>
      <c r="C6" s="348" t="s">
        <v>134</v>
      </c>
      <c r="D6" s="195"/>
    </row>
    <row r="7">
      <c r="A7" s="344"/>
      <c r="B7" s="349" t="str">
        <f>IFERROR(__xludf.DUMMYFUNCTION("importrange(B3,""Make Public!B7:C"")"),"Tournament Information")</f>
        <v>Tournament Information</v>
      </c>
      <c r="C7" s="350" t="str">
        <f>IFERROR(__xludf.DUMMYFUNCTION("""COMPUTED_VALUE"""),"Yes")</f>
        <v>Yes</v>
      </c>
      <c r="D7" s="195"/>
    </row>
    <row r="8">
      <c r="A8" s="344"/>
      <c r="B8" s="349" t="str">
        <f>IFERROR(__xludf.DUMMYFUNCTION("""COMPUTED_VALUE"""),"Schedule")</f>
        <v>Schedule</v>
      </c>
      <c r="C8" s="350" t="str">
        <f>IFERROR(__xludf.DUMMYFUNCTION("""COMPUTED_VALUE"""),"Yes")</f>
        <v>Yes</v>
      </c>
      <c r="D8" s="195"/>
    </row>
    <row r="9">
      <c r="A9" s="344"/>
      <c r="B9" s="349" t="str">
        <f>IFERROR(__xludf.DUMMYFUNCTION("""COMPUTED_VALUE"""),"Qualification Details")</f>
        <v>Qualification Details</v>
      </c>
      <c r="C9" s="350" t="str">
        <f>IFERROR(__xludf.DUMMYFUNCTION("""COMPUTED_VALUE"""),"Yes")</f>
        <v>Yes</v>
      </c>
      <c r="D9" s="195"/>
    </row>
    <row r="10">
      <c r="A10" s="344"/>
      <c r="B10" s="349" t="str">
        <f>IFERROR(__xludf.DUMMYFUNCTION("""COMPUTED_VALUE"""),"Participant Information")</f>
        <v>Participant Information</v>
      </c>
      <c r="C10" s="350" t="str">
        <f>IFERROR(__xludf.DUMMYFUNCTION("""COMPUTED_VALUE"""),"Yes")</f>
        <v>Yes</v>
      </c>
      <c r="D10" s="195"/>
    </row>
    <row r="11">
      <c r="A11" s="344"/>
      <c r="B11" s="349" t="str">
        <f>IFERROR(__xludf.DUMMYFUNCTION("""COMPUTED_VALUE"""),"Participant Rosters")</f>
        <v>Participant Rosters</v>
      </c>
      <c r="C11" s="350" t="str">
        <f>IFERROR(__xludf.DUMMYFUNCTION("""COMPUTED_VALUE"""),"Yes")</f>
        <v>Yes</v>
      </c>
      <c r="D11" s="195"/>
    </row>
    <row r="12">
      <c r="A12" s="344"/>
      <c r="B12" s="349" t="str">
        <f>IFERROR(__xludf.DUMMYFUNCTION("""COMPUTED_VALUE"""),"Visualization")</f>
        <v>Visualization</v>
      </c>
      <c r="C12" s="350" t="str">
        <f>IFERROR(__xludf.DUMMYFUNCTION("""COMPUTED_VALUE"""),"Yes")</f>
        <v>Yes</v>
      </c>
      <c r="D12" s="195"/>
    </row>
    <row r="13">
      <c r="A13" s="344"/>
      <c r="B13" s="351"/>
      <c r="C13" s="351"/>
      <c r="D13" s="195"/>
    </row>
    <row r="14">
      <c r="A14" s="344"/>
      <c r="B14" s="351"/>
      <c r="C14" s="351"/>
      <c r="D14" s="195"/>
    </row>
    <row r="15">
      <c r="A15" s="344"/>
      <c r="B15" s="351"/>
      <c r="C15" s="351"/>
      <c r="D15" s="344"/>
    </row>
    <row r="16">
      <c r="A16" s="344"/>
      <c r="B16" s="351"/>
      <c r="C16" s="351"/>
      <c r="D16" s="195"/>
    </row>
    <row r="17">
      <c r="A17" s="344"/>
      <c r="B17" s="351"/>
      <c r="C17" s="351"/>
      <c r="D17" s="195"/>
    </row>
    <row r="18">
      <c r="A18" s="344"/>
      <c r="B18" s="344"/>
      <c r="C18" s="344"/>
      <c r="D18" s="344"/>
    </row>
  </sheetData>
  <mergeCells count="1">
    <mergeCell ref="B5:C5"/>
  </mergeCells>
  <conditionalFormatting sqref="C7:C17">
    <cfRule type="cellIs" dxfId="8" priority="1" operator="equal">
      <formula>"Yes"</formula>
    </cfRule>
  </conditionalFormatting>
  <conditionalFormatting sqref="C7:C17">
    <cfRule type="cellIs" dxfId="9" priority="2" operator="equal">
      <formula>"No"</formula>
    </cfRule>
  </conditionalFormatting>
  <dataValidations>
    <dataValidation type="list" allowBlank="1" sqref="C7:C17">
      <formula1>"Yes,No"</formula1>
    </dataValidation>
  </dataValidations>
  <hyperlinks>
    <hyperlink r:id="rId1" location="gid=1282797434" ref="B3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3.25"/>
    <col customWidth="1" min="3" max="3" width="19.5"/>
    <col customWidth="1" min="4" max="5" width="3.25"/>
    <col customWidth="1" min="6" max="6" width="31.38"/>
    <col customWidth="1" min="7" max="8" width="3.25"/>
    <col customWidth="1" min="9" max="9" width="19.5"/>
    <col customWidth="1" min="10" max="12" width="3.25"/>
    <col customWidth="1" min="13" max="13" width="15.13"/>
    <col customWidth="1" min="14" max="16" width="3.25"/>
    <col customWidth="1" min="17" max="17" width="15.13"/>
    <col customWidth="1" min="18" max="20" width="3.25"/>
  </cols>
  <sheetData>
    <row r="1">
      <c r="A1" s="195"/>
      <c r="B1" s="195"/>
      <c r="C1" s="353"/>
      <c r="D1" s="353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</row>
    <row r="2">
      <c r="A2" s="195"/>
      <c r="B2" s="354"/>
      <c r="C2" s="355" t="s">
        <v>135</v>
      </c>
      <c r="D2" s="80"/>
      <c r="E2" s="195"/>
      <c r="F2" s="195"/>
      <c r="G2" s="195"/>
      <c r="H2" s="195"/>
      <c r="I2" s="355" t="s">
        <v>136</v>
      </c>
      <c r="J2" s="80"/>
      <c r="K2" s="195"/>
      <c r="L2" s="195"/>
      <c r="M2" s="195"/>
      <c r="N2" s="195"/>
      <c r="O2" s="195"/>
      <c r="P2" s="195"/>
      <c r="Q2" s="195"/>
      <c r="R2" s="195"/>
      <c r="S2" s="195"/>
      <c r="T2" s="195"/>
    </row>
    <row r="3">
      <c r="A3" s="195"/>
      <c r="B3" s="195"/>
      <c r="C3" s="195"/>
      <c r="D3" s="195"/>
      <c r="E3" s="195"/>
      <c r="F3" s="195"/>
      <c r="G3" s="195"/>
      <c r="H3" s="195"/>
      <c r="I3" s="356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</row>
    <row r="4">
      <c r="A4" s="195"/>
      <c r="B4" s="353"/>
      <c r="C4" s="357" t="s">
        <v>137</v>
      </c>
      <c r="D4" s="353"/>
      <c r="E4" s="195"/>
      <c r="F4" s="195"/>
      <c r="G4" s="195"/>
      <c r="H4" s="353"/>
      <c r="I4" s="357" t="s">
        <v>138</v>
      </c>
      <c r="J4" s="353"/>
      <c r="K4" s="195"/>
      <c r="L4" s="195"/>
      <c r="M4" s="195"/>
      <c r="N4" s="195"/>
      <c r="O4" s="195"/>
      <c r="P4" s="195"/>
      <c r="Q4" s="195"/>
      <c r="R4" s="195"/>
      <c r="S4" s="195"/>
      <c r="T4" s="195"/>
    </row>
    <row r="5">
      <c r="A5" s="195"/>
      <c r="B5" s="244">
        <v>1.0</v>
      </c>
      <c r="C5" s="359"/>
      <c r="D5" s="359"/>
      <c r="E5" s="195"/>
      <c r="F5" s="195"/>
      <c r="G5" s="195"/>
      <c r="H5" s="244">
        <v>1.0</v>
      </c>
      <c r="I5" s="245"/>
      <c r="J5" s="359"/>
      <c r="K5" s="195"/>
      <c r="L5" s="195"/>
      <c r="M5" s="195"/>
      <c r="N5" s="195"/>
      <c r="O5" s="195"/>
      <c r="P5" s="195"/>
      <c r="Q5" s="195"/>
      <c r="R5" s="195"/>
      <c r="S5" s="195"/>
      <c r="T5" s="195"/>
    </row>
    <row r="6">
      <c r="A6" s="195"/>
      <c r="B6" s="289">
        <v>2.0</v>
      </c>
      <c r="C6" s="359"/>
      <c r="D6" s="359"/>
      <c r="E6" s="195"/>
      <c r="F6" s="195"/>
      <c r="G6" s="195"/>
      <c r="H6" s="289">
        <v>2.0</v>
      </c>
      <c r="I6" s="245"/>
      <c r="J6" s="359"/>
      <c r="K6" s="195"/>
      <c r="L6" s="195"/>
      <c r="M6" s="195"/>
      <c r="N6" s="195"/>
      <c r="O6" s="195"/>
      <c r="P6" s="195"/>
      <c r="Q6" s="195"/>
      <c r="R6" s="195"/>
      <c r="S6" s="195"/>
      <c r="T6" s="195"/>
    </row>
    <row r="7">
      <c r="A7" s="195"/>
      <c r="B7" s="289">
        <v>3.0</v>
      </c>
      <c r="C7" s="359"/>
      <c r="D7" s="359"/>
      <c r="E7" s="195"/>
      <c r="F7" s="195"/>
      <c r="G7" s="195"/>
      <c r="H7" s="289">
        <v>3.0</v>
      </c>
      <c r="I7" s="245"/>
      <c r="J7" s="359"/>
      <c r="K7" s="195"/>
      <c r="L7" s="195"/>
      <c r="M7" s="195"/>
      <c r="N7" s="195"/>
      <c r="O7" s="195"/>
      <c r="P7" s="195"/>
      <c r="Q7" s="195"/>
      <c r="R7" s="195"/>
      <c r="S7" s="195"/>
      <c r="T7" s="195"/>
    </row>
    <row r="8">
      <c r="A8" s="195"/>
      <c r="B8" s="289">
        <v>4.0</v>
      </c>
      <c r="C8" s="359"/>
      <c r="D8" s="359"/>
      <c r="E8" s="353"/>
      <c r="F8" s="195"/>
      <c r="G8" s="195"/>
      <c r="H8" s="289">
        <v>4.0</v>
      </c>
      <c r="I8" s="245"/>
      <c r="J8" s="359"/>
      <c r="K8" s="195"/>
      <c r="L8" s="195"/>
      <c r="M8" s="195"/>
      <c r="N8" s="195"/>
      <c r="O8" s="195"/>
      <c r="P8" s="195"/>
      <c r="Q8" s="195"/>
      <c r="R8" s="195"/>
      <c r="S8" s="195"/>
      <c r="T8" s="195"/>
    </row>
    <row r="9">
      <c r="A9" s="195"/>
      <c r="B9" s="289">
        <v>5.0</v>
      </c>
      <c r="C9" s="359"/>
      <c r="D9" s="359"/>
      <c r="E9" s="354"/>
      <c r="F9" s="195"/>
      <c r="G9" s="195"/>
      <c r="H9" s="289">
        <v>5.0</v>
      </c>
      <c r="I9" s="245"/>
      <c r="J9" s="359"/>
      <c r="K9" s="195"/>
      <c r="L9" s="195"/>
      <c r="M9" s="195"/>
      <c r="N9" s="195"/>
      <c r="O9" s="195"/>
      <c r="P9" s="195"/>
      <c r="Q9" s="195"/>
      <c r="R9" s="195"/>
      <c r="S9" s="195"/>
      <c r="T9" s="195"/>
    </row>
    <row r="10">
      <c r="A10" s="195"/>
      <c r="B10" s="289">
        <v>6.0</v>
      </c>
      <c r="C10" s="359"/>
      <c r="D10" s="359"/>
      <c r="E10" s="354"/>
      <c r="F10" s="195"/>
      <c r="G10" s="195"/>
      <c r="H10" s="289">
        <v>6.0</v>
      </c>
      <c r="I10" s="245"/>
      <c r="J10" s="359"/>
      <c r="K10" s="195"/>
      <c r="L10" s="195"/>
      <c r="M10" s="195"/>
      <c r="N10" s="195"/>
      <c r="O10" s="195"/>
      <c r="P10" s="195"/>
      <c r="Q10" s="195"/>
      <c r="R10" s="195"/>
      <c r="S10" s="195"/>
      <c r="T10" s="195"/>
    </row>
    <row r="11">
      <c r="A11" s="195"/>
      <c r="B11" s="289">
        <v>7.0</v>
      </c>
      <c r="C11" s="359"/>
      <c r="D11" s="359"/>
      <c r="E11" s="354"/>
      <c r="F11" s="195"/>
      <c r="G11" s="195"/>
      <c r="H11" s="289">
        <v>7.0</v>
      </c>
      <c r="I11" s="245"/>
      <c r="J11" s="359"/>
      <c r="K11" s="195"/>
      <c r="L11" s="195"/>
      <c r="M11" s="195"/>
      <c r="N11" s="195"/>
      <c r="O11" s="195"/>
      <c r="P11" s="195"/>
      <c r="Q11" s="195"/>
      <c r="R11" s="195"/>
      <c r="S11" s="195"/>
      <c r="T11" s="195"/>
    </row>
    <row r="12">
      <c r="A12" s="195"/>
      <c r="B12" s="289">
        <v>8.0</v>
      </c>
      <c r="C12" s="359"/>
      <c r="D12" s="359"/>
      <c r="E12" s="354"/>
      <c r="F12" s="361" t="s">
        <v>139</v>
      </c>
      <c r="G12" s="195"/>
      <c r="H12" s="289">
        <v>8.0</v>
      </c>
      <c r="I12" s="245"/>
      <c r="J12" s="359"/>
      <c r="K12" s="195"/>
      <c r="L12" s="195"/>
      <c r="M12" s="195"/>
      <c r="N12" s="195"/>
      <c r="O12" s="195"/>
      <c r="P12" s="195"/>
      <c r="Q12" s="195"/>
      <c r="R12" s="195"/>
      <c r="S12" s="195"/>
      <c r="T12" s="195"/>
    </row>
    <row r="13">
      <c r="A13" s="195"/>
      <c r="B13" s="195"/>
      <c r="C13" s="195"/>
      <c r="D13" s="195"/>
      <c r="E13" s="354"/>
      <c r="F13" s="195"/>
      <c r="G13" s="362"/>
      <c r="H13" s="289">
        <v>9.0</v>
      </c>
      <c r="I13" s="245"/>
      <c r="J13" s="359"/>
      <c r="K13" s="195"/>
      <c r="L13" s="195"/>
      <c r="M13" s="195"/>
      <c r="N13" s="195"/>
      <c r="O13" s="195"/>
      <c r="P13" s="195"/>
      <c r="Q13" s="195"/>
      <c r="R13" s="195"/>
      <c r="S13" s="195"/>
      <c r="T13" s="195"/>
    </row>
    <row r="14">
      <c r="A14" s="195"/>
      <c r="B14" s="353"/>
      <c r="C14" s="357" t="s">
        <v>140</v>
      </c>
      <c r="D14" s="353"/>
      <c r="E14" s="354"/>
      <c r="F14" s="195"/>
      <c r="G14" s="195"/>
      <c r="H14" s="289">
        <v>10.0</v>
      </c>
      <c r="I14" s="245"/>
      <c r="J14" s="359"/>
      <c r="K14" s="195"/>
      <c r="L14" s="195"/>
      <c r="M14" s="195"/>
      <c r="N14" s="195"/>
      <c r="O14" s="195"/>
      <c r="P14" s="195"/>
      <c r="Q14" s="195"/>
      <c r="R14" s="195"/>
      <c r="S14" s="195"/>
      <c r="T14" s="195"/>
    </row>
    <row r="15">
      <c r="A15" s="195"/>
      <c r="B15" s="244">
        <v>1.0</v>
      </c>
      <c r="C15" s="359"/>
      <c r="D15" s="359"/>
      <c r="E15" s="354"/>
      <c r="F15" s="195"/>
      <c r="G15" s="195"/>
      <c r="H15" s="289">
        <v>11.0</v>
      </c>
      <c r="I15" s="245"/>
      <c r="J15" s="359"/>
      <c r="K15" s="195"/>
      <c r="L15" s="195"/>
      <c r="M15" s="195"/>
      <c r="N15" s="195"/>
      <c r="O15" s="195"/>
      <c r="P15" s="195"/>
      <c r="Q15" s="195"/>
      <c r="R15" s="195"/>
      <c r="S15" s="195"/>
      <c r="T15" s="195"/>
    </row>
    <row r="16">
      <c r="A16" s="195"/>
      <c r="B16" s="289">
        <v>2.0</v>
      </c>
      <c r="C16" s="359"/>
      <c r="D16" s="359"/>
      <c r="E16" s="354"/>
      <c r="F16" s="195"/>
      <c r="G16" s="195"/>
      <c r="H16" s="289">
        <v>12.0</v>
      </c>
      <c r="I16" s="245"/>
      <c r="J16" s="359"/>
      <c r="K16" s="195"/>
      <c r="L16" s="195"/>
      <c r="M16" s="195"/>
      <c r="N16" s="195"/>
      <c r="O16" s="195"/>
      <c r="P16" s="195"/>
      <c r="Q16" s="195"/>
      <c r="R16" s="195"/>
      <c r="S16" s="195"/>
      <c r="T16" s="195"/>
    </row>
    <row r="17">
      <c r="A17" s="195"/>
      <c r="B17" s="289">
        <v>3.0</v>
      </c>
      <c r="C17" s="359"/>
      <c r="D17" s="359"/>
      <c r="E17" s="354"/>
      <c r="F17" s="195"/>
      <c r="G17" s="195"/>
      <c r="H17" s="289">
        <v>13.0</v>
      </c>
      <c r="I17" s="245"/>
      <c r="J17" s="359"/>
      <c r="K17" s="195"/>
      <c r="L17" s="195"/>
      <c r="M17" s="195"/>
      <c r="N17" s="195"/>
      <c r="O17" s="195"/>
      <c r="P17" s="195"/>
      <c r="Q17" s="195"/>
      <c r="R17" s="195"/>
      <c r="S17" s="195"/>
      <c r="T17" s="195"/>
    </row>
    <row r="18">
      <c r="A18" s="195"/>
      <c r="B18" s="289">
        <v>4.0</v>
      </c>
      <c r="C18" s="359"/>
      <c r="D18" s="359"/>
      <c r="E18" s="364"/>
      <c r="F18" s="195"/>
      <c r="G18" s="195"/>
      <c r="H18" s="289">
        <v>14.0</v>
      </c>
      <c r="I18" s="245"/>
      <c r="J18" s="359"/>
      <c r="K18" s="195"/>
      <c r="L18" s="195"/>
      <c r="M18" s="195"/>
      <c r="N18" s="195"/>
      <c r="O18" s="195"/>
      <c r="P18" s="195"/>
      <c r="Q18" s="195"/>
      <c r="R18" s="195"/>
      <c r="S18" s="195"/>
      <c r="T18" s="195"/>
    </row>
    <row r="19">
      <c r="A19" s="195"/>
      <c r="B19" s="289">
        <v>5.0</v>
      </c>
      <c r="C19" s="359"/>
      <c r="D19" s="359"/>
      <c r="E19" s="354"/>
      <c r="F19" s="195"/>
      <c r="G19" s="195"/>
      <c r="H19" s="289">
        <v>15.0</v>
      </c>
      <c r="I19" s="245"/>
      <c r="J19" s="359"/>
      <c r="K19" s="195"/>
      <c r="L19" s="195"/>
      <c r="M19" s="195"/>
      <c r="N19" s="195"/>
      <c r="O19" s="195"/>
      <c r="P19" s="195"/>
      <c r="Q19" s="195"/>
      <c r="R19" s="195"/>
      <c r="S19" s="195"/>
      <c r="T19" s="195"/>
    </row>
    <row r="20">
      <c r="A20" s="195"/>
      <c r="B20" s="289">
        <v>6.0</v>
      </c>
      <c r="C20" s="359"/>
      <c r="D20" s="359"/>
      <c r="E20" s="354"/>
      <c r="F20" s="195"/>
      <c r="G20" s="195"/>
      <c r="H20" s="289">
        <v>16.0</v>
      </c>
      <c r="I20" s="245"/>
      <c r="J20" s="359"/>
      <c r="K20" s="195"/>
      <c r="L20" s="195"/>
      <c r="M20" s="195"/>
      <c r="N20" s="195"/>
      <c r="O20" s="195"/>
      <c r="P20" s="195"/>
      <c r="Q20" s="195"/>
      <c r="R20" s="195"/>
      <c r="S20" s="195"/>
      <c r="T20" s="195"/>
    </row>
    <row r="21">
      <c r="A21" s="195"/>
      <c r="B21" s="289">
        <v>7.0</v>
      </c>
      <c r="C21" s="359"/>
      <c r="D21" s="359"/>
      <c r="E21" s="354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</row>
    <row r="22">
      <c r="A22" s="195"/>
      <c r="B22" s="289">
        <v>8.0</v>
      </c>
      <c r="C22" s="359"/>
      <c r="D22" s="359"/>
      <c r="E22" s="354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</row>
    <row r="23">
      <c r="A23" s="195"/>
      <c r="B23" s="195"/>
      <c r="C23" s="195"/>
      <c r="D23" s="195"/>
      <c r="E23" s="354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</row>
    <row r="24">
      <c r="A24" s="195"/>
      <c r="B24" s="353"/>
      <c r="C24" s="357" t="s">
        <v>141</v>
      </c>
      <c r="D24" s="353"/>
      <c r="E24" s="354"/>
      <c r="F24" s="195"/>
      <c r="G24" s="195"/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5"/>
    </row>
    <row r="25">
      <c r="A25" s="354"/>
      <c r="B25" s="244">
        <v>1.0</v>
      </c>
      <c r="C25" s="245"/>
      <c r="D25" s="359"/>
      <c r="E25" s="354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</row>
    <row r="26">
      <c r="A26" s="354"/>
      <c r="B26" s="289">
        <v>2.0</v>
      </c>
      <c r="C26" s="367"/>
      <c r="D26" s="359"/>
      <c r="E26" s="354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</row>
    <row r="27">
      <c r="A27" s="195"/>
      <c r="B27" s="289">
        <v>3.0</v>
      </c>
      <c r="C27" s="245"/>
      <c r="D27" s="359"/>
      <c r="E27" s="354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</row>
    <row r="28">
      <c r="A28" s="195"/>
      <c r="B28" s="289">
        <v>4.0</v>
      </c>
      <c r="C28" s="245"/>
      <c r="D28" s="359"/>
      <c r="E28" s="364"/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</row>
    <row r="29">
      <c r="A29" s="195"/>
      <c r="B29" s="289">
        <v>5.0</v>
      </c>
      <c r="C29" s="245"/>
      <c r="D29" s="359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</row>
    <row r="30">
      <c r="A30" s="195"/>
      <c r="B30" s="289">
        <v>6.0</v>
      </c>
      <c r="C30" s="367"/>
      <c r="D30" s="359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</row>
    <row r="31">
      <c r="A31" s="354"/>
      <c r="B31" s="289">
        <v>7.0</v>
      </c>
      <c r="C31" s="367"/>
      <c r="D31" s="359"/>
      <c r="E31" s="195"/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</row>
    <row r="32">
      <c r="A32" s="354"/>
      <c r="B32" s="289">
        <v>8.0</v>
      </c>
      <c r="C32" s="367"/>
      <c r="D32" s="359"/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</row>
    <row r="33">
      <c r="A33" s="195"/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</row>
    <row r="34">
      <c r="A34" s="195"/>
      <c r="B34" s="195"/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</row>
  </sheetData>
  <mergeCells count="2">
    <mergeCell ref="C2:D2"/>
    <mergeCell ref="I2:J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0" t="str">
        <f>'Internal Info'!C2</f>
        <v>#REF!</v>
      </c>
      <c r="B1" s="330"/>
      <c r="C1" s="371" t="s">
        <v>21</v>
      </c>
      <c r="D1" s="371" t="s">
        <v>25</v>
      </c>
    </row>
    <row r="2">
      <c r="A2" s="372">
        <f t="array" ref="A2:A5">unique(Schedule!D7:D38)</f>
        <v>46210</v>
      </c>
      <c r="B2" s="372">
        <f>IFERROR(__xludf.DUMMYFUNCTION("filter(A2:A1001,A2:A1001&lt;&gt;"""")"),46210.0)</f>
        <v>46210</v>
      </c>
      <c r="C2" s="371" t="str">
        <f t="array" ref="C2">INDEX('Stage import'!$1:$20, 3, MATCH($A$1, 'Stage import'!$1:$1, 0) + 1)</f>
        <v>#REF!</v>
      </c>
      <c r="D2" s="371" t="str">
        <f t="array" ref="D2">INDEX('Stage import'!$1:$20, 3, MATCH($A$1, 'Stage import'!$1:$1, 0) + 2)</f>
        <v>#REF!</v>
      </c>
    </row>
    <row r="3">
      <c r="A3" s="330"/>
      <c r="B3" s="372">
        <f>IFERROR(__xludf.DUMMYFUNCTION("""COMPUTED_VALUE"""),46211.0)</f>
        <v>46211</v>
      </c>
      <c r="C3" s="371" t="str">
        <f t="array" ref="C3">INDEX('Stage import'!$1:$20, 4, MATCH($A$1, 'Stage import'!$1:$1, 0) + 1)</f>
        <v>#REF!</v>
      </c>
      <c r="D3" s="371" t="str">
        <f t="array" ref="D3">INDEX('Stage import'!$1:$20, 4, MATCH($A$1, 'Stage import'!$1:$1, 0) + 2)</f>
        <v>#REF!</v>
      </c>
    </row>
    <row r="4">
      <c r="A4" s="372">
        <v>46211.0</v>
      </c>
      <c r="B4" s="372">
        <f>IFERROR(__xludf.DUMMYFUNCTION("""COMPUTED_VALUE"""),46212.0)</f>
        <v>46212</v>
      </c>
      <c r="C4" s="371" t="str">
        <f t="array" ref="C4">INDEX('Stage import'!$1:$20, 5, MATCH($A$1, 'Stage import'!$1:$1, 0) + 1)</f>
        <v>#REF!</v>
      </c>
      <c r="D4" s="371" t="str">
        <f t="array" ref="D4">INDEX('Stage import'!$1:$20, 5, MATCH($A$1, 'Stage import'!$1:$1, 0) + 2)</f>
        <v>#REF!</v>
      </c>
    </row>
    <row r="5">
      <c r="A5" s="372">
        <v>46212.0</v>
      </c>
      <c r="B5" s="372"/>
      <c r="C5" s="371" t="str">
        <f t="array" ref="C5">INDEX('Stage import'!$1:$20, 6, MATCH($A$1, 'Stage import'!$1:$1, 0) + 1)</f>
        <v>#REF!</v>
      </c>
      <c r="D5" s="371" t="str">
        <f t="array" ref="D5">INDEX('Stage import'!$1:$20, 6, MATCH($A$1, 'Stage import'!$1:$1, 0) + 2)</f>
        <v>#REF!</v>
      </c>
    </row>
    <row r="6">
      <c r="A6" s="372"/>
      <c r="B6" s="330"/>
      <c r="C6" s="371" t="str">
        <f t="array" ref="C6">INDEX('Stage import'!$1:$20, 7, MATCH($A$1, 'Stage import'!$1:$1, 0) + 1)</f>
        <v>#REF!</v>
      </c>
      <c r="D6" s="371" t="str">
        <f t="array" ref="D6">INDEX('Stage import'!$1:$20, 7, MATCH($A$1, 'Stage import'!$1:$1, 0) + 2)</f>
        <v>#REF!</v>
      </c>
    </row>
    <row r="7">
      <c r="C7" s="371" t="str">
        <f t="array" ref="C7">INDEX('Stage import'!$1:$20, 8, MATCH($A$1, 'Stage import'!$1:$1, 0) + 1)</f>
        <v>#REF!</v>
      </c>
      <c r="D7" s="371" t="str">
        <f t="array" ref="D7">INDEX('Stage import'!$1:$20, 8, MATCH($A$1, 'Stage import'!$1:$1, 0) + 2)</f>
        <v>#REF!</v>
      </c>
    </row>
    <row r="8">
      <c r="C8" s="371" t="str">
        <f t="array" ref="C8">INDEX('Stage import'!$1:$20, 9, MATCH($A$1, 'Stage import'!$1:$1, 0) + 1)</f>
        <v>#REF!</v>
      </c>
      <c r="D8" s="371" t="str">
        <f t="array" ref="D8">INDEX('Stage import'!$1:$20, 9, MATCH($A$1, 'Stage import'!$1:$1, 0) + 2)</f>
        <v>#REF!</v>
      </c>
    </row>
    <row r="9">
      <c r="C9" s="371" t="str">
        <f t="array" ref="C9">INDEX('Stage import'!$1:$20, 10, MATCH($A$1, 'Stage import'!$1:$1, 0) + 1)</f>
        <v>#REF!</v>
      </c>
      <c r="D9" s="371" t="str">
        <f t="array" ref="D9">INDEX('Stage import'!$1:$20, 10, MATCH($A$1, 'Stage import'!$1:$1, 0) + 2)</f>
        <v>#REF!</v>
      </c>
    </row>
    <row r="10">
      <c r="C10" s="371" t="str">
        <f t="array" ref="C10">INDEX('Stage import'!$1:$20, 11, MATCH($A$1, 'Stage import'!$1:$1, 0) + 1)</f>
        <v>#REF!</v>
      </c>
      <c r="D10" s="371" t="str">
        <f t="array" ref="D10">INDEX('Stage import'!$1:$20, 11, MATCH($A$1, 'Stage import'!$1:$1, 0) + 2)</f>
        <v>#REF!</v>
      </c>
    </row>
    <row r="11">
      <c r="C11" s="371" t="str">
        <f t="array" ref="C11">INDEX('Stage import'!$1:$20, 12, MATCH($A$1, 'Stage import'!$1:$1, 0) + 1)</f>
        <v>#REF!</v>
      </c>
      <c r="D11" s="371" t="str">
        <f t="array" ref="D11">INDEX('Stage import'!$1:$20, 12, MATCH($A$1, 'Stage import'!$1:$1, 0) + 2)</f>
        <v>#REF!</v>
      </c>
    </row>
    <row r="12">
      <c r="C12" s="371" t="str">
        <f t="array" ref="C12">INDEX('Stage import'!$1:$20, 13, MATCH($A$1, 'Stage import'!$1:$1, 0) + 1)</f>
        <v>#REF!</v>
      </c>
      <c r="D12" s="371" t="str">
        <f t="array" ref="D12">INDEX('Stage import'!$1:$20, 13, MATCH($A$1, 'Stage import'!$1:$1, 0) + 2)</f>
        <v>#REF!</v>
      </c>
    </row>
    <row r="13">
      <c r="C13" s="371" t="str">
        <f t="array" ref="C13">INDEX('Stage import'!$1:$20, 14, MATCH($A$1, 'Stage import'!$1:$1, 0) + 1)</f>
        <v>#REF!</v>
      </c>
      <c r="D13" s="371" t="str">
        <f t="array" ref="D13">INDEX('Stage import'!$1:$20, 14, MATCH($A$1, 'Stage import'!$1:$1, 0) + 2)</f>
        <v>#REF!</v>
      </c>
    </row>
    <row r="14">
      <c r="C14" s="371" t="str">
        <f t="array" ref="C14">INDEX('Stage import'!$1:$20, 15, MATCH($A$1, 'Stage import'!$1:$1, 0) + 1)</f>
        <v>#REF!</v>
      </c>
      <c r="D14" s="371" t="str">
        <f t="array" ref="D14">INDEX('Stage import'!$1:$20, 15, MATCH($A$1, 'Stage import'!$1:$1, 0) + 2)</f>
        <v>#REF!</v>
      </c>
    </row>
    <row r="15">
      <c r="C15" s="371" t="str">
        <f t="array" ref="C15">INDEX('Stage import'!$1:$20, 16, MATCH($A$1, 'Stage import'!$1:$1, 0) + 1)</f>
        <v>#REF!</v>
      </c>
      <c r="D15" s="371" t="str">
        <f t="array" ref="D15">INDEX('Stage import'!$1:$20, 16, MATCH($A$1, 'Stage import'!$1:$1, 0) + 2)</f>
        <v>#REF!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7" t="str">
        <f>IFERROR(__xludf.DUMMYFUNCTION("importrange(""https://docs.google.com/spreadsheets/d/1drQeeIuQIQ91wNe4jOrzWyhtEVXrDm29rgVUcv03zt0/edit?gid=0#gid=0"",""Data!A:CC"")"),"#REF!")</f>
        <v>#REF!</v>
      </c>
    </row>
  </sheetData>
  <drawing r:id="rId1"/>
</worksheet>
</file>