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eneral" sheetId="1" r:id="rId5"/>
    <sheet state="visible" name="Bracket" sheetId="2" r:id="rId6"/>
    <sheet state="visible" name="Schedule" sheetId="3" r:id="rId7"/>
    <sheet state="hidden" name="Data" sheetId="4" r:id="rId8"/>
  </sheets>
  <definedNames/>
  <calcPr/>
</workbook>
</file>

<file path=xl/sharedStrings.xml><?xml version="1.0" encoding="utf-8"?>
<sst xmlns="http://schemas.openxmlformats.org/spreadsheetml/2006/main" count="505" uniqueCount="138">
  <si>
    <t>📝 Tournament Info</t>
  </si>
  <si>
    <t>💰 Prize Pool Distribution</t>
  </si>
  <si>
    <t>📋 Participants</t>
  </si>
  <si>
    <t>Event Name</t>
  </si>
  <si>
    <t>➡️</t>
  </si>
  <si>
    <t>CCT 2026 South America Series 3</t>
  </si>
  <si>
    <t>Place</t>
  </si>
  <si>
    <t>Total</t>
  </si>
  <si>
    <t>Team</t>
  </si>
  <si>
    <t>Playoffs</t>
  </si>
  <si>
    <t>South America VRS</t>
  </si>
  <si>
    <t>LP</t>
  </si>
  <si>
    <t>Tournament Organizer</t>
  </si>
  <si>
    <t>CCT</t>
  </si>
  <si>
    <t>1st</t>
  </si>
  <si>
    <t>Imperial</t>
  </si>
  <si>
    <t>Location</t>
  </si>
  <si>
    <t>Online, South America</t>
  </si>
  <si>
    <t>2nd</t>
  </si>
  <si>
    <t>Fluxo</t>
  </si>
  <si>
    <t>Prize pool</t>
  </si>
  <si>
    <t>3-4th</t>
  </si>
  <si>
    <t>Bounty Hunters</t>
  </si>
  <si>
    <t>Invite Date</t>
  </si>
  <si>
    <t>&gt;</t>
  </si>
  <si>
    <t>Fake do Biru</t>
  </si>
  <si>
    <t>VRS Date</t>
  </si>
  <si>
    <t>Keyd Stars</t>
  </si>
  <si>
    <t>Valve Status</t>
  </si>
  <si>
    <t>Tier 2</t>
  </si>
  <si>
    <t>🔀</t>
  </si>
  <si>
    <t>Ranked</t>
  </si>
  <si>
    <t>Isurus</t>
  </si>
  <si>
    <t>Rulebook</t>
  </si>
  <si>
    <t>Champion of Champions Tour - Official Rulebook.pdf</t>
  </si>
  <si>
    <t>📺 Tournament Socials</t>
  </si>
  <si>
    <t>UNO MILLE</t>
  </si>
  <si>
    <t>Announcement Link &amp; Date</t>
  </si>
  <si>
    <t>🗓️</t>
  </si>
  <si>
    <t>Stream</t>
  </si>
  <si>
    <t>kick.com/CCT_CS3</t>
  </si>
  <si>
    <t>Group Stage</t>
  </si>
  <si>
    <t>METANOIA Wolves</t>
  </si>
  <si>
    <t>Additional Info Link &amp; Date</t>
  </si>
  <si>
    <t>X Account</t>
  </si>
  <si>
    <t>x.com/CCT_CS</t>
  </si>
  <si>
    <t>paiN Academy</t>
  </si>
  <si>
    <t>Discord</t>
  </si>
  <si>
    <t>Contact 📩</t>
  </si>
  <si>
    <t>support@cct.gg</t>
  </si>
  <si>
    <t>GameHunters</t>
  </si>
  <si>
    <t>Format Stage 1 &gt; Group Stage</t>
  </si>
  <si>
    <t>Swiss Stage</t>
  </si>
  <si>
    <t>ex-KRU</t>
  </si>
  <si>
    <t>Format Stage 2 &gt; Playoffs</t>
  </si>
  <si>
    <t>Single Elim, 16 Teams</t>
  </si>
  <si>
    <t xml:space="preserve"> </t>
  </si>
  <si>
    <t>Procyon</t>
  </si>
  <si>
    <t>Number of teams</t>
  </si>
  <si>
    <t>Group Stage
- 16 Teams &gt; 14 Invited + 2 Qualified from Open Qualifiers
Playoffs
- 16 Teams &gt; 8 Invited + 8 Qualified from Group Stage
Total: 22 Invites + 2 Slots for Open Qualifiers</t>
  </si>
  <si>
    <t>Vasco</t>
  </si>
  <si>
    <t>BESTIA Academy</t>
  </si>
  <si>
    <t>ALKA</t>
  </si>
  <si>
    <t>BORRACHEIROS</t>
  </si>
  <si>
    <t>GUARA</t>
  </si>
  <si>
    <t>MAGICOS</t>
  </si>
  <si>
    <t>Red Feet</t>
  </si>
  <si>
    <t>GREMIO</t>
  </si>
  <si>
    <t>Blitzkrieg</t>
  </si>
  <si>
    <t>Open Qualifier Slot</t>
  </si>
  <si>
    <t>ODDIK</t>
  </si>
  <si>
    <t>Patins da Ferrari</t>
  </si>
  <si>
    <t>Group Stage - Swiss</t>
  </si>
  <si>
    <t>Playoffs - Single Elimination</t>
  </si>
  <si>
    <t>Swiss Stage 2-0</t>
  </si>
  <si>
    <t>Round of 16</t>
  </si>
  <si>
    <t>Quarter-Finals</t>
  </si>
  <si>
    <t>Swiss Stage 1-0</t>
  </si>
  <si>
    <t>Swiss Stage 0-0</t>
  </si>
  <si>
    <t>Semi-Finals</t>
  </si>
  <si>
    <t>Swiss Stage 2-1</t>
  </si>
  <si>
    <t>Swiss Stage 1-1</t>
  </si>
  <si>
    <t>Champion</t>
  </si>
  <si>
    <t>Swiss Stage 2-2</t>
  </si>
  <si>
    <t>Grand Final</t>
  </si>
  <si>
    <t>FFL</t>
  </si>
  <si>
    <t>FFW</t>
  </si>
  <si>
    <t>Swiss Stage 1-2</t>
  </si>
  <si>
    <t>Swiss Stage 0-1</t>
  </si>
  <si>
    <t>Swiss Stage 0-2</t>
  </si>
  <si>
    <t>Final Table</t>
  </si>
  <si>
    <t>3-0</t>
  </si>
  <si>
    <t>0-3</t>
  </si>
  <si>
    <t>Best Of</t>
  </si>
  <si>
    <t>Stage</t>
  </si>
  <si>
    <t>Match</t>
  </si>
  <si>
    <t xml:space="preserve">Date </t>
  </si>
  <si>
    <t>Local Time</t>
  </si>
  <si>
    <t>Start Time</t>
  </si>
  <si>
    <t>Team A</t>
  </si>
  <si>
    <t>Score</t>
  </si>
  <si>
    <t>Team B</t>
  </si>
  <si>
    <t>Map 1
Score</t>
  </si>
  <si>
    <t>Map 2
Score</t>
  </si>
  <si>
    <t>Map 3
Score</t>
  </si>
  <si>
    <t>Notes</t>
  </si>
  <si>
    <t>Bo3</t>
  </si>
  <si>
    <t>Vasco forfeited the match because they were unable to field a roster</t>
  </si>
  <si>
    <t>EX-KRU withdraw from the tournament as they lost VRS core.</t>
  </si>
  <si>
    <t>Blitzkrieg forfeits the match for not being able to provide a full roster for the match</t>
  </si>
  <si>
    <t>Vasco forfeits the match for being unable to provide a full roster</t>
  </si>
  <si>
    <t>Invite</t>
  </si>
  <si>
    <t>Europe VRS</t>
  </si>
  <si>
    <t>Group A_Opener</t>
  </si>
  <si>
    <t>Bo1</t>
  </si>
  <si>
    <t>Global VRS</t>
  </si>
  <si>
    <t>Group B_Opener</t>
  </si>
  <si>
    <t>Play-Ins</t>
  </si>
  <si>
    <t>Group A_Winner Match</t>
  </si>
  <si>
    <t>Bo5</t>
  </si>
  <si>
    <t>North America VRS</t>
  </si>
  <si>
    <t>Group A_Loser Match</t>
  </si>
  <si>
    <t>Oceania VRS</t>
  </si>
  <si>
    <t>Group B_Winner Match</t>
  </si>
  <si>
    <t>Wildcard Slot</t>
  </si>
  <si>
    <t>Group B_Loser Match</t>
  </si>
  <si>
    <t>Group A_Decider</t>
  </si>
  <si>
    <t>Group B_Decider</t>
  </si>
  <si>
    <t>Group C_Opener</t>
  </si>
  <si>
    <t>Group D_Opener</t>
  </si>
  <si>
    <t>Timezone</t>
  </si>
  <si>
    <t>Group C_Winner Match</t>
  </si>
  <si>
    <t>Group D_Winner Match</t>
  </si>
  <si>
    <t>Group C_Loser Match</t>
  </si>
  <si>
    <t>Group D_Loser Match</t>
  </si>
  <si>
    <t>Group C_Decider</t>
  </si>
  <si>
    <t>Group D_Decider</t>
  </si>
  <si>
    <t>Play-ins Decider</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</si>
</sst>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0"/>
    <numFmt numFmtId="165" formatCode="&quot;$&quot;#,##0"/>
    <numFmt numFmtId="166" formatCode="ddd&quot;, &quot;dd&quot; &quot;mmm&quot; &quot;yyyy"/>
    <numFmt numFmtId="167" formatCode="mmmm&quot; &quot;yyyy&quot; VRS&quot;"/>
    <numFmt numFmtId="168" formatCode="0 &quot;/ 8 Teams&quot;"/>
    <numFmt numFmtId="169" formatCode="d mmmm yyyy"/>
    <numFmt numFmtId="170" formatCode="&quot;$&quot;#,##0.00"/>
    <numFmt numFmtId="171" formatCode="m-d"/>
    <numFmt numFmtId="172" formatCode="&quot; &quot;ddd&quot;, &quot;d&quot; &quot;mmm&quot; &quot;yyyy"/>
    <numFmt numFmtId="173" formatCode="h&quot;:&quot;mm&quot; BRT&quot;"/>
    <numFmt numFmtId="174" formatCode="h&quot;:&quot;mm&quot; CEST&quot;"/>
  </numFmts>
  <fonts count="23">
    <font>
      <sz val="10.0"/>
      <color rgb="FF000000"/>
      <name val="Arial"/>
      <scheme val="minor"/>
    </font>
    <font>
      <b/>
      <sz val="10.0"/>
      <color theme="1"/>
      <name val="Inter"/>
    </font>
    <font>
      <b/>
      <sz val="12.0"/>
      <color theme="1"/>
      <name val="Inter"/>
    </font>
    <font/>
    <font>
      <b/>
      <sz val="10.0"/>
      <color rgb="FF000000"/>
      <name val="Inter"/>
    </font>
    <font>
      <sz val="10.0"/>
      <color rgb="FF000000"/>
      <name val="Inter"/>
    </font>
    <font>
      <b/>
      <i/>
      <sz val="8.0"/>
      <color theme="1"/>
      <name val="Inter"/>
    </font>
    <font>
      <i/>
      <sz val="8.0"/>
      <color theme="1"/>
      <name val="Inter"/>
    </font>
    <font>
      <sz val="8.0"/>
      <color rgb="FF000000"/>
      <name val="Inter"/>
    </font>
    <font>
      <sz val="10.0"/>
      <color theme="1"/>
      <name val="Inter"/>
    </font>
    <font>
      <sz val="8.0"/>
      <color theme="1"/>
      <name val="Inter"/>
    </font>
    <font>
      <b/>
      <i/>
      <sz val="8.0"/>
      <color rgb="FF000000"/>
      <name val="Inter"/>
    </font>
    <font>
      <u/>
      <sz val="10.0"/>
      <color theme="1"/>
      <name val="Inter"/>
    </font>
    <font>
      <b/>
      <sz val="8.0"/>
      <color theme="1"/>
      <name val="Inter"/>
    </font>
    <font>
      <b/>
      <u/>
      <sz val="8.0"/>
      <color rgb="FF0000FF"/>
      <name val="Inter"/>
    </font>
    <font>
      <u/>
      <sz val="8.0"/>
      <color rgb="FF0000FF"/>
      <name val="Inter"/>
    </font>
    <font>
      <sz val="9.0"/>
      <color theme="1"/>
      <name val="Inter"/>
    </font>
    <font>
      <b/>
      <sz val="9.0"/>
      <color theme="1"/>
      <name val="Inter"/>
    </font>
    <font>
      <b/>
      <color rgb="FF000000"/>
      <name val="Inter"/>
    </font>
    <font>
      <b/>
      <color theme="1"/>
      <name val="Inter"/>
    </font>
    <font>
      <color rgb="FF000000"/>
      <name val="Inter"/>
    </font>
    <font>
      <sz val="9.0"/>
      <color rgb="FF000000"/>
      <name val="Inter"/>
    </font>
    <font>
      <color theme="1"/>
      <name val="Inter"/>
    </font>
  </fonts>
  <fills count="17">
    <fill>
      <patternFill patternType="none"/>
    </fill>
    <fill>
      <patternFill patternType="lightGray"/>
    </fill>
    <fill>
      <patternFill patternType="solid">
        <fgColor rgb="FFD5A6BD"/>
        <bgColor rgb="FFD5A6BD"/>
      </patternFill>
    </fill>
    <fill>
      <patternFill patternType="solid">
        <fgColor rgb="FF9FC5E8"/>
        <bgColor rgb="FF9FC5E8"/>
      </patternFill>
    </fill>
    <fill>
      <patternFill patternType="solid">
        <fgColor rgb="FFFFFFFF"/>
        <bgColor rgb="FFFFFFFF"/>
      </patternFill>
    </fill>
    <fill>
      <patternFill patternType="solid">
        <fgColor rgb="FFB4A7D6"/>
        <bgColor rgb="FFB4A7D6"/>
      </patternFill>
    </fill>
    <fill>
      <patternFill patternType="solid">
        <fgColor rgb="FFD0E0E3"/>
        <bgColor rgb="FFD0E0E3"/>
      </patternFill>
    </fill>
    <fill>
      <patternFill patternType="solid">
        <fgColor rgb="FFC9DAF8"/>
        <bgColor rgb="FFC9DAF8"/>
      </patternFill>
    </fill>
    <fill>
      <patternFill patternType="solid">
        <fgColor rgb="FFD9D9D9"/>
        <bgColor rgb="FFD9D9D9"/>
      </patternFill>
    </fill>
    <fill>
      <patternFill patternType="solid">
        <fgColor rgb="FF4A86E8"/>
        <bgColor rgb="FF4A86E8"/>
      </patternFill>
    </fill>
    <fill>
      <patternFill patternType="solid">
        <fgColor rgb="FFFFE599"/>
        <bgColor rgb="FFFFE599"/>
      </patternFill>
    </fill>
    <fill>
      <patternFill patternType="solid">
        <fgColor rgb="FFB6D7A8"/>
        <bgColor rgb="FFB6D7A8"/>
      </patternFill>
    </fill>
    <fill>
      <patternFill patternType="solid">
        <fgColor rgb="FFEA9999"/>
        <bgColor rgb="FFEA9999"/>
      </patternFill>
    </fill>
    <fill>
      <patternFill patternType="solid">
        <fgColor rgb="FFFBECEC"/>
        <bgColor rgb="FFFBECEC"/>
      </patternFill>
    </fill>
    <fill>
      <patternFill patternType="solid">
        <fgColor rgb="FFFFF2CC"/>
        <bgColor rgb="FFFFF2CC"/>
      </patternFill>
    </fill>
    <fill>
      <patternFill patternType="solid">
        <fgColor rgb="FFFCE5CD"/>
        <bgColor rgb="FFFCE5CD"/>
      </patternFill>
    </fill>
    <fill>
      <patternFill patternType="solid">
        <fgColor rgb="FF000000"/>
        <bgColor rgb="FF000000"/>
      </patternFill>
    </fill>
  </fills>
  <borders count="28">
    <border/>
    <border>
      <left style="medium">
        <color rgb="FF000000"/>
      </left>
      <top style="medium">
        <color rgb="FF000000"/>
      </top>
      <bottom style="thin">
        <color rgb="FFCCCCCC"/>
      </bottom>
    </border>
    <border>
      <top style="medium">
        <color rgb="FF000000"/>
      </top>
      <bottom style="thin">
        <color rgb="FFCCCCCC"/>
      </bottom>
    </border>
    <border>
      <right style="medium">
        <color rgb="FF000000"/>
      </right>
      <top style="medium">
        <color rgb="FF000000"/>
      </top>
      <bottom style="thin">
        <color rgb="FFCCCCCC"/>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thin">
        <color rgb="FFCCCCCC"/>
      </bottom>
    </border>
    <border>
      <bottom style="thin">
        <color rgb="FFCCCCCC"/>
      </bottom>
    </border>
    <border>
      <right style="medium">
        <color rgb="FF000000"/>
      </right>
      <bottom style="thin">
        <color rgb="FFCCCCCC"/>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top style="thin">
        <color rgb="FFCCCCCC"/>
      </top>
      <bottom style="thin">
        <color rgb="FFCCCCCC"/>
      </bottom>
    </border>
    <border>
      <left style="medium">
        <color rgb="FF000000"/>
      </left>
    </border>
    <border>
      <bottom style="dotted">
        <color rgb="FF000000"/>
      </bottom>
    </border>
    <border>
      <right style="medium">
        <color rgb="FF000000"/>
      </right>
      <bottom style="dotted">
        <color rgb="FF000000"/>
      </bottom>
    </border>
    <border>
      <right style="medium">
        <color rgb="FF000000"/>
      </right>
    </border>
    <border>
      <left style="medium">
        <color rgb="FF000000"/>
      </left>
      <top style="dotted">
        <color rgb="FF000000"/>
      </top>
      <bottom style="dotted">
        <color rgb="FF000000"/>
      </bottom>
    </border>
    <border>
      <left style="medium">
        <color rgb="FF000000"/>
      </left>
      <bottom style="dotted">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top style="thin">
        <color rgb="FFCCCCCC"/>
      </top>
      <bottom style="thin">
        <color rgb="FFCCCCCC"/>
      </bottom>
    </border>
    <border>
      <right style="medium">
        <color rgb="FF000000"/>
      </right>
      <top style="thin">
        <color rgb="FFCCCCCC"/>
      </top>
      <bottom style="thin">
        <color rgb="FFCCCCCC"/>
      </bottom>
    </border>
    <border>
      <left style="medium">
        <color rgb="FF000000"/>
      </left>
      <top style="thin">
        <color rgb="FFCCCCCC"/>
      </top>
    </border>
    <border>
      <top style="thin">
        <color rgb="FFCCCCCC"/>
      </top>
    </border>
    <border>
      <right style="medium">
        <color rgb="FF000000"/>
      </right>
      <top style="thin">
        <color rgb="FFCCCCCC"/>
      </top>
    </border>
  </borders>
  <cellStyleXfs count="1">
    <xf borderId="0" fillId="0" fontId="0" numFmtId="0" applyAlignment="1" applyFont="1"/>
  </cellStyleXfs>
  <cellXfs count="138">
    <xf borderId="0" fillId="0" fontId="0" numFmtId="0" xfId="0" applyAlignment="1" applyFont="1">
      <alignment readingOrder="0" shrinkToFit="0" vertical="bottom" wrapText="0"/>
    </xf>
    <xf borderId="0" fillId="0" fontId="1" numFmtId="0" xfId="0" applyAlignment="1" applyFont="1">
      <alignment vertical="center"/>
    </xf>
    <xf borderId="0" fillId="0" fontId="1" numFmtId="0" xfId="0" applyAlignment="1" applyFont="1">
      <alignment horizontal="left" readingOrder="0" vertical="center"/>
    </xf>
    <xf borderId="1" fillId="0" fontId="2" numFmtId="0" xfId="0" applyAlignment="1" applyBorder="1" applyFont="1">
      <alignment horizontal="center" readingOrder="0" vertical="center"/>
    </xf>
    <xf borderId="2" fillId="0" fontId="3" numFmtId="0" xfId="0" applyBorder="1" applyFont="1"/>
    <xf borderId="3" fillId="0" fontId="3" numFmtId="0" xfId="0" applyBorder="1" applyFont="1"/>
    <xf borderId="0" fillId="0" fontId="1" numFmtId="0" xfId="0" applyAlignment="1" applyFont="1">
      <alignment horizontal="center" readingOrder="0" shrinkToFit="0" vertical="center" wrapText="1"/>
    </xf>
    <xf borderId="4" fillId="0" fontId="2" numFmtId="0" xfId="0" applyAlignment="1" applyBorder="1" applyFont="1">
      <alignment horizontal="center" readingOrder="0" vertical="center"/>
    </xf>
    <xf borderId="5" fillId="0" fontId="3" numFmtId="0" xfId="0" applyBorder="1" applyFont="1"/>
    <xf borderId="6" fillId="0" fontId="3" numFmtId="0" xfId="0" applyBorder="1" applyFont="1"/>
    <xf borderId="7" fillId="0" fontId="1" numFmtId="0" xfId="0" applyAlignment="1" applyBorder="1" applyFont="1">
      <alignment horizontal="left" readingOrder="0" vertical="center"/>
    </xf>
    <xf borderId="8" fillId="0" fontId="4" numFmtId="0" xfId="0" applyAlignment="1" applyBorder="1" applyFont="1">
      <alignment horizontal="left" readingOrder="0" vertical="center"/>
    </xf>
    <xf borderId="8" fillId="0" fontId="5" numFmtId="0" xfId="0" applyAlignment="1" applyBorder="1" applyFont="1">
      <alignment horizontal="left" readingOrder="0" vertical="center"/>
    </xf>
    <xf borderId="8" fillId="0" fontId="3" numFmtId="0" xfId="0" applyBorder="1" applyFont="1"/>
    <xf borderId="9" fillId="0" fontId="3" numFmtId="0" xfId="0" applyBorder="1" applyFont="1"/>
    <xf borderId="10" fillId="2" fontId="1" numFmtId="0" xfId="0" applyAlignment="1" applyBorder="1" applyFill="1" applyFont="1">
      <alignment horizontal="center" readingOrder="0" vertical="center"/>
    </xf>
    <xf borderId="11" fillId="2" fontId="1" numFmtId="0" xfId="0" applyAlignment="1" applyBorder="1" applyFont="1">
      <alignment horizontal="center" readingOrder="0" vertical="center"/>
    </xf>
    <xf borderId="12" fillId="2" fontId="1" numFmtId="0" xfId="0" applyAlignment="1" applyBorder="1" applyFont="1">
      <alignment horizontal="center" readingOrder="0" vertical="center"/>
    </xf>
    <xf borderId="4" fillId="3" fontId="6" numFmtId="0" xfId="0" applyAlignment="1" applyBorder="1" applyFill="1" applyFont="1">
      <alignment horizontal="center"/>
    </xf>
    <xf borderId="5" fillId="3" fontId="6" numFmtId="0" xfId="0" applyAlignment="1" applyBorder="1" applyFont="1">
      <alignment horizontal="center" readingOrder="0" vertical="center"/>
    </xf>
    <xf borderId="5" fillId="0" fontId="7" numFmtId="0" xfId="0" applyAlignment="1" applyBorder="1" applyFont="1">
      <alignment horizontal="left" readingOrder="0" vertical="center"/>
    </xf>
    <xf borderId="6" fillId="4" fontId="8" numFmtId="0" xfId="0" applyAlignment="1" applyBorder="1" applyFill="1" applyFont="1">
      <alignment horizontal="left" readingOrder="0" vertical="center"/>
    </xf>
    <xf borderId="13" fillId="0" fontId="1" numFmtId="0" xfId="0" applyAlignment="1" applyBorder="1" applyFont="1">
      <alignment horizontal="left" readingOrder="0" vertical="center"/>
    </xf>
    <xf borderId="8" fillId="0" fontId="9" numFmtId="0" xfId="0" applyAlignment="1" applyBorder="1" applyFont="1">
      <alignment horizontal="left" readingOrder="0" vertical="center"/>
    </xf>
    <xf borderId="14" fillId="4" fontId="10" numFmtId="0" xfId="0" applyAlignment="1" applyBorder="1" applyFont="1">
      <alignment horizontal="center" readingOrder="0" vertical="center"/>
    </xf>
    <xf borderId="15" fillId="4" fontId="10" numFmtId="164" xfId="0" applyAlignment="1" applyBorder="1" applyFont="1" applyNumberFormat="1">
      <alignment horizontal="center" readingOrder="0" vertical="center"/>
    </xf>
    <xf borderId="16" fillId="4" fontId="10" numFmtId="0" xfId="0" applyAlignment="1" applyBorder="1" applyFont="1">
      <alignment horizontal="left" readingOrder="0" vertical="center"/>
    </xf>
    <xf borderId="14" fillId="3" fontId="6" numFmtId="0" xfId="0" applyAlignment="1" applyBorder="1" applyFont="1">
      <alignment horizontal="center"/>
    </xf>
    <xf borderId="0" fillId="3" fontId="6" numFmtId="0" xfId="0" applyAlignment="1" applyFont="1">
      <alignment horizontal="center" readingOrder="0" vertical="center"/>
    </xf>
    <xf borderId="0" fillId="0" fontId="7" numFmtId="0" xfId="0" applyAlignment="1" applyFont="1">
      <alignment horizontal="left" readingOrder="0" vertical="center"/>
    </xf>
    <xf borderId="17" fillId="4" fontId="8" numFmtId="0" xfId="0" applyAlignment="1" applyBorder="1" applyFont="1">
      <alignment horizontal="left" readingOrder="0" vertical="center"/>
    </xf>
    <xf borderId="18" fillId="4" fontId="10" numFmtId="0" xfId="0" applyAlignment="1" applyBorder="1" applyFont="1">
      <alignment horizontal="center" readingOrder="0" vertical="center"/>
    </xf>
    <xf borderId="8" fillId="0" fontId="9" numFmtId="165" xfId="0" applyAlignment="1" applyBorder="1" applyFont="1" applyNumberFormat="1">
      <alignment horizontal="left" readingOrder="0" vertical="center"/>
    </xf>
    <xf borderId="8" fillId="0" fontId="9" numFmtId="166" xfId="0" applyAlignment="1" applyBorder="1" applyFont="1" applyNumberFormat="1">
      <alignment horizontal="left" readingOrder="0" vertical="center"/>
    </xf>
    <xf borderId="9" fillId="0" fontId="9" numFmtId="167" xfId="0" applyAlignment="1" applyBorder="1" applyFont="1" applyNumberFormat="1">
      <alignment horizontal="left" readingOrder="0" vertical="center"/>
    </xf>
    <xf borderId="19" fillId="0" fontId="3" numFmtId="0" xfId="0" applyBorder="1" applyFont="1"/>
    <xf borderId="0" fillId="3" fontId="11" numFmtId="0" xfId="0" applyAlignment="1" applyFont="1">
      <alignment horizontal="center" readingOrder="0" vertical="center"/>
    </xf>
    <xf borderId="8" fillId="0" fontId="9" numFmtId="167" xfId="0" applyAlignment="1" applyBorder="1" applyFont="1" applyNumberFormat="1">
      <alignment horizontal="left" readingOrder="0" vertical="center"/>
    </xf>
    <xf borderId="20" fillId="2" fontId="1" numFmtId="0" xfId="0" applyAlignment="1" applyBorder="1" applyFont="1">
      <alignment horizontal="center" readingOrder="0" vertical="center"/>
    </xf>
    <xf borderId="21" fillId="2" fontId="1" numFmtId="164" xfId="0" applyAlignment="1" applyBorder="1" applyFont="1" applyNumberFormat="1">
      <alignment horizontal="center" readingOrder="0" vertical="center"/>
    </xf>
    <xf borderId="22" fillId="2" fontId="1" numFmtId="168" xfId="0" applyAlignment="1" applyBorder="1" applyFont="1" applyNumberFormat="1">
      <alignment horizontal="center" readingOrder="0" vertical="center"/>
    </xf>
    <xf borderId="8" fillId="0" fontId="9" numFmtId="0" xfId="0" applyAlignment="1" applyBorder="1" applyFont="1">
      <alignment horizontal="left" readingOrder="0" vertical="center"/>
    </xf>
    <xf borderId="9" fillId="0" fontId="9" numFmtId="0" xfId="0" applyAlignment="1" applyBorder="1" applyFont="1">
      <alignment horizontal="left" readingOrder="0" vertical="center"/>
    </xf>
    <xf borderId="8" fillId="0" fontId="12" numFmtId="0" xfId="0" applyAlignment="1" applyBorder="1" applyFont="1">
      <alignment horizontal="left" readingOrder="0" vertical="center"/>
    </xf>
    <xf borderId="20" fillId="3" fontId="6" numFmtId="0" xfId="0" applyAlignment="1" applyBorder="1" applyFont="1">
      <alignment horizontal="center"/>
    </xf>
    <xf borderId="21" fillId="3" fontId="11" numFmtId="0" xfId="0" applyAlignment="1" applyBorder="1" applyFont="1">
      <alignment horizontal="center" readingOrder="0" vertical="center"/>
    </xf>
    <xf borderId="21" fillId="0" fontId="7" numFmtId="0" xfId="0" applyAlignment="1" applyBorder="1" applyFont="1">
      <alignment horizontal="left" readingOrder="0" vertical="center"/>
    </xf>
    <xf borderId="22" fillId="4" fontId="8" numFmtId="0" xfId="0" applyAlignment="1" applyBorder="1" applyFont="1">
      <alignment horizontal="left" readingOrder="0" vertical="center"/>
    </xf>
    <xf borderId="9" fillId="0" fontId="9" numFmtId="169" xfId="0" applyAlignment="1" applyBorder="1" applyFont="1" applyNumberFormat="1">
      <alignment horizontal="left" readingOrder="0" vertical="center"/>
    </xf>
    <xf borderId="13" fillId="0" fontId="13" numFmtId="0" xfId="0" applyAlignment="1" applyBorder="1" applyFont="1">
      <alignment horizontal="left" readingOrder="0" vertical="center"/>
    </xf>
    <xf borderId="23" fillId="0" fontId="14" numFmtId="164" xfId="0" applyAlignment="1" applyBorder="1" applyFont="1" applyNumberFormat="1">
      <alignment horizontal="left" readingOrder="0" vertical="center"/>
    </xf>
    <xf borderId="24" fillId="0" fontId="3" numFmtId="0" xfId="0" applyBorder="1" applyFont="1"/>
    <xf borderId="4" fillId="5" fontId="6" numFmtId="0" xfId="0" applyAlignment="1" applyBorder="1" applyFill="1" applyFont="1">
      <alignment horizontal="center"/>
    </xf>
    <xf borderId="5" fillId="5" fontId="6" numFmtId="0" xfId="0" applyAlignment="1" applyBorder="1" applyFont="1">
      <alignment horizontal="center" readingOrder="0" vertical="center"/>
    </xf>
    <xf borderId="9" fillId="0" fontId="9" numFmtId="169" xfId="0" applyAlignment="1" applyBorder="1" applyFont="1" applyNumberFormat="1">
      <alignment horizontal="left" readingOrder="0" vertical="center"/>
    </xf>
    <xf borderId="14" fillId="5" fontId="6" numFmtId="0" xfId="0" applyAlignment="1" applyBorder="1" applyFont="1">
      <alignment horizontal="center"/>
    </xf>
    <xf borderId="0" fillId="5" fontId="6" numFmtId="0" xfId="0" applyAlignment="1" applyFont="1">
      <alignment horizontal="center" readingOrder="0" vertical="center"/>
    </xf>
    <xf borderId="8" fillId="0" fontId="9" numFmtId="170" xfId="0" applyAlignment="1" applyBorder="1" applyFont="1" applyNumberFormat="1">
      <alignment horizontal="left" readingOrder="0" vertical="center"/>
    </xf>
    <xf borderId="20" fillId="0" fontId="13" numFmtId="0" xfId="0" applyAlignment="1" applyBorder="1" applyFont="1">
      <alignment horizontal="left" readingOrder="0" vertical="center"/>
    </xf>
    <xf borderId="21" fillId="0" fontId="15" numFmtId="164" xfId="0" applyAlignment="1" applyBorder="1" applyFont="1" applyNumberFormat="1">
      <alignment horizontal="left" readingOrder="0" vertical="center"/>
    </xf>
    <xf borderId="22" fillId="0" fontId="3" numFmtId="0" xfId="0" applyBorder="1" applyFont="1"/>
    <xf borderId="0" fillId="5" fontId="11" numFmtId="0" xfId="0" applyAlignment="1" applyFont="1">
      <alignment horizontal="center" readingOrder="0" vertical="center"/>
    </xf>
    <xf borderId="25" fillId="0" fontId="1" numFmtId="0" xfId="0" applyAlignment="1" applyBorder="1" applyFont="1">
      <alignment horizontal="left" readingOrder="0" vertical="center"/>
    </xf>
    <xf borderId="26" fillId="0" fontId="1" numFmtId="0" xfId="0" applyAlignment="1" applyBorder="1" applyFont="1">
      <alignment horizontal="left" readingOrder="0" vertical="center"/>
    </xf>
    <xf borderId="26" fillId="0" fontId="9" numFmtId="0" xfId="0" applyAlignment="1" applyBorder="1" applyFont="1">
      <alignment horizontal="left" readingOrder="0" shrinkToFit="0" vertical="center" wrapText="1"/>
    </xf>
    <xf borderId="26" fillId="0" fontId="3" numFmtId="0" xfId="0" applyBorder="1" applyFont="1"/>
    <xf borderId="27" fillId="0" fontId="3" numFmtId="0" xfId="0" applyBorder="1" applyFont="1"/>
    <xf borderId="14" fillId="0" fontId="3" numFmtId="0" xfId="0" applyBorder="1" applyFont="1"/>
    <xf borderId="17" fillId="0" fontId="3" numFmtId="0" xfId="0" applyBorder="1" applyFont="1"/>
    <xf borderId="20" fillId="0" fontId="3" numFmtId="0" xfId="0" applyBorder="1" applyFont="1"/>
    <xf borderId="21" fillId="0" fontId="3" numFmtId="0" xfId="0" applyBorder="1" applyFont="1"/>
    <xf borderId="20" fillId="5" fontId="6" numFmtId="0" xfId="0" applyAlignment="1" applyBorder="1" applyFont="1">
      <alignment horizontal="center"/>
    </xf>
    <xf borderId="21" fillId="5" fontId="11" numFmtId="0" xfId="0" applyAlignment="1" applyBorder="1" applyFont="1">
      <alignment horizontal="center" readingOrder="0" vertical="center"/>
    </xf>
    <xf borderId="0" fillId="0" fontId="9" numFmtId="0" xfId="0" applyAlignment="1" applyFont="1">
      <alignment readingOrder="0" vertical="center"/>
    </xf>
    <xf borderId="0" fillId="5" fontId="1" numFmtId="0" xfId="0" applyAlignment="1" applyFont="1">
      <alignment horizontal="center" readingOrder="0" vertical="center"/>
    </xf>
    <xf borderId="0" fillId="0" fontId="9" numFmtId="0" xfId="0" applyAlignment="1" applyFont="1">
      <alignment vertical="center"/>
    </xf>
    <xf borderId="0" fillId="6" fontId="9" numFmtId="0" xfId="0" applyAlignment="1" applyFill="1" applyFont="1">
      <alignment vertical="center"/>
    </xf>
    <xf borderId="0" fillId="3" fontId="1" numFmtId="0" xfId="0" applyAlignment="1" applyFont="1">
      <alignment horizontal="center" readingOrder="0" vertical="center"/>
    </xf>
    <xf borderId="0" fillId="0" fontId="16" numFmtId="0" xfId="0" applyAlignment="1" applyFont="1">
      <alignment horizontal="center" readingOrder="0" vertical="center"/>
    </xf>
    <xf borderId="0" fillId="0" fontId="16" numFmtId="0" xfId="0" applyAlignment="1" applyFont="1">
      <alignment horizontal="center" vertical="center"/>
    </xf>
    <xf borderId="0" fillId="6" fontId="16" numFmtId="0" xfId="0" applyAlignment="1" applyFont="1">
      <alignment horizontal="center" readingOrder="0" vertical="center"/>
    </xf>
    <xf borderId="0" fillId="0" fontId="17" numFmtId="0" xfId="0" applyAlignment="1" applyFont="1">
      <alignment horizontal="center" readingOrder="0" vertical="center"/>
    </xf>
    <xf borderId="0" fillId="6" fontId="17" numFmtId="0" xfId="0" applyAlignment="1" applyFont="1">
      <alignment horizontal="center" readingOrder="0" vertical="center"/>
    </xf>
    <xf borderId="0" fillId="7" fontId="10" numFmtId="0" xfId="0" applyAlignment="1" applyFill="1" applyFont="1">
      <alignment horizontal="center" readingOrder="0" vertical="center"/>
    </xf>
    <xf borderId="0" fillId="8" fontId="16" numFmtId="0" xfId="0" applyAlignment="1" applyFill="1" applyFont="1">
      <alignment horizontal="center" readingOrder="0" vertical="center"/>
    </xf>
    <xf borderId="0" fillId="9" fontId="16" numFmtId="0" xfId="0" applyAlignment="1" applyFill="1" applyFont="1">
      <alignment horizontal="center" vertical="center"/>
    </xf>
    <xf borderId="0" fillId="6" fontId="16" numFmtId="0" xfId="0" applyAlignment="1" applyFont="1">
      <alignment horizontal="center" vertical="center"/>
    </xf>
    <xf borderId="0" fillId="0" fontId="10" numFmtId="0" xfId="0" applyAlignment="1" applyFont="1">
      <alignment horizontal="center" readingOrder="0" vertical="center"/>
    </xf>
    <xf borderId="0" fillId="10" fontId="17" numFmtId="0" xfId="0" applyAlignment="1" applyFill="1" applyFont="1">
      <alignment horizontal="center" readingOrder="0" vertical="center"/>
    </xf>
    <xf borderId="0" fillId="0" fontId="16" numFmtId="0" xfId="0" applyAlignment="1" applyFont="1">
      <alignment vertical="center"/>
    </xf>
    <xf borderId="0" fillId="6" fontId="16" numFmtId="0" xfId="0" applyAlignment="1" applyFont="1">
      <alignment vertical="center"/>
    </xf>
    <xf borderId="0" fillId="0" fontId="17" numFmtId="0" xfId="0" applyAlignment="1" applyFont="1">
      <alignment horizontal="center" readingOrder="0" shrinkToFit="0" vertical="center" wrapText="0"/>
    </xf>
    <xf borderId="0" fillId="11" fontId="17" numFmtId="0" xfId="0" applyAlignment="1" applyFill="1" applyFont="1">
      <alignment horizontal="center" readingOrder="0" vertical="center"/>
    </xf>
    <xf borderId="0" fillId="11" fontId="13" numFmtId="0" xfId="0" applyAlignment="1" applyFont="1">
      <alignment horizontal="center" readingOrder="0" vertical="center"/>
    </xf>
    <xf borderId="0" fillId="11" fontId="17" numFmtId="171" xfId="0" applyAlignment="1" applyFont="1" applyNumberFormat="1">
      <alignment horizontal="center" readingOrder="0" vertical="center"/>
    </xf>
    <xf borderId="21" fillId="11" fontId="17" numFmtId="0" xfId="0" applyAlignment="1" applyBorder="1" applyFont="1">
      <alignment horizontal="center" readingOrder="0" vertical="center"/>
    </xf>
    <xf borderId="21" fillId="11" fontId="13" numFmtId="0" xfId="0" applyAlignment="1" applyBorder="1" applyFont="1">
      <alignment horizontal="center" readingOrder="0" vertical="center"/>
    </xf>
    <xf borderId="5" fillId="12" fontId="10" numFmtId="0" xfId="0" applyAlignment="1" applyBorder="1" applyFill="1" applyFont="1">
      <alignment horizontal="center" readingOrder="0" vertical="center"/>
    </xf>
    <xf borderId="5" fillId="12" fontId="17" numFmtId="171" xfId="0" applyAlignment="1" applyBorder="1" applyFont="1" applyNumberFormat="1">
      <alignment horizontal="center" readingOrder="0" vertical="center"/>
    </xf>
    <xf borderId="0" fillId="12" fontId="10" numFmtId="0" xfId="0" applyAlignment="1" applyFont="1">
      <alignment horizontal="center" readingOrder="0" vertical="center"/>
    </xf>
    <xf borderId="0" fillId="12" fontId="17" numFmtId="171" xfId="0" applyAlignment="1" applyFont="1" applyNumberFormat="1">
      <alignment horizontal="center" readingOrder="0" vertical="center"/>
    </xf>
    <xf borderId="0" fillId="12" fontId="10" numFmtId="0" xfId="0" applyAlignment="1" applyFont="1">
      <alignment horizontal="center"/>
    </xf>
    <xf borderId="0" fillId="12" fontId="17" numFmtId="0" xfId="0" applyAlignment="1" applyFont="1">
      <alignment horizontal="center" readingOrder="0" vertical="center"/>
    </xf>
    <xf borderId="0" fillId="0" fontId="18" numFmtId="0" xfId="0" applyAlignment="1" applyFont="1">
      <alignment horizontal="center" readingOrder="0" shrinkToFit="0" vertical="center" wrapText="1"/>
    </xf>
    <xf borderId="0" fillId="0" fontId="19" numFmtId="0" xfId="0" applyAlignment="1" applyFont="1">
      <alignment horizontal="center" shrinkToFit="0" vertical="center" wrapText="1"/>
    </xf>
    <xf borderId="0" fillId="13" fontId="18" numFmtId="0" xfId="0" applyAlignment="1" applyFill="1" applyFont="1">
      <alignment horizontal="center" readingOrder="0" shrinkToFit="0" vertical="center" wrapText="1"/>
    </xf>
    <xf borderId="0" fillId="10" fontId="18" numFmtId="0" xfId="0" applyAlignment="1" applyFont="1">
      <alignment horizontal="center" readingOrder="0" shrinkToFit="0" vertical="center" wrapText="1"/>
    </xf>
    <xf borderId="21" fillId="10" fontId="18" numFmtId="0" xfId="0" applyAlignment="1" applyBorder="1" applyFont="1">
      <alignment horizontal="center" shrinkToFit="0" vertical="center" wrapText="1"/>
    </xf>
    <xf borderId="0" fillId="10" fontId="18" numFmtId="0" xfId="0" applyAlignment="1" applyFont="1">
      <alignment horizontal="center" shrinkToFit="0" vertical="center" wrapText="1"/>
    </xf>
    <xf borderId="0" fillId="0" fontId="20" numFmtId="0" xfId="0" applyAlignment="1" applyFont="1">
      <alignment horizontal="center" readingOrder="0" shrinkToFit="0" vertical="center" wrapText="1"/>
    </xf>
    <xf borderId="0" fillId="14" fontId="21" numFmtId="0" xfId="0" applyAlignment="1" applyFill="1" applyFont="1">
      <alignment horizontal="center" readingOrder="0" shrinkToFit="0" vertical="center" wrapText="1"/>
    </xf>
    <xf borderId="0" fillId="0" fontId="21" numFmtId="0" xfId="0" applyAlignment="1" applyFont="1">
      <alignment horizontal="center" readingOrder="0" shrinkToFit="0" vertical="center" wrapText="1"/>
    </xf>
    <xf borderId="0" fillId="15" fontId="21" numFmtId="0" xfId="0" applyAlignment="1" applyFill="1" applyFont="1">
      <alignment horizontal="center" readingOrder="0" shrinkToFit="0" vertical="center" wrapText="1"/>
    </xf>
    <xf borderId="0" fillId="16" fontId="22" numFmtId="0" xfId="0" applyAlignment="1" applyFill="1" applyFont="1">
      <alignment shrinkToFit="0" vertical="center" wrapText="1"/>
    </xf>
    <xf borderId="5" fillId="0" fontId="10" numFmtId="0" xfId="0" applyAlignment="1" applyBorder="1" applyFont="1">
      <alignment horizontal="center" readingOrder="0" shrinkToFit="0" vertical="center" wrapText="1"/>
    </xf>
    <xf borderId="5" fillId="0" fontId="10" numFmtId="0" xfId="0" applyAlignment="1" applyBorder="1" applyFont="1">
      <alignment horizontal="left" readingOrder="0" shrinkToFit="0" vertical="center" wrapText="1"/>
    </xf>
    <xf borderId="5" fillId="0" fontId="8" numFmtId="172" xfId="0" applyAlignment="1" applyBorder="1" applyFont="1" applyNumberFormat="1">
      <alignment horizontal="center" readingOrder="0" shrinkToFit="0" vertical="center" wrapText="1"/>
    </xf>
    <xf borderId="5" fillId="0" fontId="10" numFmtId="173" xfId="0" applyAlignment="1" applyBorder="1" applyFont="1" applyNumberFormat="1">
      <alignment horizontal="center" readingOrder="0" shrinkToFit="0" vertical="center" wrapText="1"/>
    </xf>
    <xf borderId="5" fillId="0" fontId="10" numFmtId="174" xfId="0" applyAlignment="1" applyBorder="1" applyFont="1" applyNumberFormat="1">
      <alignment horizontal="center" readingOrder="0" shrinkToFit="0" vertical="center" wrapText="1"/>
    </xf>
    <xf borderId="0" fillId="0" fontId="10" numFmtId="0" xfId="0" applyAlignment="1" applyFont="1">
      <alignment horizontal="center" readingOrder="0" shrinkToFit="0" vertical="center" wrapText="1"/>
    </xf>
    <xf borderId="5" fillId="0" fontId="10" numFmtId="0" xfId="0" applyAlignment="1" applyBorder="1" applyFont="1">
      <alignment horizontal="center" shrinkToFit="0" vertical="center" wrapText="1"/>
    </xf>
    <xf borderId="0" fillId="16" fontId="10" numFmtId="0" xfId="0" applyAlignment="1" applyFont="1">
      <alignment shrinkToFit="0" vertical="center" wrapText="1"/>
    </xf>
    <xf borderId="0" fillId="0" fontId="10" numFmtId="0" xfId="0" applyAlignment="1" applyFont="1">
      <alignment horizontal="left" readingOrder="0" shrinkToFit="0" vertical="center" wrapText="1"/>
    </xf>
    <xf borderId="0" fillId="0" fontId="10" numFmtId="173" xfId="0" applyAlignment="1" applyFont="1" applyNumberFormat="1">
      <alignment horizontal="center" readingOrder="0" shrinkToFit="0" vertical="center" wrapText="1"/>
    </xf>
    <xf borderId="0" fillId="0" fontId="10" numFmtId="174" xfId="0" applyAlignment="1" applyFont="1" applyNumberFormat="1">
      <alignment horizontal="center" readingOrder="0" shrinkToFit="0" vertical="center" wrapText="1"/>
    </xf>
    <xf borderId="0" fillId="0" fontId="10" numFmtId="0" xfId="0" applyAlignment="1" applyFont="1">
      <alignment horizontal="center" shrinkToFit="0" vertical="center" wrapText="1"/>
    </xf>
    <xf borderId="21" fillId="0" fontId="10" numFmtId="0" xfId="0" applyAlignment="1" applyBorder="1" applyFont="1">
      <alignment horizontal="center" readingOrder="0" shrinkToFit="0" vertical="center" wrapText="1"/>
    </xf>
    <xf borderId="21" fillId="0" fontId="10" numFmtId="0" xfId="0" applyAlignment="1" applyBorder="1" applyFont="1">
      <alignment horizontal="left" readingOrder="0" shrinkToFit="0" vertical="center" wrapText="1"/>
    </xf>
    <xf borderId="21" fillId="0" fontId="10" numFmtId="173" xfId="0" applyAlignment="1" applyBorder="1" applyFont="1" applyNumberFormat="1">
      <alignment horizontal="center" readingOrder="0" shrinkToFit="0" vertical="center" wrapText="1"/>
    </xf>
    <xf borderId="21" fillId="0" fontId="10" numFmtId="174" xfId="0" applyAlignment="1" applyBorder="1" applyFont="1" applyNumberFormat="1">
      <alignment horizontal="center" readingOrder="0" shrinkToFit="0" vertical="center" wrapText="1"/>
    </xf>
    <xf borderId="21" fillId="0" fontId="10" numFmtId="0" xfId="0" applyAlignment="1" applyBorder="1" applyFont="1">
      <alignment horizontal="center" shrinkToFit="0" vertical="center" wrapText="1"/>
    </xf>
    <xf borderId="0" fillId="0" fontId="8" numFmtId="172" xfId="0" applyAlignment="1" applyFont="1" applyNumberFormat="1">
      <alignment horizontal="center" readingOrder="0" shrinkToFit="0" vertical="center" wrapText="1"/>
    </xf>
    <xf borderId="0" fillId="0" fontId="19" numFmtId="0" xfId="0" applyAlignment="1" applyFont="1">
      <alignment horizontal="left" readingOrder="0"/>
    </xf>
    <xf borderId="0" fillId="0" fontId="19" numFmtId="0" xfId="0" applyAlignment="1" applyFont="1">
      <alignment readingOrder="0"/>
    </xf>
    <xf borderId="0" fillId="0" fontId="22" numFmtId="0" xfId="0" applyAlignment="1" applyFont="1">
      <alignment readingOrder="0" vertical="bottom"/>
    </xf>
    <xf borderId="0" fillId="0" fontId="22" numFmtId="0" xfId="0" applyAlignment="1" applyFont="1">
      <alignment horizontal="left" readingOrder="0"/>
    </xf>
    <xf borderId="0" fillId="0" fontId="22" numFmtId="20" xfId="0" applyAlignment="1" applyFont="1" applyNumberFormat="1">
      <alignment readingOrder="0" vertical="bottom"/>
    </xf>
    <xf borderId="0" fillId="0" fontId="22" numFmtId="0" xfId="0" applyAlignment="1" applyFont="1">
      <alignment vertical="bottom"/>
    </xf>
  </cellXfs>
  <cellStyles count="1">
    <cellStyle xfId="0" name="Normal" builtinId="0"/>
  </cellStyles>
  <dxfs count="14">
    <dxf>
      <font>
        <color rgb="FF999999"/>
      </font>
      <fill>
        <patternFill patternType="none"/>
      </fill>
      <border/>
    </dxf>
    <dxf>
      <font>
        <b/>
      </font>
      <fill>
        <patternFill patternType="none"/>
      </fill>
      <border/>
    </dxf>
    <dxf>
      <font>
        <b/>
        <color rgb="FF000000"/>
      </font>
      <fill>
        <patternFill patternType="solid">
          <fgColor rgb="FFB6D7A8"/>
          <bgColor rgb="FFB6D7A8"/>
        </patternFill>
      </fill>
      <border/>
    </dxf>
    <dxf>
      <font>
        <b/>
        <color rgb="FF000000"/>
      </font>
      <fill>
        <patternFill patternType="solid">
          <fgColor rgb="FFEA9999"/>
          <bgColor rgb="FFEA9999"/>
        </patternFill>
      </fill>
      <border/>
    </dxf>
    <dxf>
      <font>
        <b/>
        <color rgb="FF000000"/>
      </font>
      <fill>
        <patternFill patternType="none"/>
      </fill>
      <border/>
    </dxf>
    <dxf>
      <font>
        <b/>
      </font>
      <fill>
        <patternFill patternType="solid">
          <fgColor rgb="FFB6D7A8"/>
          <bgColor rgb="FFB6D7A8"/>
        </patternFill>
      </fill>
      <border/>
    </dxf>
    <dxf>
      <font/>
      <fill>
        <patternFill patternType="solid">
          <fgColor rgb="FF00FF00"/>
          <bgColor rgb="FF00FF00"/>
        </patternFill>
      </fill>
      <border/>
    </dxf>
    <dxf>
      <font>
        <b/>
        <color rgb="FF000000"/>
      </font>
      <fill>
        <patternFill patternType="solid">
          <fgColor rgb="FFF4CCCC"/>
          <bgColor rgb="FFF4CCCC"/>
        </patternFill>
      </fill>
      <border/>
    </dxf>
    <dxf>
      <font>
        <b/>
        <i/>
        <color rgb="FF000000"/>
      </font>
      <fill>
        <patternFill patternType="solid">
          <fgColor rgb="FFD9EAD3"/>
          <bgColor rgb="FFD9EAD3"/>
        </patternFill>
      </fill>
      <border/>
    </dxf>
    <dxf>
      <font>
        <b/>
        <i/>
      </font>
      <fill>
        <patternFill patternType="solid">
          <fgColor rgb="FFF4CCCC"/>
          <bgColor rgb="FFF4CCCC"/>
        </patternFill>
      </fill>
      <border/>
    </dxf>
    <dxf>
      <font>
        <b/>
        <color rgb="FF000000"/>
      </font>
      <fill>
        <patternFill patternType="solid">
          <fgColor rgb="FFFFFFFF"/>
          <bgColor rgb="FFFFFFFF"/>
        </patternFill>
      </fill>
      <border/>
    </dxf>
    <dxf>
      <font/>
      <fill>
        <patternFill patternType="solid">
          <fgColor rgb="FFCCCCCC"/>
          <bgColor rgb="FFCCCCCC"/>
        </patternFill>
      </fill>
      <border/>
    </dxf>
    <dxf>
      <font/>
      <fill>
        <patternFill patternType="solid">
          <fgColor rgb="FFD9EAD3"/>
          <bgColor rgb="FFD9EAD3"/>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jwjc4U7bnwICaWGCoGTtlafeACh060Vy/view" TargetMode="External"/><Relationship Id="rId2" Type="http://schemas.openxmlformats.org/officeDocument/2006/relationships/hyperlink" Target="http://kick.com/CCT_CS3" TargetMode="External"/><Relationship Id="rId3" Type="http://schemas.openxmlformats.org/officeDocument/2006/relationships/hyperlink" Target="http://x.com/CCT_CS" TargetMode="External"/><Relationship Id="rId4" Type="http://schemas.openxmlformats.org/officeDocument/2006/relationships/hyperlink" Target="mailto:support@cct.gg"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showGridLines="0" workbookViewId="0"/>
  </sheetViews>
  <sheetFormatPr customHeight="1" defaultColWidth="12.63" defaultRowHeight="15.75"/>
  <cols>
    <col customWidth="1" min="1" max="1" width="2.25"/>
    <col customWidth="1" min="2" max="2" width="25.5"/>
    <col customWidth="1" min="3" max="3" width="3.0"/>
    <col customWidth="1" min="4" max="4" width="15.5"/>
    <col customWidth="1" min="5" max="5" width="2.5"/>
    <col customWidth="1" min="6" max="6" width="20.0"/>
    <col customWidth="1" min="7" max="7" width="2.25"/>
    <col customWidth="1" min="8" max="8" width="8.13"/>
    <col customWidth="1" min="9" max="9" width="10.25"/>
    <col customWidth="1" min="10" max="10" width="11.63"/>
    <col customWidth="1" min="11" max="11" width="2.25"/>
    <col customWidth="1" min="12" max="12" width="11.63"/>
    <col customWidth="1" min="13" max="13" width="2.75"/>
    <col customWidth="1" min="14" max="14" width="14.0"/>
    <col customWidth="1" min="15" max="15" width="15.0"/>
    <col customWidth="1" min="16" max="16" width="2.25"/>
  </cols>
  <sheetData>
    <row r="1" ht="9.75" customHeight="1">
      <c r="A1" s="1"/>
      <c r="B1" s="2"/>
      <c r="C1" s="2"/>
      <c r="D1" s="2"/>
      <c r="E1" s="2"/>
      <c r="F1" s="2"/>
      <c r="G1" s="1"/>
      <c r="H1" s="1"/>
      <c r="I1" s="1"/>
      <c r="J1" s="1"/>
      <c r="K1" s="1"/>
      <c r="L1" s="1"/>
      <c r="M1" s="1"/>
      <c r="N1" s="1"/>
      <c r="O1" s="1"/>
      <c r="P1" s="1"/>
    </row>
    <row r="2" ht="18.75" customHeight="1">
      <c r="A2" s="1"/>
      <c r="B2" s="3" t="s">
        <v>0</v>
      </c>
      <c r="C2" s="4"/>
      <c r="D2" s="4"/>
      <c r="E2" s="4"/>
      <c r="F2" s="5"/>
      <c r="G2" s="6"/>
      <c r="H2" s="7" t="s">
        <v>1</v>
      </c>
      <c r="I2" s="8"/>
      <c r="J2" s="9"/>
      <c r="K2" s="6"/>
      <c r="L2" s="7" t="s">
        <v>2</v>
      </c>
      <c r="M2" s="8"/>
      <c r="N2" s="8"/>
      <c r="O2" s="9"/>
      <c r="P2" s="1"/>
    </row>
    <row r="3" ht="18.75" customHeight="1">
      <c r="A3" s="1"/>
      <c r="B3" s="10" t="s">
        <v>3</v>
      </c>
      <c r="C3" s="11" t="s">
        <v>4</v>
      </c>
      <c r="D3" s="12" t="s">
        <v>5</v>
      </c>
      <c r="E3" s="13"/>
      <c r="F3" s="14"/>
      <c r="G3" s="6"/>
      <c r="H3" s="15" t="s">
        <v>6</v>
      </c>
      <c r="I3" s="16" t="s">
        <v>7</v>
      </c>
      <c r="J3" s="17" t="s">
        <v>8</v>
      </c>
      <c r="K3" s="6"/>
      <c r="L3" s="18" t="s">
        <v>9</v>
      </c>
      <c r="M3" s="19">
        <v>1.0</v>
      </c>
      <c r="N3" s="20" t="s">
        <v>10</v>
      </c>
      <c r="O3" s="21" t="s">
        <v>11</v>
      </c>
      <c r="P3" s="1"/>
    </row>
    <row r="4" ht="18.75" customHeight="1">
      <c r="A4" s="1"/>
      <c r="B4" s="22" t="s">
        <v>12</v>
      </c>
      <c r="C4" s="11" t="s">
        <v>4</v>
      </c>
      <c r="D4" s="23" t="s">
        <v>13</v>
      </c>
      <c r="E4" s="13"/>
      <c r="F4" s="14"/>
      <c r="G4" s="6"/>
      <c r="H4" s="24" t="s">
        <v>14</v>
      </c>
      <c r="I4" s="25">
        <v>7500.0</v>
      </c>
      <c r="J4" s="26" t="str">
        <f>Bracket!AL19</f>
        <v/>
      </c>
      <c r="K4" s="6"/>
      <c r="L4" s="27" t="s">
        <v>9</v>
      </c>
      <c r="M4" s="28">
        <v>2.0</v>
      </c>
      <c r="N4" s="29" t="s">
        <v>10</v>
      </c>
      <c r="O4" s="30" t="s">
        <v>15</v>
      </c>
      <c r="P4" s="1"/>
    </row>
    <row r="5" ht="18.75" customHeight="1">
      <c r="A5" s="1"/>
      <c r="B5" s="22" t="s">
        <v>16</v>
      </c>
      <c r="C5" s="11" t="s">
        <v>4</v>
      </c>
      <c r="D5" s="23" t="s">
        <v>17</v>
      </c>
      <c r="E5" s="13"/>
      <c r="F5" s="14"/>
      <c r="G5" s="6"/>
      <c r="H5" s="31" t="s">
        <v>18</v>
      </c>
      <c r="I5" s="25">
        <v>4000.0</v>
      </c>
      <c r="J5" s="26" t="str">
        <f>IFS(OR(Bracket!AJ11=2, Bracket!AJ11="FFW"),Bracket!AI27,OR(Bracket!AJ27=2, Bracket!AJ27="FFW"),Bracket!AI11,TRUE,"")
</f>
        <v/>
      </c>
      <c r="K5" s="6"/>
      <c r="L5" s="27" t="s">
        <v>9</v>
      </c>
      <c r="M5" s="28">
        <v>3.0</v>
      </c>
      <c r="N5" s="29" t="s">
        <v>10</v>
      </c>
      <c r="O5" s="30" t="s">
        <v>19</v>
      </c>
      <c r="P5" s="1"/>
    </row>
    <row r="6" ht="18.75" customHeight="1">
      <c r="A6" s="1"/>
      <c r="B6" s="22" t="s">
        <v>20</v>
      </c>
      <c r="C6" s="11" t="s">
        <v>4</v>
      </c>
      <c r="D6" s="32">
        <f>I8</f>
        <v>15000</v>
      </c>
      <c r="E6" s="13"/>
      <c r="F6" s="14"/>
      <c r="G6" s="6"/>
      <c r="H6" s="24" t="s">
        <v>21</v>
      </c>
      <c r="I6" s="25">
        <v>1750.0</v>
      </c>
      <c r="J6" s="26" t="str">
        <f>IFS(OR(Bracket!AG7=2, Bracket!AG7="FFW"),Bracket!AF15,OR(Bracket!AG15=2, Bracket!AG15="FFW"),Bracket!AF7,TRUE,"")
</f>
        <v/>
      </c>
      <c r="K6" s="6"/>
      <c r="L6" s="27" t="s">
        <v>9</v>
      </c>
      <c r="M6" s="28">
        <v>4.0</v>
      </c>
      <c r="N6" s="29" t="s">
        <v>10</v>
      </c>
      <c r="O6" s="30" t="s">
        <v>22</v>
      </c>
      <c r="P6" s="1"/>
    </row>
    <row r="7" ht="18.75" customHeight="1">
      <c r="A7" s="1"/>
      <c r="B7" s="22" t="s">
        <v>23</v>
      </c>
      <c r="C7" s="11" t="s">
        <v>4</v>
      </c>
      <c r="D7" s="33">
        <v>46178.0</v>
      </c>
      <c r="E7" s="23" t="s">
        <v>24</v>
      </c>
      <c r="F7" s="34">
        <f>D7</f>
        <v>46178</v>
      </c>
      <c r="G7" s="6"/>
      <c r="H7" s="35"/>
      <c r="I7" s="25">
        <v>1750.0</v>
      </c>
      <c r="J7" s="26" t="str">
        <f>IFS(OR(Bracket!AG23=2, Bracket!AG23="FFW"),Bracket!AF31,OR(Bracket!AG31=2, Bracket!AG31="FFW"),Bracket!AF23,TRUE,"")
</f>
        <v/>
      </c>
      <c r="K7" s="6"/>
      <c r="L7" s="27" t="s">
        <v>9</v>
      </c>
      <c r="M7" s="36">
        <v>5.0</v>
      </c>
      <c r="N7" s="29" t="s">
        <v>10</v>
      </c>
      <c r="O7" s="30" t="s">
        <v>25</v>
      </c>
      <c r="P7" s="1"/>
    </row>
    <row r="8" ht="18.75" customHeight="1">
      <c r="A8" s="1"/>
      <c r="B8" s="22" t="s">
        <v>26</v>
      </c>
      <c r="C8" s="11" t="s">
        <v>4</v>
      </c>
      <c r="D8" s="37">
        <f>F7</f>
        <v>46178</v>
      </c>
      <c r="E8" s="13"/>
      <c r="F8" s="14"/>
      <c r="G8" s="6"/>
      <c r="H8" s="38" t="s">
        <v>7</v>
      </c>
      <c r="I8" s="39">
        <f>SUM(I4:I7)</f>
        <v>15000</v>
      </c>
      <c r="J8" s="40"/>
      <c r="K8" s="6"/>
      <c r="L8" s="27" t="s">
        <v>9</v>
      </c>
      <c r="M8" s="36">
        <v>6.0</v>
      </c>
      <c r="N8" s="29" t="s">
        <v>10</v>
      </c>
      <c r="O8" s="30" t="s">
        <v>27</v>
      </c>
      <c r="P8" s="1"/>
    </row>
    <row r="9" ht="18.75" customHeight="1">
      <c r="A9" s="1"/>
      <c r="B9" s="22" t="s">
        <v>28</v>
      </c>
      <c r="C9" s="11" t="s">
        <v>4</v>
      </c>
      <c r="D9" s="41" t="s">
        <v>29</v>
      </c>
      <c r="E9" s="23" t="s">
        <v>30</v>
      </c>
      <c r="F9" s="42" t="s">
        <v>31</v>
      </c>
      <c r="G9" s="6"/>
      <c r="H9" s="2"/>
      <c r="I9" s="2"/>
      <c r="J9" s="2"/>
      <c r="K9" s="6"/>
      <c r="L9" s="27" t="s">
        <v>9</v>
      </c>
      <c r="M9" s="36">
        <v>7.0</v>
      </c>
      <c r="N9" s="29" t="s">
        <v>10</v>
      </c>
      <c r="O9" s="30" t="s">
        <v>32</v>
      </c>
      <c r="P9" s="1"/>
    </row>
    <row r="10" ht="18.75" customHeight="1">
      <c r="A10" s="1"/>
      <c r="B10" s="22" t="s">
        <v>33</v>
      </c>
      <c r="C10" s="11" t="s">
        <v>4</v>
      </c>
      <c r="D10" s="43" t="s">
        <v>34</v>
      </c>
      <c r="E10" s="13"/>
      <c r="F10" s="14"/>
      <c r="G10" s="6"/>
      <c r="H10" s="7" t="s">
        <v>35</v>
      </c>
      <c r="I10" s="8"/>
      <c r="J10" s="9"/>
      <c r="K10" s="6"/>
      <c r="L10" s="44" t="s">
        <v>9</v>
      </c>
      <c r="M10" s="45">
        <v>8.0</v>
      </c>
      <c r="N10" s="46" t="s">
        <v>10</v>
      </c>
      <c r="O10" s="47" t="s">
        <v>36</v>
      </c>
      <c r="P10" s="1"/>
    </row>
    <row r="11" ht="18.75" customHeight="1">
      <c r="A11" s="1"/>
      <c r="B11" s="22" t="s">
        <v>37</v>
      </c>
      <c r="C11" s="11" t="s">
        <v>4</v>
      </c>
      <c r="D11" s="41"/>
      <c r="E11" s="41" t="s">
        <v>38</v>
      </c>
      <c r="F11" s="48">
        <v>46073.0</v>
      </c>
      <c r="G11" s="6"/>
      <c r="H11" s="49" t="s">
        <v>39</v>
      </c>
      <c r="I11" s="50" t="s">
        <v>40</v>
      </c>
      <c r="J11" s="51"/>
      <c r="K11" s="6"/>
      <c r="L11" s="52" t="s">
        <v>41</v>
      </c>
      <c r="M11" s="53">
        <v>1.0</v>
      </c>
      <c r="N11" s="20" t="s">
        <v>10</v>
      </c>
      <c r="O11" s="21" t="s">
        <v>42</v>
      </c>
      <c r="P11" s="1"/>
    </row>
    <row r="12" ht="18.75" customHeight="1">
      <c r="A12" s="1"/>
      <c r="B12" s="22" t="s">
        <v>43</v>
      </c>
      <c r="C12" s="11" t="s">
        <v>4</v>
      </c>
      <c r="D12" s="41"/>
      <c r="E12" s="41" t="s">
        <v>38</v>
      </c>
      <c r="F12" s="54">
        <v>46073.0</v>
      </c>
      <c r="G12" s="1"/>
      <c r="H12" s="49" t="s">
        <v>44</v>
      </c>
      <c r="I12" s="50" t="s">
        <v>45</v>
      </c>
      <c r="J12" s="51"/>
      <c r="K12" s="1"/>
      <c r="L12" s="55" t="s">
        <v>41</v>
      </c>
      <c r="M12" s="56">
        <v>2.0</v>
      </c>
      <c r="N12" s="29" t="s">
        <v>10</v>
      </c>
      <c r="O12" s="30" t="s">
        <v>46</v>
      </c>
      <c r="P12" s="1"/>
    </row>
    <row r="13" ht="18.75" customHeight="1">
      <c r="A13" s="1"/>
      <c r="B13" s="22" t="s">
        <v>47</v>
      </c>
      <c r="C13" s="11" t="s">
        <v>4</v>
      </c>
      <c r="D13" s="57"/>
      <c r="E13" s="13"/>
      <c r="F13" s="14"/>
      <c r="G13" s="2"/>
      <c r="H13" s="58" t="s">
        <v>48</v>
      </c>
      <c r="I13" s="59" t="s">
        <v>49</v>
      </c>
      <c r="J13" s="60"/>
      <c r="K13" s="2"/>
      <c r="L13" s="55" t="s">
        <v>41</v>
      </c>
      <c r="M13" s="56">
        <v>3.0</v>
      </c>
      <c r="N13" s="29" t="s">
        <v>10</v>
      </c>
      <c r="O13" s="30" t="s">
        <v>50</v>
      </c>
      <c r="P13" s="1"/>
    </row>
    <row r="14" ht="18.75" customHeight="1">
      <c r="A14" s="1"/>
      <c r="B14" s="22" t="s">
        <v>51</v>
      </c>
      <c r="C14" s="11" t="s">
        <v>4</v>
      </c>
      <c r="D14" s="23" t="s">
        <v>52</v>
      </c>
      <c r="E14" s="13"/>
      <c r="F14" s="14"/>
      <c r="G14" s="2"/>
      <c r="H14" s="2"/>
      <c r="I14" s="2"/>
      <c r="J14" s="2"/>
      <c r="K14" s="2"/>
      <c r="L14" s="55" t="s">
        <v>41</v>
      </c>
      <c r="M14" s="56">
        <v>4.0</v>
      </c>
      <c r="N14" s="29" t="s">
        <v>10</v>
      </c>
      <c r="O14" s="30" t="s">
        <v>53</v>
      </c>
      <c r="P14" s="1"/>
    </row>
    <row r="15" ht="18.75" customHeight="1">
      <c r="A15" s="1"/>
      <c r="B15" s="22" t="s">
        <v>54</v>
      </c>
      <c r="C15" s="11" t="s">
        <v>4</v>
      </c>
      <c r="D15" s="23" t="s">
        <v>55</v>
      </c>
      <c r="E15" s="13"/>
      <c r="F15" s="14"/>
      <c r="G15" s="2"/>
      <c r="H15" s="2"/>
      <c r="I15" s="2"/>
      <c r="J15" s="2"/>
      <c r="K15" s="2" t="s">
        <v>56</v>
      </c>
      <c r="L15" s="55" t="s">
        <v>41</v>
      </c>
      <c r="M15" s="61">
        <v>5.0</v>
      </c>
      <c r="N15" s="29" t="s">
        <v>10</v>
      </c>
      <c r="O15" s="30" t="s">
        <v>57</v>
      </c>
      <c r="P15" s="1"/>
    </row>
    <row r="16" ht="18.75" customHeight="1">
      <c r="A16" s="1"/>
      <c r="B16" s="62" t="s">
        <v>58</v>
      </c>
      <c r="C16" s="63" t="s">
        <v>4</v>
      </c>
      <c r="D16" s="64" t="s">
        <v>59</v>
      </c>
      <c r="E16" s="65"/>
      <c r="F16" s="66"/>
      <c r="G16" s="2"/>
      <c r="H16" s="2"/>
      <c r="I16" s="2"/>
      <c r="J16" s="2"/>
      <c r="K16" s="2" t="s">
        <v>56</v>
      </c>
      <c r="L16" s="55" t="s">
        <v>41</v>
      </c>
      <c r="M16" s="61">
        <v>6.0</v>
      </c>
      <c r="N16" s="29" t="s">
        <v>10</v>
      </c>
      <c r="O16" s="30" t="s">
        <v>60</v>
      </c>
      <c r="P16" s="1"/>
    </row>
    <row r="17" ht="18.75" customHeight="1">
      <c r="A17" s="1"/>
      <c r="B17" s="67"/>
      <c r="F17" s="68"/>
      <c r="G17" s="2"/>
      <c r="H17" s="2"/>
      <c r="I17" s="2"/>
      <c r="J17" s="2"/>
      <c r="K17" s="2" t="s">
        <v>56</v>
      </c>
      <c r="L17" s="55" t="s">
        <v>41</v>
      </c>
      <c r="M17" s="61">
        <v>7.0</v>
      </c>
      <c r="N17" s="29" t="s">
        <v>10</v>
      </c>
      <c r="O17" s="30" t="s">
        <v>61</v>
      </c>
      <c r="P17" s="1"/>
    </row>
    <row r="18" ht="18.75" customHeight="1">
      <c r="A18" s="1"/>
      <c r="B18" s="67"/>
      <c r="F18" s="68"/>
      <c r="G18" s="2"/>
      <c r="H18" s="2"/>
      <c r="I18" s="2"/>
      <c r="J18" s="2"/>
      <c r="K18" s="2"/>
      <c r="L18" s="55" t="s">
        <v>41</v>
      </c>
      <c r="M18" s="61">
        <v>8.0</v>
      </c>
      <c r="N18" s="29" t="s">
        <v>10</v>
      </c>
      <c r="O18" s="30" t="s">
        <v>62</v>
      </c>
      <c r="P18" s="1"/>
    </row>
    <row r="19" ht="18.75" customHeight="1">
      <c r="A19" s="1"/>
      <c r="B19" s="67"/>
      <c r="F19" s="68"/>
      <c r="G19" s="2"/>
      <c r="H19" s="2"/>
      <c r="I19" s="2"/>
      <c r="J19" s="2"/>
      <c r="K19" s="2"/>
      <c r="L19" s="55" t="s">
        <v>41</v>
      </c>
      <c r="M19" s="61">
        <v>9.0</v>
      </c>
      <c r="N19" s="29" t="s">
        <v>10</v>
      </c>
      <c r="O19" s="30" t="s">
        <v>63</v>
      </c>
      <c r="P19" s="1"/>
    </row>
    <row r="20" ht="18.75" customHeight="1">
      <c r="A20" s="1"/>
      <c r="B20" s="67"/>
      <c r="F20" s="68"/>
      <c r="G20" s="2"/>
      <c r="H20" s="2"/>
      <c r="I20" s="2"/>
      <c r="J20" s="2"/>
      <c r="K20" s="2"/>
      <c r="L20" s="55" t="s">
        <v>41</v>
      </c>
      <c r="M20" s="61">
        <v>10.0</v>
      </c>
      <c r="N20" s="29" t="s">
        <v>10</v>
      </c>
      <c r="O20" s="30" t="s">
        <v>64</v>
      </c>
      <c r="P20" s="1"/>
    </row>
    <row r="21" ht="18.75" customHeight="1">
      <c r="A21" s="1"/>
      <c r="B21" s="67"/>
      <c r="F21" s="68"/>
      <c r="G21" s="2"/>
      <c r="H21" s="2"/>
      <c r="I21" s="2"/>
      <c r="J21" s="2"/>
      <c r="K21" s="2"/>
      <c r="L21" s="55" t="s">
        <v>41</v>
      </c>
      <c r="M21" s="61">
        <v>11.0</v>
      </c>
      <c r="N21" s="29" t="s">
        <v>10</v>
      </c>
      <c r="O21" s="30" t="s">
        <v>65</v>
      </c>
      <c r="P21" s="1"/>
    </row>
    <row r="22" ht="18.75" customHeight="1">
      <c r="A22" s="1"/>
      <c r="B22" s="67"/>
      <c r="F22" s="68"/>
      <c r="G22" s="2"/>
      <c r="H22" s="2"/>
      <c r="I22" s="2"/>
      <c r="J22" s="2"/>
      <c r="K22" s="2"/>
      <c r="L22" s="55" t="s">
        <v>41</v>
      </c>
      <c r="M22" s="61">
        <v>12.0</v>
      </c>
      <c r="N22" s="29" t="s">
        <v>10</v>
      </c>
      <c r="O22" s="30" t="s">
        <v>66</v>
      </c>
      <c r="P22" s="1"/>
    </row>
    <row r="23" ht="18.75" customHeight="1">
      <c r="A23" s="1"/>
      <c r="B23" s="67"/>
      <c r="F23" s="68"/>
      <c r="G23" s="2"/>
      <c r="H23" s="2"/>
      <c r="I23" s="2"/>
      <c r="J23" s="2"/>
      <c r="K23" s="2"/>
      <c r="L23" s="55" t="s">
        <v>41</v>
      </c>
      <c r="M23" s="61">
        <v>13.0</v>
      </c>
      <c r="N23" s="29" t="s">
        <v>10</v>
      </c>
      <c r="O23" s="30" t="s">
        <v>67</v>
      </c>
      <c r="P23" s="1"/>
    </row>
    <row r="24" ht="18.75" customHeight="1">
      <c r="A24" s="1"/>
      <c r="B24" s="69"/>
      <c r="C24" s="70"/>
      <c r="D24" s="70"/>
      <c r="E24" s="70"/>
      <c r="F24" s="60"/>
      <c r="G24" s="2"/>
      <c r="H24" s="2"/>
      <c r="I24" s="2"/>
      <c r="J24" s="2"/>
      <c r="K24" s="2"/>
      <c r="L24" s="55" t="s">
        <v>41</v>
      </c>
      <c r="M24" s="61">
        <v>14.0</v>
      </c>
      <c r="N24" s="29" t="s">
        <v>10</v>
      </c>
      <c r="O24" s="30" t="s">
        <v>68</v>
      </c>
      <c r="P24" s="1"/>
    </row>
    <row r="25" ht="18.75" customHeight="1">
      <c r="A25" s="2"/>
      <c r="B25" s="2"/>
      <c r="C25" s="2"/>
      <c r="D25" s="2"/>
      <c r="E25" s="2"/>
      <c r="F25" s="2"/>
      <c r="G25" s="2"/>
      <c r="H25" s="2"/>
      <c r="I25" s="2"/>
      <c r="J25" s="2"/>
      <c r="K25" s="2"/>
      <c r="L25" s="55" t="s">
        <v>41</v>
      </c>
      <c r="M25" s="61">
        <v>15.0</v>
      </c>
      <c r="N25" s="29" t="s">
        <v>69</v>
      </c>
      <c r="O25" s="30" t="s">
        <v>70</v>
      </c>
      <c r="P25" s="1"/>
    </row>
    <row r="26" ht="18.75" customHeight="1">
      <c r="A26" s="2"/>
      <c r="B26" s="2"/>
      <c r="C26" s="2"/>
      <c r="D26" s="2"/>
      <c r="E26" s="2"/>
      <c r="F26" s="2"/>
      <c r="G26" s="2"/>
      <c r="H26" s="2"/>
      <c r="I26" s="2"/>
      <c r="J26" s="2"/>
      <c r="K26" s="2"/>
      <c r="L26" s="71" t="s">
        <v>41</v>
      </c>
      <c r="M26" s="72">
        <v>16.0</v>
      </c>
      <c r="N26" s="46" t="s">
        <v>69</v>
      </c>
      <c r="O26" s="47" t="s">
        <v>71</v>
      </c>
      <c r="P26" s="1"/>
    </row>
    <row r="27" ht="9.75" customHeight="1">
      <c r="A27" s="1"/>
      <c r="B27" s="1"/>
      <c r="C27" s="1"/>
      <c r="D27" s="1"/>
      <c r="E27" s="1"/>
      <c r="F27" s="1"/>
      <c r="G27" s="1"/>
      <c r="H27" s="1"/>
      <c r="I27" s="1"/>
      <c r="J27" s="1"/>
      <c r="K27" s="1"/>
      <c r="L27" s="1"/>
      <c r="M27" s="1"/>
      <c r="N27" s="1"/>
      <c r="O27" s="1"/>
      <c r="P27" s="1"/>
    </row>
  </sheetData>
  <mergeCells count="20">
    <mergeCell ref="B2:F2"/>
    <mergeCell ref="H2:J2"/>
    <mergeCell ref="L2:O2"/>
    <mergeCell ref="D3:F3"/>
    <mergeCell ref="D4:F4"/>
    <mergeCell ref="D5:F5"/>
    <mergeCell ref="H6:H7"/>
    <mergeCell ref="D13:F13"/>
    <mergeCell ref="D14:F14"/>
    <mergeCell ref="D15:F15"/>
    <mergeCell ref="B16:B24"/>
    <mergeCell ref="C16:C24"/>
    <mergeCell ref="D16:F24"/>
    <mergeCell ref="D6:F6"/>
    <mergeCell ref="D8:F8"/>
    <mergeCell ref="D10:F10"/>
    <mergeCell ref="H10:J10"/>
    <mergeCell ref="I11:J11"/>
    <mergeCell ref="I12:J12"/>
    <mergeCell ref="I13:J13"/>
  </mergeCells>
  <dataValidations>
    <dataValidation type="list" allowBlank="1" showDropDown="1" showErrorMessage="1" sqref="D9">
      <formula1>"Tier 1,Tier 2,---"</formula1>
    </dataValidation>
    <dataValidation type="list" allowBlank="1" showDropDown="1" showErrorMessage="1" sqref="L3:L26">
      <formula1>Data!$B$2:$B$4</formula1>
    </dataValidation>
    <dataValidation type="list" allowBlank="1" showDropDown="1" showErrorMessage="1" sqref="I11">
      <formula1>"kick.com/CCT_CS,kick.com/CCT_CS2,kick.com/CCT_CS3,kick.com/CCT_CS4,kick.com/CCT_CS5,kick.com/CCT_Dota"</formula1>
    </dataValidation>
    <dataValidation type="list" allowBlank="1" showDropDown="1" showErrorMessage="1" sqref="F9">
      <formula1>"Ranked,Unranked,Wildcard"</formula1>
    </dataValidation>
    <dataValidation type="list" allowBlank="1" showDropDown="1" showErrorMessage="1" sqref="I12">
      <formula1>"x.com/CCT_CS,x.com/CCT_Contenders,x.com/CCT_Dota"</formula1>
    </dataValidation>
    <dataValidation type="list" allowBlank="1" showDropDown="1" showErrorMessage="1" sqref="N3:N26">
      <formula1>Data!$A$2:$A$8</formula1>
    </dataValidation>
  </dataValidations>
  <hyperlinks>
    <hyperlink r:id="rId1" ref="D10"/>
    <hyperlink r:id="rId2" ref="I11"/>
    <hyperlink r:id="rId3" ref="I12"/>
    <hyperlink r:id="rId4" ref="I13"/>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FC5E8"/>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1.25"/>
    <col customWidth="1" min="2" max="2" width="13.13"/>
    <col customWidth="1" min="3" max="3" width="3.63"/>
    <col customWidth="1" min="4" max="4" width="0.75"/>
    <col customWidth="1" min="5" max="5" width="3.5"/>
    <col customWidth="1" min="6" max="6" width="13.13"/>
    <col customWidth="1" min="7" max="7" width="3.63"/>
    <col customWidth="1" min="8" max="8" width="0.75"/>
    <col customWidth="1" min="9" max="9" width="3.5"/>
    <col customWidth="1" min="10" max="10" width="13.13"/>
    <col customWidth="1" min="11" max="11" width="3.63"/>
    <col customWidth="1" min="12" max="12" width="0.75"/>
    <col customWidth="1" min="13" max="13" width="3.5"/>
    <col customWidth="1" min="14" max="14" width="13.13"/>
    <col customWidth="1" min="15" max="15" width="3.63"/>
    <col customWidth="1" min="16" max="16" width="0.75"/>
    <col customWidth="1" min="17" max="17" width="2.5"/>
    <col customWidth="1" min="18" max="18" width="13.13"/>
    <col customWidth="1" min="19" max="19" width="3.63"/>
    <col customWidth="1" min="20" max="20" width="0.75"/>
    <col customWidth="1" min="21" max="22" width="2.5"/>
    <col customWidth="1" min="23" max="25" width="1.25"/>
    <col customWidth="1" min="26" max="26" width="13.13"/>
    <col customWidth="1" min="27" max="27" width="3.63"/>
    <col customWidth="1" min="28" max="28" width="0.75"/>
    <col customWidth="1" min="29" max="29" width="13.13"/>
    <col customWidth="1" min="30" max="30" width="3.63"/>
    <col customWidth="1" min="31" max="31" width="0.75"/>
    <col customWidth="1" min="32" max="32" width="13.13"/>
    <col customWidth="1" min="33" max="33" width="3.63"/>
    <col customWidth="1" min="34" max="34" width="0.75"/>
    <col customWidth="1" min="35" max="35" width="13.13"/>
    <col customWidth="1" min="36" max="36" width="3.63"/>
    <col customWidth="1" min="37" max="37" width="0.75"/>
    <col customWidth="1" min="38" max="38" width="13.13"/>
    <col customWidth="1" min="39" max="39" width="1.25"/>
  </cols>
  <sheetData>
    <row r="1">
      <c r="A1" s="73"/>
      <c r="B1" s="74" t="s">
        <v>72</v>
      </c>
      <c r="W1" s="75"/>
      <c r="X1" s="76"/>
      <c r="Y1" s="75"/>
      <c r="Z1" s="77" t="s">
        <v>73</v>
      </c>
      <c r="AM1" s="75"/>
    </row>
    <row r="2" ht="12.0" customHeight="1">
      <c r="A2" s="78"/>
      <c r="B2" s="79"/>
      <c r="C2" s="79"/>
      <c r="D2" s="79"/>
      <c r="E2" s="79"/>
      <c r="F2" s="79"/>
      <c r="G2" s="79"/>
      <c r="H2" s="79"/>
      <c r="I2" s="79"/>
      <c r="J2" s="79"/>
      <c r="K2" s="79"/>
      <c r="L2" s="79"/>
      <c r="M2" s="79"/>
      <c r="N2" s="79"/>
      <c r="O2" s="79"/>
      <c r="P2" s="79"/>
      <c r="Q2" s="79"/>
      <c r="R2" s="79"/>
      <c r="S2" s="79"/>
      <c r="T2" s="79"/>
      <c r="U2" s="79"/>
      <c r="V2" s="79"/>
      <c r="W2" s="78"/>
      <c r="X2" s="80"/>
      <c r="Y2" s="78"/>
      <c r="Z2" s="79"/>
      <c r="AA2" s="79"/>
      <c r="AB2" s="79"/>
      <c r="AC2" s="79"/>
      <c r="AD2" s="79"/>
      <c r="AE2" s="79"/>
      <c r="AF2" s="79"/>
      <c r="AG2" s="79"/>
      <c r="AH2" s="79"/>
      <c r="AI2" s="79"/>
      <c r="AJ2" s="79"/>
      <c r="AK2" s="79"/>
      <c r="AL2" s="79"/>
      <c r="AM2" s="78"/>
    </row>
    <row r="3" ht="12.0" customHeight="1">
      <c r="A3" s="81"/>
      <c r="B3" s="79"/>
      <c r="C3" s="79"/>
      <c r="D3" s="79"/>
      <c r="E3" s="79"/>
      <c r="F3" s="78"/>
      <c r="G3" s="79"/>
      <c r="H3" s="79"/>
      <c r="I3" s="79"/>
      <c r="J3" s="79"/>
      <c r="K3" s="79"/>
      <c r="L3" s="79"/>
      <c r="M3" s="79"/>
      <c r="N3" s="79"/>
      <c r="O3" s="79"/>
      <c r="P3" s="79"/>
      <c r="Q3" s="79"/>
      <c r="R3" s="79"/>
      <c r="S3" s="79"/>
      <c r="T3" s="79"/>
      <c r="U3" s="79"/>
      <c r="V3" s="81"/>
      <c r="W3" s="81"/>
      <c r="X3" s="82"/>
      <c r="Y3" s="81"/>
      <c r="Z3" s="79"/>
      <c r="AA3" s="79"/>
      <c r="AB3" s="79"/>
      <c r="AC3" s="79"/>
      <c r="AD3" s="79"/>
      <c r="AE3" s="79"/>
      <c r="AF3" s="79"/>
      <c r="AG3" s="79"/>
      <c r="AH3" s="79"/>
      <c r="AI3" s="79"/>
      <c r="AJ3" s="79"/>
      <c r="AK3" s="79"/>
      <c r="AL3" s="79"/>
      <c r="AM3" s="81"/>
    </row>
    <row r="4" ht="12.0" customHeight="1">
      <c r="A4" s="79"/>
      <c r="B4" s="79"/>
      <c r="C4" s="79"/>
      <c r="D4" s="79"/>
      <c r="E4" s="79"/>
      <c r="F4" s="79"/>
      <c r="G4" s="79"/>
      <c r="H4" s="79"/>
      <c r="I4" s="79"/>
      <c r="J4" s="83"/>
      <c r="K4" s="84"/>
      <c r="L4" s="85"/>
      <c r="M4" s="79"/>
      <c r="N4" s="79"/>
      <c r="O4" s="79"/>
      <c r="P4" s="79"/>
      <c r="Q4" s="79"/>
      <c r="R4" s="79"/>
      <c r="S4" s="79"/>
      <c r="T4" s="79"/>
      <c r="U4" s="79"/>
      <c r="V4" s="79"/>
      <c r="W4" s="79"/>
      <c r="X4" s="86"/>
      <c r="Y4" s="79"/>
      <c r="Z4" s="83"/>
      <c r="AA4" s="84"/>
      <c r="AB4" s="85"/>
      <c r="AC4" s="79"/>
      <c r="AD4" s="79"/>
      <c r="AE4" s="79"/>
      <c r="AF4" s="79"/>
      <c r="AG4" s="79"/>
      <c r="AH4" s="79"/>
      <c r="AI4" s="79"/>
      <c r="AJ4" s="79"/>
      <c r="AK4" s="79"/>
      <c r="AL4" s="79"/>
      <c r="AM4" s="79"/>
    </row>
    <row r="5" ht="12.0" customHeight="1">
      <c r="A5" s="79"/>
      <c r="B5" s="79"/>
      <c r="C5" s="79"/>
      <c r="D5" s="79"/>
      <c r="E5" s="79"/>
      <c r="F5" s="79"/>
      <c r="G5" s="79"/>
      <c r="H5" s="79"/>
      <c r="I5" s="79"/>
      <c r="J5" s="87" t="s">
        <v>74</v>
      </c>
      <c r="K5" s="79"/>
      <c r="L5" s="85"/>
      <c r="M5" s="79"/>
      <c r="N5" s="79"/>
      <c r="O5" s="79"/>
      <c r="P5" s="79"/>
      <c r="Q5" s="79"/>
      <c r="R5" s="78"/>
      <c r="S5" s="79"/>
      <c r="T5" s="79"/>
      <c r="U5" s="79"/>
      <c r="V5" s="78"/>
      <c r="W5" s="79"/>
      <c r="X5" s="86"/>
      <c r="Y5" s="79"/>
      <c r="Z5" s="87" t="s">
        <v>75</v>
      </c>
      <c r="AA5" s="79"/>
      <c r="AB5" s="85"/>
      <c r="AC5" s="83"/>
      <c r="AD5" s="84"/>
      <c r="AE5" s="85"/>
      <c r="AF5" s="79"/>
      <c r="AG5" s="79"/>
      <c r="AH5" s="79"/>
      <c r="AI5" s="79"/>
      <c r="AJ5" s="79"/>
      <c r="AK5" s="79"/>
      <c r="AL5" s="79"/>
      <c r="AM5" s="79"/>
    </row>
    <row r="6" ht="12.0" customHeight="1">
      <c r="A6" s="78"/>
      <c r="B6" s="79"/>
      <c r="C6" s="79"/>
      <c r="D6" s="79"/>
      <c r="E6" s="79"/>
      <c r="F6" s="79"/>
      <c r="G6" s="79"/>
      <c r="H6" s="79"/>
      <c r="I6" s="79"/>
      <c r="J6" s="83"/>
      <c r="K6" s="84"/>
      <c r="L6" s="85"/>
      <c r="M6" s="79"/>
      <c r="N6" s="79"/>
      <c r="O6" s="79"/>
      <c r="P6" s="79"/>
      <c r="Q6" s="79"/>
      <c r="R6" s="78"/>
      <c r="S6" s="79"/>
      <c r="T6" s="79"/>
      <c r="U6" s="79"/>
      <c r="V6" s="78"/>
      <c r="W6" s="78"/>
      <c r="X6" s="80"/>
      <c r="Y6" s="78"/>
      <c r="Z6" s="83"/>
      <c r="AA6" s="84"/>
      <c r="AB6" s="85"/>
      <c r="AC6" s="78"/>
      <c r="AD6" s="78"/>
      <c r="AE6" s="85"/>
      <c r="AF6" s="79"/>
      <c r="AG6" s="78"/>
      <c r="AH6" s="79"/>
      <c r="AI6" s="79"/>
      <c r="AJ6" s="79"/>
      <c r="AK6" s="79"/>
      <c r="AL6" s="79"/>
      <c r="AM6" s="78"/>
    </row>
    <row r="7" ht="12.0" customHeight="1">
      <c r="A7" s="78"/>
      <c r="B7" s="79"/>
      <c r="C7" s="79"/>
      <c r="D7" s="79"/>
      <c r="E7" s="79"/>
      <c r="F7" s="83" t="s">
        <v>50</v>
      </c>
      <c r="G7" s="84">
        <v>2.0</v>
      </c>
      <c r="H7" s="85"/>
      <c r="I7" s="79"/>
      <c r="J7" s="79"/>
      <c r="K7" s="79"/>
      <c r="L7" s="79"/>
      <c r="M7" s="79"/>
      <c r="N7" s="79"/>
      <c r="O7" s="79"/>
      <c r="P7" s="79"/>
      <c r="Q7" s="79"/>
      <c r="R7" s="78"/>
      <c r="S7" s="79"/>
      <c r="T7" s="79"/>
      <c r="U7" s="79"/>
      <c r="V7" s="78"/>
      <c r="W7" s="78"/>
      <c r="X7" s="80"/>
      <c r="Y7" s="78"/>
      <c r="Z7" s="79"/>
      <c r="AA7" s="79"/>
      <c r="AB7" s="79"/>
      <c r="AC7" s="87" t="s">
        <v>76</v>
      </c>
      <c r="AD7" s="79"/>
      <c r="AE7" s="85"/>
      <c r="AF7" s="83"/>
      <c r="AG7" s="84"/>
      <c r="AH7" s="85"/>
      <c r="AI7" s="79"/>
      <c r="AJ7" s="79"/>
      <c r="AK7" s="79"/>
      <c r="AL7" s="79"/>
      <c r="AM7" s="78"/>
    </row>
    <row r="8" ht="12.0" customHeight="1">
      <c r="A8" s="78"/>
      <c r="B8" s="79"/>
      <c r="C8" s="79"/>
      <c r="D8" s="79"/>
      <c r="E8" s="79"/>
      <c r="F8" s="87" t="s">
        <v>77</v>
      </c>
      <c r="G8" s="79"/>
      <c r="H8" s="85"/>
      <c r="I8" s="79"/>
      <c r="J8" s="83"/>
      <c r="K8" s="84"/>
      <c r="L8" s="85"/>
      <c r="M8" s="79"/>
      <c r="N8" s="79"/>
      <c r="O8" s="79"/>
      <c r="P8" s="79"/>
      <c r="Q8" s="79"/>
      <c r="R8" s="78"/>
      <c r="S8" s="79"/>
      <c r="T8" s="79"/>
      <c r="U8" s="79"/>
      <c r="V8" s="78"/>
      <c r="W8" s="78"/>
      <c r="X8" s="80"/>
      <c r="Y8" s="78"/>
      <c r="Z8" s="83"/>
      <c r="AA8" s="84"/>
      <c r="AB8" s="85"/>
      <c r="AC8" s="78"/>
      <c r="AD8" s="78"/>
      <c r="AE8" s="85"/>
      <c r="AF8" s="79"/>
      <c r="AG8" s="79"/>
      <c r="AH8" s="85"/>
      <c r="AI8" s="79"/>
      <c r="AJ8" s="79"/>
      <c r="AK8" s="79"/>
      <c r="AL8" s="79"/>
      <c r="AM8" s="78"/>
    </row>
    <row r="9" ht="12.0" customHeight="1">
      <c r="A9" s="78"/>
      <c r="B9" s="83" t="s">
        <v>42</v>
      </c>
      <c r="C9" s="84">
        <v>0.0</v>
      </c>
      <c r="D9" s="85"/>
      <c r="E9" s="79"/>
      <c r="F9" s="83" t="s">
        <v>62</v>
      </c>
      <c r="G9" s="84">
        <v>1.0</v>
      </c>
      <c r="H9" s="85"/>
      <c r="I9" s="79"/>
      <c r="J9" s="87" t="s">
        <v>74</v>
      </c>
      <c r="K9" s="79"/>
      <c r="L9" s="85"/>
      <c r="M9" s="79"/>
      <c r="N9" s="79"/>
      <c r="O9" s="79"/>
      <c r="P9" s="79"/>
      <c r="Q9" s="79"/>
      <c r="R9" s="78"/>
      <c r="S9" s="79"/>
      <c r="T9" s="79"/>
      <c r="U9" s="79"/>
      <c r="V9" s="78"/>
      <c r="W9" s="78"/>
      <c r="X9" s="80"/>
      <c r="Y9" s="78"/>
      <c r="Z9" s="87" t="s">
        <v>75</v>
      </c>
      <c r="AA9" s="79"/>
      <c r="AB9" s="85"/>
      <c r="AC9" s="83"/>
      <c r="AD9" s="84"/>
      <c r="AE9" s="85"/>
      <c r="AF9" s="79"/>
      <c r="AG9" s="79"/>
      <c r="AH9" s="85"/>
      <c r="AI9" s="79"/>
      <c r="AJ9" s="79"/>
      <c r="AK9" s="79"/>
      <c r="AL9" s="79"/>
      <c r="AM9" s="78"/>
    </row>
    <row r="10" ht="12.0" customHeight="1">
      <c r="A10" s="78"/>
      <c r="B10" s="87" t="s">
        <v>78</v>
      </c>
      <c r="C10" s="79"/>
      <c r="D10" s="85"/>
      <c r="E10" s="79"/>
      <c r="F10" s="79"/>
      <c r="G10" s="79"/>
      <c r="H10" s="79"/>
      <c r="I10" s="79"/>
      <c r="J10" s="83"/>
      <c r="K10" s="84"/>
      <c r="L10" s="85"/>
      <c r="M10" s="79"/>
      <c r="N10" s="79"/>
      <c r="O10" s="79"/>
      <c r="P10" s="79"/>
      <c r="Q10" s="79"/>
      <c r="R10" s="78"/>
      <c r="S10" s="79"/>
      <c r="T10" s="79"/>
      <c r="U10" s="79"/>
      <c r="V10" s="78"/>
      <c r="W10" s="78"/>
      <c r="X10" s="80"/>
      <c r="Y10" s="78"/>
      <c r="Z10" s="83"/>
      <c r="AA10" s="84"/>
      <c r="AB10" s="85"/>
      <c r="AC10" s="79"/>
      <c r="AD10" s="79"/>
      <c r="AE10" s="79"/>
      <c r="AF10" s="79"/>
      <c r="AG10" s="79"/>
      <c r="AH10" s="85"/>
      <c r="AI10" s="79"/>
      <c r="AJ10" s="79"/>
      <c r="AK10" s="79"/>
      <c r="AL10" s="79"/>
      <c r="AM10" s="78"/>
    </row>
    <row r="11" ht="12.0" customHeight="1">
      <c r="A11" s="78"/>
      <c r="B11" s="83" t="s">
        <v>71</v>
      </c>
      <c r="C11" s="84">
        <v>2.0</v>
      </c>
      <c r="D11" s="85"/>
      <c r="E11" s="79"/>
      <c r="F11" s="83" t="s">
        <v>71</v>
      </c>
      <c r="G11" s="84"/>
      <c r="H11" s="85"/>
      <c r="I11" s="79"/>
      <c r="J11" s="79"/>
      <c r="K11" s="79"/>
      <c r="L11" s="79"/>
      <c r="M11" s="79"/>
      <c r="N11" s="79"/>
      <c r="O11" s="79"/>
      <c r="P11" s="79"/>
      <c r="Q11" s="79"/>
      <c r="R11" s="79"/>
      <c r="S11" s="79"/>
      <c r="T11" s="79"/>
      <c r="U11" s="79"/>
      <c r="V11" s="78"/>
      <c r="W11" s="78"/>
      <c r="X11" s="80"/>
      <c r="Y11" s="78"/>
      <c r="Z11" s="79"/>
      <c r="AA11" s="79"/>
      <c r="AB11" s="79"/>
      <c r="AC11" s="79"/>
      <c r="AD11" s="79"/>
      <c r="AE11" s="79"/>
      <c r="AF11" s="87" t="s">
        <v>79</v>
      </c>
      <c r="AG11" s="79"/>
      <c r="AH11" s="85"/>
      <c r="AI11" s="83"/>
      <c r="AJ11" s="84"/>
      <c r="AK11" s="85"/>
      <c r="AL11" s="79"/>
      <c r="AM11" s="78"/>
    </row>
    <row r="12" ht="12.0" customHeight="1">
      <c r="A12" s="78"/>
      <c r="B12" s="79"/>
      <c r="C12" s="79"/>
      <c r="D12" s="79"/>
      <c r="E12" s="79"/>
      <c r="F12" s="87" t="s">
        <v>77</v>
      </c>
      <c r="G12" s="79"/>
      <c r="H12" s="85"/>
      <c r="I12" s="79"/>
      <c r="J12" s="79"/>
      <c r="K12" s="79"/>
      <c r="L12" s="79"/>
      <c r="M12" s="79"/>
      <c r="N12" s="83"/>
      <c r="O12" s="84"/>
      <c r="P12" s="85"/>
      <c r="Q12" s="79"/>
      <c r="R12" s="79"/>
      <c r="S12" s="79"/>
      <c r="T12" s="79"/>
      <c r="U12" s="79"/>
      <c r="V12" s="78"/>
      <c r="W12" s="78"/>
      <c r="X12" s="80"/>
      <c r="Y12" s="78"/>
      <c r="Z12" s="83"/>
      <c r="AA12" s="84"/>
      <c r="AB12" s="85"/>
      <c r="AC12" s="79"/>
      <c r="AD12" s="79"/>
      <c r="AE12" s="79"/>
      <c r="AF12" s="79"/>
      <c r="AG12" s="79"/>
      <c r="AH12" s="85"/>
      <c r="AI12" s="79"/>
      <c r="AJ12" s="79"/>
      <c r="AK12" s="85"/>
      <c r="AL12" s="79"/>
      <c r="AM12" s="78"/>
    </row>
    <row r="13" ht="12.0" customHeight="1">
      <c r="A13" s="78"/>
      <c r="B13" s="83" t="s">
        <v>46</v>
      </c>
      <c r="C13" s="84">
        <v>0.0</v>
      </c>
      <c r="D13" s="85"/>
      <c r="E13" s="79"/>
      <c r="F13" s="83" t="s">
        <v>67</v>
      </c>
      <c r="G13" s="84"/>
      <c r="H13" s="85"/>
      <c r="I13" s="79"/>
      <c r="J13" s="79"/>
      <c r="K13" s="79"/>
      <c r="L13" s="79"/>
      <c r="M13" s="79"/>
      <c r="N13" s="87" t="s">
        <v>80</v>
      </c>
      <c r="O13" s="79"/>
      <c r="P13" s="85"/>
      <c r="Q13" s="79"/>
      <c r="R13" s="79"/>
      <c r="S13" s="79"/>
      <c r="T13" s="79"/>
      <c r="U13" s="79"/>
      <c r="V13" s="78"/>
      <c r="W13" s="78"/>
      <c r="X13" s="80"/>
      <c r="Y13" s="78"/>
      <c r="Z13" s="87" t="s">
        <v>75</v>
      </c>
      <c r="AA13" s="79"/>
      <c r="AB13" s="85"/>
      <c r="AC13" s="83"/>
      <c r="AD13" s="84"/>
      <c r="AE13" s="85"/>
      <c r="AF13" s="79"/>
      <c r="AG13" s="79"/>
      <c r="AH13" s="85"/>
      <c r="AI13" s="79"/>
      <c r="AJ13" s="79"/>
      <c r="AK13" s="85"/>
      <c r="AL13" s="79"/>
      <c r="AM13" s="78"/>
    </row>
    <row r="14" ht="12.0" customHeight="1">
      <c r="A14" s="78"/>
      <c r="B14" s="87" t="s">
        <v>78</v>
      </c>
      <c r="C14" s="79"/>
      <c r="D14" s="85"/>
      <c r="E14" s="79"/>
      <c r="F14" s="79"/>
      <c r="G14" s="79"/>
      <c r="H14" s="79"/>
      <c r="I14" s="79"/>
      <c r="J14" s="83"/>
      <c r="K14" s="84"/>
      <c r="L14" s="85"/>
      <c r="M14" s="79"/>
      <c r="N14" s="83"/>
      <c r="O14" s="84"/>
      <c r="P14" s="85"/>
      <c r="Q14" s="79"/>
      <c r="R14" s="79"/>
      <c r="S14" s="79"/>
      <c r="T14" s="79"/>
      <c r="U14" s="79"/>
      <c r="V14" s="78"/>
      <c r="W14" s="78"/>
      <c r="X14" s="80"/>
      <c r="Y14" s="78"/>
      <c r="Z14" s="83"/>
      <c r="AA14" s="84"/>
      <c r="AB14" s="85"/>
      <c r="AC14" s="78"/>
      <c r="AD14" s="78"/>
      <c r="AE14" s="85"/>
      <c r="AF14" s="79"/>
      <c r="AG14" s="79"/>
      <c r="AH14" s="85"/>
      <c r="AI14" s="79"/>
      <c r="AJ14" s="79"/>
      <c r="AK14" s="85"/>
      <c r="AL14" s="79"/>
      <c r="AM14" s="78"/>
    </row>
    <row r="15" ht="12.0" customHeight="1">
      <c r="A15" s="78"/>
      <c r="B15" s="83" t="s">
        <v>70</v>
      </c>
      <c r="C15" s="84">
        <v>2.0</v>
      </c>
      <c r="D15" s="85"/>
      <c r="E15" s="79"/>
      <c r="F15" s="83" t="s">
        <v>70</v>
      </c>
      <c r="G15" s="84"/>
      <c r="H15" s="85"/>
      <c r="I15" s="79"/>
      <c r="J15" s="87" t="s">
        <v>81</v>
      </c>
      <c r="K15" s="79"/>
      <c r="L15" s="85"/>
      <c r="M15" s="79"/>
      <c r="N15" s="79"/>
      <c r="O15" s="79"/>
      <c r="P15" s="79"/>
      <c r="Q15" s="79"/>
      <c r="R15" s="79"/>
      <c r="S15" s="79"/>
      <c r="T15" s="79"/>
      <c r="U15" s="79"/>
      <c r="V15" s="78"/>
      <c r="W15" s="78"/>
      <c r="X15" s="80"/>
      <c r="Y15" s="78"/>
      <c r="Z15" s="79"/>
      <c r="AA15" s="79"/>
      <c r="AB15" s="79"/>
      <c r="AC15" s="87" t="s">
        <v>76</v>
      </c>
      <c r="AD15" s="79"/>
      <c r="AE15" s="85"/>
      <c r="AF15" s="83"/>
      <c r="AG15" s="84"/>
      <c r="AH15" s="85"/>
      <c r="AI15" s="79"/>
      <c r="AJ15" s="79"/>
      <c r="AK15" s="85"/>
      <c r="AL15" s="79"/>
      <c r="AM15" s="78"/>
    </row>
    <row r="16" ht="12.0" customHeight="1">
      <c r="A16" s="78"/>
      <c r="B16" s="79"/>
      <c r="C16" s="79"/>
      <c r="D16" s="79"/>
      <c r="E16" s="79"/>
      <c r="F16" s="87" t="s">
        <v>77</v>
      </c>
      <c r="G16" s="79"/>
      <c r="H16" s="85"/>
      <c r="I16" s="79"/>
      <c r="J16" s="83"/>
      <c r="K16" s="84"/>
      <c r="L16" s="85"/>
      <c r="M16" s="79"/>
      <c r="N16" s="83"/>
      <c r="O16" s="84"/>
      <c r="P16" s="85"/>
      <c r="Q16" s="79"/>
      <c r="R16" s="79"/>
      <c r="S16" s="79"/>
      <c r="T16" s="79"/>
      <c r="U16" s="79"/>
      <c r="V16" s="78"/>
      <c r="W16" s="78"/>
      <c r="X16" s="80"/>
      <c r="Y16" s="78"/>
      <c r="Z16" s="83"/>
      <c r="AA16" s="84"/>
      <c r="AB16" s="85"/>
      <c r="AC16" s="78"/>
      <c r="AD16" s="78"/>
      <c r="AE16" s="85"/>
      <c r="AF16" s="79"/>
      <c r="AG16" s="79"/>
      <c r="AH16" s="79"/>
      <c r="AI16" s="79"/>
      <c r="AJ16" s="79"/>
      <c r="AK16" s="85"/>
      <c r="AL16" s="79"/>
      <c r="AM16" s="78"/>
    </row>
    <row r="17" ht="12.0" customHeight="1">
      <c r="A17" s="78"/>
      <c r="B17" s="83" t="s">
        <v>50</v>
      </c>
      <c r="C17" s="84">
        <v>2.0</v>
      </c>
      <c r="D17" s="85"/>
      <c r="E17" s="79"/>
      <c r="F17" s="83" t="s">
        <v>57</v>
      </c>
      <c r="G17" s="84"/>
      <c r="H17" s="85"/>
      <c r="I17" s="79"/>
      <c r="J17" s="79"/>
      <c r="K17" s="79"/>
      <c r="L17" s="79"/>
      <c r="M17" s="79"/>
      <c r="N17" s="87" t="s">
        <v>80</v>
      </c>
      <c r="O17" s="79"/>
      <c r="P17" s="85"/>
      <c r="Q17" s="79"/>
      <c r="R17" s="79"/>
      <c r="S17" s="79"/>
      <c r="T17" s="79"/>
      <c r="U17" s="79"/>
      <c r="V17" s="79"/>
      <c r="W17" s="78"/>
      <c r="X17" s="80"/>
      <c r="Y17" s="78"/>
      <c r="Z17" s="87" t="s">
        <v>75</v>
      </c>
      <c r="AA17" s="79"/>
      <c r="AB17" s="85"/>
      <c r="AC17" s="83"/>
      <c r="AD17" s="84"/>
      <c r="AE17" s="85"/>
      <c r="AF17" s="79"/>
      <c r="AG17" s="79"/>
      <c r="AH17" s="79"/>
      <c r="AI17" s="79"/>
      <c r="AJ17" s="79"/>
      <c r="AK17" s="85"/>
      <c r="AL17" s="79"/>
      <c r="AM17" s="78"/>
    </row>
    <row r="18" ht="12.0" customHeight="1">
      <c r="A18" s="78"/>
      <c r="B18" s="87" t="s">
        <v>78</v>
      </c>
      <c r="C18" s="79"/>
      <c r="D18" s="85"/>
      <c r="E18" s="79"/>
      <c r="F18" s="79"/>
      <c r="G18" s="79"/>
      <c r="H18" s="79"/>
      <c r="I18" s="79"/>
      <c r="J18" s="83"/>
      <c r="K18" s="84"/>
      <c r="L18" s="85"/>
      <c r="M18" s="79"/>
      <c r="N18" s="83"/>
      <c r="O18" s="84"/>
      <c r="P18" s="85"/>
      <c r="Q18" s="79"/>
      <c r="R18" s="83"/>
      <c r="S18" s="84"/>
      <c r="T18" s="85"/>
      <c r="U18" s="79"/>
      <c r="V18" s="79"/>
      <c r="W18" s="78"/>
      <c r="X18" s="80"/>
      <c r="Y18" s="78"/>
      <c r="Z18" s="83"/>
      <c r="AA18" s="84"/>
      <c r="AB18" s="85"/>
      <c r="AC18" s="79"/>
      <c r="AD18" s="79"/>
      <c r="AE18" s="79"/>
      <c r="AF18" s="79"/>
      <c r="AG18" s="79"/>
      <c r="AH18" s="79"/>
      <c r="AI18" s="79"/>
      <c r="AJ18" s="79"/>
      <c r="AK18" s="85"/>
      <c r="AL18" s="88" t="s">
        <v>82</v>
      </c>
      <c r="AM18" s="78"/>
    </row>
    <row r="19" ht="12.0" customHeight="1">
      <c r="A19" s="79"/>
      <c r="B19" s="83" t="s">
        <v>68</v>
      </c>
      <c r="C19" s="84">
        <v>0.0</v>
      </c>
      <c r="D19" s="85"/>
      <c r="E19" s="79"/>
      <c r="F19" s="83" t="s">
        <v>61</v>
      </c>
      <c r="G19" s="84"/>
      <c r="H19" s="85"/>
      <c r="I19" s="79"/>
      <c r="J19" s="87" t="s">
        <v>81</v>
      </c>
      <c r="K19" s="79"/>
      <c r="L19" s="85"/>
      <c r="M19" s="79"/>
      <c r="N19" s="79"/>
      <c r="O19" s="79"/>
      <c r="P19" s="79"/>
      <c r="Q19" s="79"/>
      <c r="R19" s="87" t="s">
        <v>83</v>
      </c>
      <c r="S19" s="79"/>
      <c r="T19" s="85"/>
      <c r="U19" s="79"/>
      <c r="V19" s="79"/>
      <c r="W19" s="78"/>
      <c r="X19" s="80"/>
      <c r="Y19" s="79"/>
      <c r="Z19" s="79"/>
      <c r="AA19" s="79"/>
      <c r="AB19" s="79"/>
      <c r="AC19" s="79"/>
      <c r="AD19" s="79"/>
      <c r="AE19" s="79"/>
      <c r="AF19" s="79"/>
      <c r="AG19" s="79"/>
      <c r="AH19" s="79"/>
      <c r="AI19" s="87" t="s">
        <v>84</v>
      </c>
      <c r="AJ19" s="79"/>
      <c r="AK19" s="85"/>
      <c r="AL19" s="83"/>
      <c r="AM19" s="79"/>
    </row>
    <row r="20" ht="12.0" customHeight="1">
      <c r="A20" s="78"/>
      <c r="B20" s="79"/>
      <c r="C20" s="79"/>
      <c r="D20" s="79"/>
      <c r="E20" s="79"/>
      <c r="F20" s="87" t="s">
        <v>77</v>
      </c>
      <c r="G20" s="79"/>
      <c r="H20" s="85"/>
      <c r="I20" s="79"/>
      <c r="J20" s="83"/>
      <c r="K20" s="84"/>
      <c r="L20" s="85"/>
      <c r="M20" s="79"/>
      <c r="N20" s="83"/>
      <c r="O20" s="84"/>
      <c r="P20" s="85"/>
      <c r="Q20" s="79"/>
      <c r="R20" s="83"/>
      <c r="S20" s="84"/>
      <c r="T20" s="85"/>
      <c r="U20" s="79"/>
      <c r="V20" s="79"/>
      <c r="W20" s="78"/>
      <c r="X20" s="80"/>
      <c r="Y20" s="78"/>
      <c r="Z20" s="83"/>
      <c r="AA20" s="84"/>
      <c r="AB20" s="85"/>
      <c r="AC20" s="79"/>
      <c r="AD20" s="79"/>
      <c r="AE20" s="79"/>
      <c r="AF20" s="79"/>
      <c r="AG20" s="79"/>
      <c r="AH20" s="79"/>
      <c r="AI20" s="79"/>
      <c r="AJ20" s="79"/>
      <c r="AK20" s="85"/>
      <c r="AL20" s="79"/>
      <c r="AM20" s="78"/>
    </row>
    <row r="21" ht="12.0" customHeight="1">
      <c r="A21" s="78"/>
      <c r="B21" s="83" t="s">
        <v>53</v>
      </c>
      <c r="C21" s="84" t="s">
        <v>85</v>
      </c>
      <c r="D21" s="85"/>
      <c r="E21" s="79"/>
      <c r="F21" s="83" t="s">
        <v>65</v>
      </c>
      <c r="G21" s="84"/>
      <c r="H21" s="85"/>
      <c r="I21" s="79"/>
      <c r="J21" s="79"/>
      <c r="K21" s="79"/>
      <c r="L21" s="79"/>
      <c r="M21" s="79"/>
      <c r="N21" s="87" t="s">
        <v>80</v>
      </c>
      <c r="O21" s="79"/>
      <c r="P21" s="85"/>
      <c r="Q21" s="79"/>
      <c r="R21" s="79"/>
      <c r="S21" s="79"/>
      <c r="T21" s="79"/>
      <c r="U21" s="79"/>
      <c r="V21" s="79"/>
      <c r="W21" s="78"/>
      <c r="X21" s="80"/>
      <c r="Y21" s="78"/>
      <c r="Z21" s="87" t="s">
        <v>75</v>
      </c>
      <c r="AA21" s="79"/>
      <c r="AB21" s="85"/>
      <c r="AC21" s="83"/>
      <c r="AD21" s="84"/>
      <c r="AE21" s="85"/>
      <c r="AF21" s="79"/>
      <c r="AG21" s="79"/>
      <c r="AH21" s="79"/>
      <c r="AI21" s="79"/>
      <c r="AJ21" s="79"/>
      <c r="AK21" s="85"/>
      <c r="AL21" s="79"/>
      <c r="AM21" s="78"/>
    </row>
    <row r="22" ht="12.0" customHeight="1">
      <c r="A22" s="78"/>
      <c r="B22" s="87" t="s">
        <v>78</v>
      </c>
      <c r="C22" s="79"/>
      <c r="D22" s="85"/>
      <c r="E22" s="79"/>
      <c r="F22" s="79"/>
      <c r="G22" s="79"/>
      <c r="H22" s="79"/>
      <c r="I22" s="79"/>
      <c r="J22" s="83"/>
      <c r="K22" s="84"/>
      <c r="L22" s="85"/>
      <c r="M22" s="79"/>
      <c r="N22" s="83"/>
      <c r="O22" s="84"/>
      <c r="P22" s="85"/>
      <c r="Q22" s="79"/>
      <c r="R22" s="83"/>
      <c r="S22" s="84"/>
      <c r="T22" s="85"/>
      <c r="U22" s="79"/>
      <c r="V22" s="79"/>
      <c r="W22" s="78"/>
      <c r="X22" s="80"/>
      <c r="Y22" s="78"/>
      <c r="Z22" s="83"/>
      <c r="AA22" s="84"/>
      <c r="AB22" s="85"/>
      <c r="AC22" s="78"/>
      <c r="AD22" s="78"/>
      <c r="AE22" s="85"/>
      <c r="AF22" s="79"/>
      <c r="AG22" s="79"/>
      <c r="AH22" s="79"/>
      <c r="AI22" s="79"/>
      <c r="AJ22" s="79"/>
      <c r="AK22" s="85"/>
      <c r="AL22" s="79"/>
      <c r="AM22" s="78"/>
    </row>
    <row r="23" ht="12.0" customHeight="1">
      <c r="A23" s="78"/>
      <c r="B23" s="83" t="s">
        <v>67</v>
      </c>
      <c r="C23" s="84" t="s">
        <v>86</v>
      </c>
      <c r="D23" s="85"/>
      <c r="E23" s="79"/>
      <c r="F23" s="79"/>
      <c r="G23" s="79"/>
      <c r="H23" s="79"/>
      <c r="I23" s="79"/>
      <c r="J23" s="87" t="s">
        <v>81</v>
      </c>
      <c r="K23" s="79"/>
      <c r="L23" s="85"/>
      <c r="M23" s="79"/>
      <c r="N23" s="79"/>
      <c r="O23" s="79"/>
      <c r="P23" s="79"/>
      <c r="Q23" s="79"/>
      <c r="R23" s="87" t="s">
        <v>83</v>
      </c>
      <c r="S23" s="79"/>
      <c r="T23" s="85"/>
      <c r="U23" s="79"/>
      <c r="V23" s="79"/>
      <c r="W23" s="78"/>
      <c r="X23" s="80"/>
      <c r="Y23" s="78"/>
      <c r="Z23" s="79"/>
      <c r="AA23" s="79"/>
      <c r="AB23" s="79"/>
      <c r="AC23" s="87" t="s">
        <v>76</v>
      </c>
      <c r="AD23" s="79"/>
      <c r="AE23" s="85"/>
      <c r="AF23" s="83"/>
      <c r="AG23" s="84"/>
      <c r="AH23" s="85"/>
      <c r="AI23" s="79"/>
      <c r="AJ23" s="79"/>
      <c r="AK23" s="85"/>
      <c r="AL23" s="79"/>
      <c r="AM23" s="78"/>
    </row>
    <row r="24" ht="12.0" customHeight="1">
      <c r="A24" s="78"/>
      <c r="B24" s="79"/>
      <c r="C24" s="79"/>
      <c r="D24" s="79"/>
      <c r="E24" s="79"/>
      <c r="F24" s="79"/>
      <c r="G24" s="79"/>
      <c r="H24" s="79"/>
      <c r="I24" s="79"/>
      <c r="J24" s="83"/>
      <c r="K24" s="84"/>
      <c r="L24" s="85"/>
      <c r="M24" s="79"/>
      <c r="N24" s="79"/>
      <c r="O24" s="79"/>
      <c r="P24" s="79"/>
      <c r="Q24" s="79"/>
      <c r="R24" s="83"/>
      <c r="S24" s="84"/>
      <c r="T24" s="85"/>
      <c r="U24" s="79"/>
      <c r="V24" s="79"/>
      <c r="W24" s="78"/>
      <c r="X24" s="80"/>
      <c r="Y24" s="78"/>
      <c r="Z24" s="83"/>
      <c r="AA24" s="84"/>
      <c r="AB24" s="85"/>
      <c r="AC24" s="78"/>
      <c r="AD24" s="78"/>
      <c r="AE24" s="85"/>
      <c r="AF24" s="79"/>
      <c r="AG24" s="79"/>
      <c r="AH24" s="85"/>
      <c r="AI24" s="79"/>
      <c r="AJ24" s="79"/>
      <c r="AK24" s="85"/>
      <c r="AL24" s="79"/>
      <c r="AM24" s="78"/>
    </row>
    <row r="25" ht="12.0" customHeight="1">
      <c r="A25" s="78"/>
      <c r="B25" s="83" t="s">
        <v>57</v>
      </c>
      <c r="C25" s="84">
        <v>2.0</v>
      </c>
      <c r="D25" s="85"/>
      <c r="E25" s="79"/>
      <c r="F25" s="79"/>
      <c r="G25" s="79"/>
      <c r="H25" s="79"/>
      <c r="I25" s="79"/>
      <c r="J25" s="79"/>
      <c r="K25" s="79"/>
      <c r="L25" s="79"/>
      <c r="M25" s="79"/>
      <c r="N25" s="83"/>
      <c r="O25" s="84"/>
      <c r="P25" s="85"/>
      <c r="Q25" s="79"/>
      <c r="R25" s="79"/>
      <c r="S25" s="79"/>
      <c r="T25" s="79"/>
      <c r="U25" s="79"/>
      <c r="V25" s="79"/>
      <c r="W25" s="78"/>
      <c r="X25" s="80"/>
      <c r="Y25" s="78"/>
      <c r="Z25" s="87" t="s">
        <v>75</v>
      </c>
      <c r="AA25" s="79"/>
      <c r="AB25" s="85"/>
      <c r="AC25" s="83"/>
      <c r="AD25" s="84"/>
      <c r="AE25" s="85"/>
      <c r="AF25" s="79"/>
      <c r="AG25" s="79"/>
      <c r="AH25" s="85"/>
      <c r="AI25" s="79"/>
      <c r="AJ25" s="79"/>
      <c r="AK25" s="85"/>
      <c r="AL25" s="79"/>
      <c r="AM25" s="78"/>
    </row>
    <row r="26" ht="12.0" customHeight="1">
      <c r="A26" s="78"/>
      <c r="B26" s="87" t="s">
        <v>78</v>
      </c>
      <c r="C26" s="79"/>
      <c r="D26" s="85"/>
      <c r="E26" s="79"/>
      <c r="F26" s="79"/>
      <c r="G26" s="79"/>
      <c r="H26" s="79"/>
      <c r="I26" s="79"/>
      <c r="J26" s="83"/>
      <c r="K26" s="84"/>
      <c r="L26" s="85"/>
      <c r="M26" s="79"/>
      <c r="N26" s="87" t="s">
        <v>87</v>
      </c>
      <c r="O26" s="79"/>
      <c r="P26" s="85"/>
      <c r="Q26" s="79"/>
      <c r="R26" s="83"/>
      <c r="S26" s="84"/>
      <c r="T26" s="85"/>
      <c r="U26" s="79"/>
      <c r="V26" s="79"/>
      <c r="W26" s="78"/>
      <c r="X26" s="80"/>
      <c r="Y26" s="78"/>
      <c r="Z26" s="83"/>
      <c r="AA26" s="84"/>
      <c r="AB26" s="85"/>
      <c r="AC26" s="79"/>
      <c r="AD26" s="79"/>
      <c r="AE26" s="79"/>
      <c r="AF26" s="79"/>
      <c r="AG26" s="79"/>
      <c r="AH26" s="85"/>
      <c r="AI26" s="79"/>
      <c r="AJ26" s="79"/>
      <c r="AK26" s="85"/>
      <c r="AL26" s="79"/>
      <c r="AM26" s="78"/>
    </row>
    <row r="27" ht="12.0" customHeight="1">
      <c r="A27" s="78"/>
      <c r="B27" s="83" t="s">
        <v>66</v>
      </c>
      <c r="C27" s="84">
        <v>1.0</v>
      </c>
      <c r="D27" s="85"/>
      <c r="E27" s="79"/>
      <c r="F27" s="83" t="s">
        <v>46</v>
      </c>
      <c r="G27" s="84" t="s">
        <v>86</v>
      </c>
      <c r="H27" s="85"/>
      <c r="I27" s="79"/>
      <c r="J27" s="87" t="s">
        <v>81</v>
      </c>
      <c r="K27" s="79"/>
      <c r="L27" s="85"/>
      <c r="M27" s="79"/>
      <c r="N27" s="83"/>
      <c r="O27" s="84"/>
      <c r="P27" s="85"/>
      <c r="Q27" s="79"/>
      <c r="R27" s="87" t="s">
        <v>83</v>
      </c>
      <c r="S27" s="79"/>
      <c r="T27" s="85"/>
      <c r="U27" s="79"/>
      <c r="V27" s="79"/>
      <c r="W27" s="78"/>
      <c r="X27" s="80"/>
      <c r="Y27" s="78"/>
      <c r="Z27" s="79"/>
      <c r="AA27" s="79"/>
      <c r="AB27" s="79"/>
      <c r="AC27" s="79"/>
      <c r="AD27" s="79"/>
      <c r="AE27" s="79"/>
      <c r="AF27" s="87" t="s">
        <v>79</v>
      </c>
      <c r="AG27" s="79"/>
      <c r="AH27" s="85"/>
      <c r="AI27" s="83"/>
      <c r="AJ27" s="84"/>
      <c r="AK27" s="85"/>
      <c r="AL27" s="79"/>
      <c r="AM27" s="78"/>
    </row>
    <row r="28" ht="12.0" customHeight="1">
      <c r="A28" s="78"/>
      <c r="B28" s="79"/>
      <c r="C28" s="79"/>
      <c r="D28" s="79"/>
      <c r="E28" s="79"/>
      <c r="F28" s="87" t="s">
        <v>88</v>
      </c>
      <c r="G28" s="79"/>
      <c r="H28" s="85"/>
      <c r="I28" s="79"/>
      <c r="J28" s="83"/>
      <c r="K28" s="84"/>
      <c r="L28" s="85"/>
      <c r="M28" s="79"/>
      <c r="N28" s="79"/>
      <c r="O28" s="79"/>
      <c r="P28" s="79"/>
      <c r="Q28" s="79"/>
      <c r="R28" s="83"/>
      <c r="S28" s="84"/>
      <c r="T28" s="85"/>
      <c r="U28" s="79"/>
      <c r="V28" s="79"/>
      <c r="W28" s="78"/>
      <c r="X28" s="80"/>
      <c r="Y28" s="78"/>
      <c r="Z28" s="83"/>
      <c r="AA28" s="84"/>
      <c r="AB28" s="85"/>
      <c r="AC28" s="79"/>
      <c r="AD28" s="79"/>
      <c r="AE28" s="79"/>
      <c r="AF28" s="79"/>
      <c r="AG28" s="79"/>
      <c r="AH28" s="85"/>
      <c r="AI28" s="79"/>
      <c r="AJ28" s="79"/>
      <c r="AK28" s="79"/>
      <c r="AL28" s="79"/>
      <c r="AM28" s="78"/>
    </row>
    <row r="29" ht="12.0" customHeight="1">
      <c r="A29" s="78"/>
      <c r="B29" s="83" t="s">
        <v>60</v>
      </c>
      <c r="C29" s="84" t="s">
        <v>85</v>
      </c>
      <c r="D29" s="85"/>
      <c r="E29" s="79"/>
      <c r="F29" s="83" t="s">
        <v>68</v>
      </c>
      <c r="G29" s="84" t="s">
        <v>85</v>
      </c>
      <c r="H29" s="85"/>
      <c r="I29" s="79"/>
      <c r="J29" s="79"/>
      <c r="K29" s="79"/>
      <c r="L29" s="79"/>
      <c r="M29" s="79"/>
      <c r="N29" s="83"/>
      <c r="O29" s="84"/>
      <c r="P29" s="85"/>
      <c r="Q29" s="79"/>
      <c r="R29" s="79"/>
      <c r="S29" s="79"/>
      <c r="T29" s="79"/>
      <c r="U29" s="79"/>
      <c r="V29" s="79"/>
      <c r="W29" s="78"/>
      <c r="X29" s="80"/>
      <c r="Y29" s="78"/>
      <c r="Z29" s="87" t="s">
        <v>75</v>
      </c>
      <c r="AA29" s="79"/>
      <c r="AB29" s="85"/>
      <c r="AC29" s="83"/>
      <c r="AD29" s="84"/>
      <c r="AE29" s="85"/>
      <c r="AF29" s="79"/>
      <c r="AG29" s="79"/>
      <c r="AH29" s="85"/>
      <c r="AI29" s="79"/>
      <c r="AJ29" s="79"/>
      <c r="AK29" s="79"/>
      <c r="AL29" s="79"/>
      <c r="AM29" s="78"/>
    </row>
    <row r="30" ht="12.0" customHeight="1">
      <c r="A30" s="78"/>
      <c r="B30" s="87" t="s">
        <v>78</v>
      </c>
      <c r="C30" s="79"/>
      <c r="D30" s="85"/>
      <c r="E30" s="79"/>
      <c r="F30" s="79"/>
      <c r="G30" s="79"/>
      <c r="H30" s="79"/>
      <c r="I30" s="79"/>
      <c r="J30" s="79"/>
      <c r="K30" s="79"/>
      <c r="L30" s="79"/>
      <c r="M30" s="79"/>
      <c r="N30" s="87" t="s">
        <v>87</v>
      </c>
      <c r="O30" s="79"/>
      <c r="P30" s="85"/>
      <c r="Q30" s="79"/>
      <c r="R30" s="79"/>
      <c r="S30" s="79"/>
      <c r="T30" s="79"/>
      <c r="U30" s="79"/>
      <c r="V30" s="79"/>
      <c r="W30" s="78"/>
      <c r="X30" s="80"/>
      <c r="Y30" s="78"/>
      <c r="Z30" s="83"/>
      <c r="AA30" s="84"/>
      <c r="AB30" s="85"/>
      <c r="AC30" s="78"/>
      <c r="AD30" s="78"/>
      <c r="AE30" s="85"/>
      <c r="AF30" s="79"/>
      <c r="AG30" s="79"/>
      <c r="AH30" s="85"/>
      <c r="AI30" s="79"/>
      <c r="AJ30" s="79"/>
      <c r="AK30" s="79"/>
      <c r="AL30" s="79"/>
      <c r="AM30" s="78"/>
    </row>
    <row r="31" ht="12.0" customHeight="1">
      <c r="A31" s="78"/>
      <c r="B31" s="83" t="s">
        <v>65</v>
      </c>
      <c r="C31" s="84" t="s">
        <v>86</v>
      </c>
      <c r="D31" s="85"/>
      <c r="E31" s="79"/>
      <c r="F31" s="83" t="s">
        <v>64</v>
      </c>
      <c r="G31" s="84">
        <v>1.0</v>
      </c>
      <c r="H31" s="85"/>
      <c r="I31" s="79"/>
      <c r="J31" s="79"/>
      <c r="K31" s="79"/>
      <c r="L31" s="79"/>
      <c r="M31" s="79"/>
      <c r="N31" s="83"/>
      <c r="O31" s="84"/>
      <c r="P31" s="85"/>
      <c r="Q31" s="79"/>
      <c r="R31" s="79"/>
      <c r="S31" s="79"/>
      <c r="T31" s="79"/>
      <c r="U31" s="79"/>
      <c r="V31" s="79"/>
      <c r="W31" s="78"/>
      <c r="X31" s="80"/>
      <c r="Y31" s="78"/>
      <c r="Z31" s="79"/>
      <c r="AA31" s="79"/>
      <c r="AB31" s="79"/>
      <c r="AC31" s="87" t="s">
        <v>76</v>
      </c>
      <c r="AD31" s="79"/>
      <c r="AE31" s="85"/>
      <c r="AF31" s="83"/>
      <c r="AG31" s="84"/>
      <c r="AH31" s="85"/>
      <c r="AI31" s="79"/>
      <c r="AJ31" s="79"/>
      <c r="AK31" s="79"/>
      <c r="AL31" s="79"/>
      <c r="AM31" s="78"/>
    </row>
    <row r="32" ht="12.0" customHeight="1">
      <c r="A32" s="78"/>
      <c r="B32" s="79"/>
      <c r="C32" s="79"/>
      <c r="D32" s="79"/>
      <c r="E32" s="79"/>
      <c r="F32" s="87" t="s">
        <v>88</v>
      </c>
      <c r="G32" s="79"/>
      <c r="H32" s="85"/>
      <c r="I32" s="79"/>
      <c r="J32" s="83"/>
      <c r="K32" s="84"/>
      <c r="L32" s="85"/>
      <c r="M32" s="79"/>
      <c r="N32" s="79"/>
      <c r="O32" s="79"/>
      <c r="P32" s="79"/>
      <c r="Q32" s="79"/>
      <c r="R32" s="79"/>
      <c r="S32" s="79"/>
      <c r="T32" s="79"/>
      <c r="U32" s="79"/>
      <c r="V32" s="79"/>
      <c r="W32" s="78"/>
      <c r="X32" s="80"/>
      <c r="Y32" s="78"/>
      <c r="Z32" s="83"/>
      <c r="AA32" s="84"/>
      <c r="AB32" s="85"/>
      <c r="AC32" s="78"/>
      <c r="AD32" s="78"/>
      <c r="AE32" s="85"/>
      <c r="AF32" s="79"/>
      <c r="AG32" s="79"/>
      <c r="AH32" s="79"/>
      <c r="AI32" s="79"/>
      <c r="AJ32" s="79"/>
      <c r="AK32" s="79"/>
      <c r="AL32" s="79"/>
      <c r="AM32" s="78"/>
    </row>
    <row r="33" ht="12.0" customHeight="1">
      <c r="A33" s="89"/>
      <c r="B33" s="83" t="s">
        <v>61</v>
      </c>
      <c r="C33" s="84">
        <v>2.0</v>
      </c>
      <c r="D33" s="85"/>
      <c r="E33" s="79"/>
      <c r="F33" s="83" t="s">
        <v>42</v>
      </c>
      <c r="G33" s="84">
        <v>2.0</v>
      </c>
      <c r="H33" s="85"/>
      <c r="I33" s="79"/>
      <c r="J33" s="87" t="s">
        <v>89</v>
      </c>
      <c r="K33" s="79"/>
      <c r="L33" s="85"/>
      <c r="M33" s="79"/>
      <c r="N33" s="83"/>
      <c r="O33" s="84"/>
      <c r="P33" s="85"/>
      <c r="Q33" s="79"/>
      <c r="R33" s="79"/>
      <c r="S33" s="79"/>
      <c r="T33" s="79"/>
      <c r="U33" s="79"/>
      <c r="V33" s="79"/>
      <c r="W33" s="78"/>
      <c r="X33" s="90"/>
      <c r="Y33" s="89"/>
      <c r="Z33" s="87" t="s">
        <v>75</v>
      </c>
      <c r="AA33" s="79"/>
      <c r="AB33" s="85"/>
      <c r="AC33" s="83"/>
      <c r="AD33" s="84"/>
      <c r="AE33" s="85"/>
      <c r="AF33" s="79"/>
      <c r="AG33" s="79"/>
      <c r="AH33" s="79"/>
      <c r="AI33" s="79"/>
      <c r="AJ33" s="79"/>
      <c r="AK33" s="79"/>
      <c r="AL33" s="79"/>
      <c r="AM33" s="89"/>
    </row>
    <row r="34" ht="12.0" customHeight="1">
      <c r="A34" s="89"/>
      <c r="B34" s="87" t="s">
        <v>78</v>
      </c>
      <c r="C34" s="79"/>
      <c r="D34" s="85"/>
      <c r="E34" s="79"/>
      <c r="F34" s="79"/>
      <c r="G34" s="79"/>
      <c r="H34" s="79"/>
      <c r="I34" s="79"/>
      <c r="J34" s="83"/>
      <c r="K34" s="84"/>
      <c r="L34" s="85"/>
      <c r="M34" s="79"/>
      <c r="N34" s="87" t="s">
        <v>87</v>
      </c>
      <c r="O34" s="79"/>
      <c r="P34" s="85"/>
      <c r="Q34" s="79"/>
      <c r="R34" s="79"/>
      <c r="S34" s="79"/>
      <c r="T34" s="79"/>
      <c r="U34" s="79"/>
      <c r="V34" s="79"/>
      <c r="W34" s="78"/>
      <c r="X34" s="90"/>
      <c r="Y34" s="89"/>
      <c r="Z34" s="83"/>
      <c r="AA34" s="84"/>
      <c r="AB34" s="85"/>
      <c r="AC34" s="79"/>
      <c r="AD34" s="79"/>
      <c r="AE34" s="79"/>
      <c r="AF34" s="79"/>
      <c r="AG34" s="79"/>
      <c r="AH34" s="79"/>
      <c r="AI34" s="79"/>
      <c r="AJ34" s="79"/>
      <c r="AK34" s="79"/>
      <c r="AL34" s="79"/>
      <c r="AM34" s="89"/>
    </row>
    <row r="35" ht="12.0" customHeight="1">
      <c r="A35" s="89"/>
      <c r="B35" s="83" t="s">
        <v>64</v>
      </c>
      <c r="C35" s="84">
        <v>0.0</v>
      </c>
      <c r="D35" s="85"/>
      <c r="E35" s="79"/>
      <c r="F35" s="83" t="s">
        <v>66</v>
      </c>
      <c r="G35" s="84" t="s">
        <v>86</v>
      </c>
      <c r="H35" s="85"/>
      <c r="I35" s="79"/>
      <c r="J35" s="79"/>
      <c r="K35" s="79"/>
      <c r="L35" s="79"/>
      <c r="M35" s="79"/>
      <c r="N35" s="83"/>
      <c r="O35" s="84"/>
      <c r="P35" s="85"/>
      <c r="Q35" s="79"/>
      <c r="R35" s="79"/>
      <c r="S35" s="79"/>
      <c r="T35" s="79"/>
      <c r="U35" s="79"/>
      <c r="V35" s="79"/>
      <c r="W35" s="78"/>
      <c r="X35" s="90"/>
      <c r="Y35" s="89"/>
      <c r="Z35" s="79"/>
      <c r="AA35" s="79"/>
      <c r="AB35" s="79"/>
      <c r="AC35" s="79"/>
      <c r="AD35" s="79"/>
      <c r="AE35" s="79"/>
      <c r="AF35" s="79"/>
      <c r="AG35" s="79"/>
      <c r="AH35" s="79"/>
      <c r="AI35" s="79"/>
      <c r="AJ35" s="79"/>
      <c r="AK35" s="79"/>
      <c r="AL35" s="79"/>
      <c r="AM35" s="89"/>
    </row>
    <row r="36" ht="12.0" customHeight="1">
      <c r="A36" s="78"/>
      <c r="B36" s="79"/>
      <c r="C36" s="79"/>
      <c r="D36" s="79"/>
      <c r="E36" s="79"/>
      <c r="F36" s="87" t="s">
        <v>88</v>
      </c>
      <c r="G36" s="79"/>
      <c r="H36" s="85"/>
      <c r="I36" s="79"/>
      <c r="J36" s="83"/>
      <c r="K36" s="84"/>
      <c r="L36" s="85"/>
      <c r="M36" s="79"/>
      <c r="N36" s="79"/>
      <c r="O36" s="79"/>
      <c r="P36" s="79"/>
      <c r="Q36" s="79"/>
      <c r="R36" s="79"/>
      <c r="S36" s="79"/>
      <c r="T36" s="79"/>
      <c r="U36" s="79"/>
      <c r="V36" s="79"/>
      <c r="W36" s="78"/>
      <c r="X36" s="80"/>
      <c r="Y36" s="78"/>
      <c r="Z36" s="79"/>
      <c r="AA36" s="79"/>
      <c r="AB36" s="79"/>
      <c r="AC36" s="79"/>
      <c r="AD36" s="79"/>
      <c r="AE36" s="79"/>
      <c r="AF36" s="79"/>
      <c r="AG36" s="79"/>
      <c r="AH36" s="79"/>
      <c r="AI36" s="79"/>
      <c r="AJ36" s="79"/>
      <c r="AK36" s="79"/>
      <c r="AL36" s="79"/>
      <c r="AM36" s="78"/>
    </row>
    <row r="37" ht="12.0" customHeight="1">
      <c r="A37" s="78"/>
      <c r="B37" s="83" t="s">
        <v>62</v>
      </c>
      <c r="C37" s="84">
        <v>2.0</v>
      </c>
      <c r="D37" s="85"/>
      <c r="E37" s="79"/>
      <c r="F37" s="83" t="s">
        <v>60</v>
      </c>
      <c r="G37" s="84" t="s">
        <v>86</v>
      </c>
      <c r="H37" s="85"/>
      <c r="I37" s="79"/>
      <c r="J37" s="87" t="s">
        <v>89</v>
      </c>
      <c r="K37" s="79"/>
      <c r="L37" s="85"/>
      <c r="M37" s="79"/>
      <c r="N37" s="79"/>
      <c r="O37" s="91" t="s">
        <v>90</v>
      </c>
      <c r="T37" s="79"/>
      <c r="U37" s="79"/>
      <c r="V37" s="79"/>
      <c r="W37" s="78"/>
      <c r="X37" s="80"/>
      <c r="Y37" s="78"/>
      <c r="Z37" s="79"/>
      <c r="AA37" s="79"/>
      <c r="AB37" s="79"/>
      <c r="AC37" s="79"/>
      <c r="AD37" s="79"/>
      <c r="AE37" s="79"/>
      <c r="AF37" s="79"/>
      <c r="AG37" s="79"/>
      <c r="AH37" s="79"/>
      <c r="AI37" s="79"/>
      <c r="AJ37" s="79"/>
      <c r="AK37" s="79"/>
      <c r="AL37" s="79"/>
      <c r="AM37" s="78"/>
    </row>
    <row r="38" ht="12.0" customHeight="1">
      <c r="A38" s="78"/>
      <c r="B38" s="87" t="s">
        <v>78</v>
      </c>
      <c r="C38" s="79"/>
      <c r="D38" s="85"/>
      <c r="E38" s="79"/>
      <c r="F38" s="79"/>
      <c r="G38" s="79"/>
      <c r="H38" s="79"/>
      <c r="I38" s="79"/>
      <c r="J38" s="83"/>
      <c r="K38" s="84"/>
      <c r="L38" s="85"/>
      <c r="M38" s="79"/>
      <c r="N38" s="79"/>
      <c r="O38" s="92" t="s">
        <v>9</v>
      </c>
      <c r="R38" s="93" t="str">
        <f>IFS(OR(K4=2, K4="FFW"),J4,OR(K6=2, K6="FFW"),J6,TRUE,"")</f>
        <v/>
      </c>
      <c r="S38" s="92" t="s">
        <v>91</v>
      </c>
      <c r="T38" s="79"/>
      <c r="U38" s="79"/>
      <c r="V38" s="79"/>
      <c r="W38" s="78"/>
      <c r="X38" s="80"/>
      <c r="Y38" s="78"/>
      <c r="Z38" s="79"/>
      <c r="AA38" s="79"/>
      <c r="AB38" s="79"/>
      <c r="AC38" s="79"/>
      <c r="AD38" s="79"/>
      <c r="AE38" s="79"/>
      <c r="AF38" s="78"/>
      <c r="AG38" s="79"/>
      <c r="AH38" s="79"/>
      <c r="AI38" s="78"/>
      <c r="AJ38" s="79"/>
      <c r="AK38" s="79"/>
      <c r="AL38" s="79"/>
      <c r="AM38" s="78"/>
    </row>
    <row r="39" ht="12.0" customHeight="1">
      <c r="A39" s="81"/>
      <c r="B39" s="83" t="s">
        <v>63</v>
      </c>
      <c r="C39" s="84">
        <v>1.0</v>
      </c>
      <c r="D39" s="85"/>
      <c r="E39" s="79"/>
      <c r="F39" s="83" t="s">
        <v>63</v>
      </c>
      <c r="G39" s="84" t="s">
        <v>86</v>
      </c>
      <c r="H39" s="85"/>
      <c r="I39" s="79"/>
      <c r="J39" s="79"/>
      <c r="K39" s="79"/>
      <c r="L39" s="79"/>
      <c r="M39" s="79"/>
      <c r="N39" s="79"/>
      <c r="O39" s="92" t="s">
        <v>9</v>
      </c>
      <c r="R39" s="93" t="str">
        <f>IFS(OR(K8=2, K8="FFW"),J8,OR(K10=2, K10="FFW"),J10,TRUE,"")</f>
        <v/>
      </c>
      <c r="S39" s="92" t="s">
        <v>91</v>
      </c>
      <c r="T39" s="79"/>
      <c r="U39" s="79"/>
      <c r="V39" s="79"/>
      <c r="W39" s="81"/>
      <c r="X39" s="82"/>
      <c r="Y39" s="81"/>
      <c r="Z39" s="79"/>
      <c r="AA39" s="79"/>
      <c r="AB39" s="79"/>
      <c r="AC39" s="79"/>
      <c r="AD39" s="79"/>
      <c r="AE39" s="79"/>
      <c r="AF39" s="79"/>
      <c r="AG39" s="79"/>
      <c r="AH39" s="79"/>
      <c r="AI39" s="79"/>
      <c r="AJ39" s="79"/>
      <c r="AK39" s="79"/>
      <c r="AL39" s="79"/>
      <c r="AM39" s="81"/>
    </row>
    <row r="40" ht="12.0" customHeight="1">
      <c r="A40" s="79"/>
      <c r="B40" s="79"/>
      <c r="C40" s="79"/>
      <c r="D40" s="79"/>
      <c r="E40" s="79"/>
      <c r="F40" s="87" t="s">
        <v>88</v>
      </c>
      <c r="G40" s="79"/>
      <c r="H40" s="85"/>
      <c r="I40" s="79"/>
      <c r="J40" s="79"/>
      <c r="K40" s="79"/>
      <c r="L40" s="79"/>
      <c r="M40" s="79"/>
      <c r="N40" s="79"/>
      <c r="O40" s="92" t="s">
        <v>9</v>
      </c>
      <c r="R40" s="93" t="str">
        <f>IFS(OR(O12=2, O12="FFW"),N12,OR(O14=2, O14="FFW"),N14,TRUE,"")</f>
        <v/>
      </c>
      <c r="S40" s="94">
        <v>45717.0</v>
      </c>
      <c r="T40" s="79"/>
      <c r="U40" s="79"/>
      <c r="V40" s="79"/>
      <c r="W40" s="79"/>
      <c r="X40" s="86"/>
      <c r="Y40" s="79"/>
      <c r="Z40" s="79"/>
      <c r="AA40" s="79"/>
      <c r="AB40" s="79"/>
      <c r="AC40" s="79"/>
      <c r="AD40" s="79"/>
      <c r="AE40" s="79"/>
      <c r="AF40" s="79"/>
      <c r="AG40" s="79"/>
      <c r="AH40" s="79"/>
      <c r="AI40" s="79"/>
      <c r="AJ40" s="79"/>
      <c r="AK40" s="79"/>
      <c r="AL40" s="79"/>
      <c r="AM40" s="79"/>
    </row>
    <row r="41" ht="12.0" customHeight="1">
      <c r="A41" s="79"/>
      <c r="B41" s="79"/>
      <c r="C41" s="79"/>
      <c r="D41" s="79"/>
      <c r="E41" s="79"/>
      <c r="F41" s="83" t="s">
        <v>53</v>
      </c>
      <c r="G41" s="84" t="s">
        <v>85</v>
      </c>
      <c r="H41" s="85"/>
      <c r="I41" s="79"/>
      <c r="J41" s="79"/>
      <c r="K41" s="79"/>
      <c r="L41" s="79"/>
      <c r="M41" s="79"/>
      <c r="N41" s="79"/>
      <c r="O41" s="92" t="s">
        <v>9</v>
      </c>
      <c r="R41" s="93" t="str">
        <f>IFS(OR(O16=2, O16="FFW"),N16,OR(O18=2, O18="FFW"),N18,TRUE,"")</f>
        <v/>
      </c>
      <c r="S41" s="94">
        <v>45717.0</v>
      </c>
      <c r="T41" s="79"/>
      <c r="U41" s="79"/>
      <c r="V41" s="79"/>
      <c r="W41" s="79"/>
      <c r="X41" s="86"/>
      <c r="Y41" s="79"/>
      <c r="Z41" s="78"/>
      <c r="AA41" s="79"/>
      <c r="AB41" s="79"/>
      <c r="AC41" s="79"/>
      <c r="AD41" s="79"/>
      <c r="AE41" s="79"/>
      <c r="AF41" s="79"/>
      <c r="AG41" s="79"/>
      <c r="AH41" s="79"/>
      <c r="AI41" s="79"/>
      <c r="AJ41" s="79"/>
      <c r="AK41" s="79"/>
      <c r="AL41" s="79"/>
      <c r="AM41" s="79"/>
    </row>
    <row r="42" ht="12.0" customHeight="1">
      <c r="A42" s="78"/>
      <c r="B42" s="79"/>
      <c r="C42" s="79"/>
      <c r="D42" s="79"/>
      <c r="E42" s="79"/>
      <c r="F42" s="79"/>
      <c r="G42" s="79"/>
      <c r="H42" s="79"/>
      <c r="I42" s="79"/>
      <c r="J42" s="79"/>
      <c r="K42" s="79"/>
      <c r="L42" s="79"/>
      <c r="M42" s="79"/>
      <c r="N42" s="79"/>
      <c r="O42" s="92" t="s">
        <v>9</v>
      </c>
      <c r="R42" s="93" t="str">
        <f>IFS(OR(O20=2, O20="FFW"),N20,OR(O22=2, O22="FFW"),N22,TRUE,"")</f>
        <v/>
      </c>
      <c r="S42" s="94">
        <v>45717.0</v>
      </c>
      <c r="T42" s="79"/>
      <c r="U42" s="79"/>
      <c r="V42" s="79"/>
      <c r="W42" s="78"/>
      <c r="X42" s="80"/>
      <c r="Y42" s="78"/>
      <c r="Z42" s="79"/>
      <c r="AA42" s="79"/>
      <c r="AB42" s="79"/>
      <c r="AC42" s="79"/>
      <c r="AD42" s="79"/>
      <c r="AE42" s="79"/>
      <c r="AF42" s="79"/>
      <c r="AG42" s="79"/>
      <c r="AH42" s="79"/>
      <c r="AI42" s="79"/>
      <c r="AJ42" s="79"/>
      <c r="AK42" s="79"/>
      <c r="AL42" s="79"/>
      <c r="AM42" s="78"/>
    </row>
    <row r="43" ht="12.0" customHeight="1">
      <c r="A43" s="78"/>
      <c r="B43" s="79"/>
      <c r="C43" s="79"/>
      <c r="D43" s="79"/>
      <c r="E43" s="79"/>
      <c r="F43" s="79"/>
      <c r="G43" s="79"/>
      <c r="H43" s="79"/>
      <c r="I43" s="79"/>
      <c r="J43" s="79"/>
      <c r="K43" s="79"/>
      <c r="L43" s="79"/>
      <c r="M43" s="79"/>
      <c r="N43" s="79"/>
      <c r="O43" s="92" t="s">
        <v>9</v>
      </c>
      <c r="R43" s="93" t="str">
        <f>IFS(OR(S18=2, S18="FFW"),R18,OR(S20=2, S20="FFW"),R20,TRUE,"")</f>
        <v/>
      </c>
      <c r="S43" s="94">
        <v>45718.0</v>
      </c>
      <c r="T43" s="79"/>
      <c r="U43" s="79"/>
      <c r="V43" s="79"/>
      <c r="W43" s="78"/>
      <c r="X43" s="80"/>
      <c r="Y43" s="78"/>
      <c r="Z43" s="79"/>
      <c r="AA43" s="79"/>
      <c r="AB43" s="79"/>
      <c r="AC43" s="79"/>
      <c r="AD43" s="79"/>
      <c r="AE43" s="79"/>
      <c r="AF43" s="79"/>
      <c r="AG43" s="79"/>
      <c r="AH43" s="79"/>
      <c r="AI43" s="79"/>
      <c r="AJ43" s="79"/>
      <c r="AK43" s="79"/>
      <c r="AL43" s="79"/>
      <c r="AM43" s="78"/>
    </row>
    <row r="44" ht="12.0" customHeight="1">
      <c r="A44" s="78"/>
      <c r="B44" s="79"/>
      <c r="C44" s="79"/>
      <c r="D44" s="79"/>
      <c r="E44" s="79"/>
      <c r="F44" s="79"/>
      <c r="G44" s="79"/>
      <c r="H44" s="79"/>
      <c r="I44" s="79"/>
      <c r="J44" s="79"/>
      <c r="K44" s="79"/>
      <c r="L44" s="79"/>
      <c r="M44" s="79"/>
      <c r="N44" s="79"/>
      <c r="O44" s="92" t="s">
        <v>9</v>
      </c>
      <c r="R44" s="93" t="str">
        <f>IFS(OR(S22=2, S22="FFW"),R22,OR(S24=2, S24="FFW"),R24,TRUE,"")</f>
        <v/>
      </c>
      <c r="S44" s="94">
        <v>45718.0</v>
      </c>
      <c r="T44" s="79"/>
      <c r="U44" s="79"/>
      <c r="V44" s="79"/>
      <c r="W44" s="78"/>
      <c r="X44" s="80"/>
      <c r="Y44" s="78"/>
      <c r="Z44" s="79"/>
      <c r="AA44" s="79"/>
      <c r="AB44" s="79"/>
      <c r="AC44" s="79"/>
      <c r="AD44" s="79"/>
      <c r="AE44" s="79"/>
      <c r="AF44" s="79"/>
      <c r="AG44" s="79"/>
      <c r="AH44" s="79"/>
      <c r="AI44" s="79"/>
      <c r="AJ44" s="79"/>
      <c r="AK44" s="79"/>
      <c r="AL44" s="79"/>
      <c r="AM44" s="78"/>
    </row>
    <row r="45" ht="12.0" customHeight="1">
      <c r="A45" s="78"/>
      <c r="B45" s="79"/>
      <c r="C45" s="79"/>
      <c r="D45" s="79"/>
      <c r="E45" s="79"/>
      <c r="F45" s="79"/>
      <c r="G45" s="79"/>
      <c r="H45" s="79"/>
      <c r="I45" s="79"/>
      <c r="J45" s="79"/>
      <c r="K45" s="79"/>
      <c r="L45" s="79"/>
      <c r="M45" s="79"/>
      <c r="N45" s="79"/>
      <c r="O45" s="95" t="s">
        <v>9</v>
      </c>
      <c r="P45" s="70"/>
      <c r="Q45" s="70"/>
      <c r="R45" s="96" t="str">
        <f>IFS(OR(S26=2, S26="FFW"),R26,OR(S28=2, S28="FFW"),R28,TRUE,"")</f>
        <v/>
      </c>
      <c r="S45" s="94">
        <v>45718.0</v>
      </c>
      <c r="T45" s="79"/>
      <c r="U45" s="79"/>
      <c r="V45" s="79"/>
      <c r="W45" s="78"/>
      <c r="X45" s="80"/>
      <c r="Y45" s="78"/>
      <c r="Z45" s="79"/>
      <c r="AA45" s="79"/>
      <c r="AB45" s="79"/>
      <c r="AC45" s="79"/>
      <c r="AD45" s="79"/>
      <c r="AE45" s="79"/>
      <c r="AF45" s="79"/>
      <c r="AG45" s="79"/>
      <c r="AH45" s="79"/>
      <c r="AI45" s="79"/>
      <c r="AJ45" s="79"/>
      <c r="AK45" s="79"/>
      <c r="AL45" s="79"/>
      <c r="AM45" s="78"/>
    </row>
    <row r="46" ht="12.0" customHeight="1">
      <c r="A46" s="78"/>
      <c r="B46" s="79"/>
      <c r="C46" s="79"/>
      <c r="D46" s="79"/>
      <c r="E46" s="79"/>
      <c r="F46" s="79"/>
      <c r="G46" s="79"/>
      <c r="H46" s="79"/>
      <c r="I46" s="79"/>
      <c r="J46" s="79"/>
      <c r="K46" s="79"/>
      <c r="L46" s="79"/>
      <c r="M46" s="79"/>
      <c r="N46" s="79"/>
      <c r="O46" s="97"/>
      <c r="P46" s="97"/>
      <c r="Q46" s="97"/>
      <c r="R46" s="97" t="str">
        <f>IFS(OR(S18=1, S18=0, S18="FFL"),R18,OR(S20=1, S20=0, S20="FFL"),R20,TRUE,"")</f>
        <v/>
      </c>
      <c r="S46" s="98">
        <v>45691.0</v>
      </c>
      <c r="T46" s="79"/>
      <c r="U46" s="79"/>
      <c r="V46" s="79"/>
      <c r="W46" s="78"/>
      <c r="X46" s="80"/>
      <c r="Y46" s="78"/>
      <c r="Z46" s="79"/>
      <c r="AA46" s="79"/>
      <c r="AB46" s="79"/>
      <c r="AC46" s="79"/>
      <c r="AD46" s="79"/>
      <c r="AE46" s="79"/>
      <c r="AF46" s="79"/>
      <c r="AG46" s="79"/>
      <c r="AH46" s="79"/>
      <c r="AI46" s="79"/>
      <c r="AJ46" s="79"/>
      <c r="AK46" s="79"/>
      <c r="AL46" s="79"/>
      <c r="AM46" s="78"/>
    </row>
    <row r="47" ht="12.0" customHeight="1">
      <c r="A47" s="78"/>
      <c r="B47" s="79"/>
      <c r="C47" s="79"/>
      <c r="D47" s="79"/>
      <c r="E47" s="79"/>
      <c r="F47" s="79"/>
      <c r="G47" s="79"/>
      <c r="H47" s="79"/>
      <c r="I47" s="79"/>
      <c r="J47" s="79"/>
      <c r="K47" s="79"/>
      <c r="L47" s="79"/>
      <c r="M47" s="79"/>
      <c r="N47" s="79"/>
      <c r="O47" s="99"/>
      <c r="P47" s="99"/>
      <c r="Q47" s="99"/>
      <c r="R47" s="99" t="str">
        <f>IFS(OR(S22=1, S22=0, S22="FFL"),R22,OR(S24=1, S24=0, S24="FFL"),R24,TRUE,"")</f>
        <v/>
      </c>
      <c r="S47" s="100">
        <v>45691.0</v>
      </c>
      <c r="T47" s="79"/>
      <c r="U47" s="79"/>
      <c r="V47" s="79"/>
      <c r="W47" s="78"/>
      <c r="X47" s="80"/>
      <c r="Y47" s="78"/>
      <c r="Z47" s="79"/>
      <c r="AA47" s="79"/>
      <c r="AB47" s="79"/>
      <c r="AC47" s="79"/>
      <c r="AD47" s="79"/>
      <c r="AE47" s="79"/>
      <c r="AF47" s="79"/>
      <c r="AG47" s="79"/>
      <c r="AH47" s="79"/>
      <c r="AI47" s="79"/>
      <c r="AJ47" s="79"/>
      <c r="AK47" s="79"/>
      <c r="AL47" s="79"/>
      <c r="AM47" s="78"/>
    </row>
    <row r="48" ht="12.0" customHeight="1">
      <c r="A48" s="78"/>
      <c r="B48" s="79"/>
      <c r="C48" s="79"/>
      <c r="D48" s="79"/>
      <c r="E48" s="79"/>
      <c r="F48" s="78"/>
      <c r="G48" s="79"/>
      <c r="H48" s="79"/>
      <c r="I48" s="79"/>
      <c r="J48" s="79"/>
      <c r="K48" s="79"/>
      <c r="L48" s="79"/>
      <c r="M48" s="79"/>
      <c r="N48" s="79"/>
      <c r="O48" s="99"/>
      <c r="P48" s="99"/>
      <c r="Q48" s="99"/>
      <c r="R48" s="99" t="str">
        <f>IFS(OR(S26=1, S26=0, S26="FFL"),R26,OR(S28=1, S28=0, S28="FFL"),R28,TRUE,"")</f>
        <v/>
      </c>
      <c r="S48" s="100">
        <v>45691.0</v>
      </c>
      <c r="T48" s="79"/>
      <c r="U48" s="79"/>
      <c r="V48" s="79"/>
      <c r="W48" s="78"/>
      <c r="X48" s="80"/>
      <c r="Y48" s="78"/>
      <c r="Z48" s="79"/>
      <c r="AA48" s="79"/>
      <c r="AB48" s="79"/>
      <c r="AC48" s="79"/>
      <c r="AD48" s="79"/>
      <c r="AE48" s="79"/>
      <c r="AF48" s="79"/>
      <c r="AG48" s="79"/>
      <c r="AH48" s="79"/>
      <c r="AI48" s="79"/>
      <c r="AJ48" s="79"/>
      <c r="AK48" s="79"/>
      <c r="AL48" s="79"/>
      <c r="AM48" s="78"/>
    </row>
    <row r="49" ht="12.0" customHeight="1">
      <c r="A49" s="78"/>
      <c r="B49" s="79"/>
      <c r="C49" s="79"/>
      <c r="D49" s="79"/>
      <c r="E49" s="79"/>
      <c r="F49" s="79"/>
      <c r="G49" s="79"/>
      <c r="H49" s="79"/>
      <c r="I49" s="79"/>
      <c r="J49" s="79"/>
      <c r="K49" s="79"/>
      <c r="L49" s="79"/>
      <c r="M49" s="79"/>
      <c r="N49" s="79"/>
      <c r="O49" s="99"/>
      <c r="P49" s="99"/>
      <c r="Q49" s="99"/>
      <c r="R49" s="99" t="str">
        <f>IFS(OR(O33=1, O33=0, O33="FFL"),N33,OR(O35=1, O35=0, O35="FFL"),N35,TRUE,"")</f>
        <v/>
      </c>
      <c r="S49" s="100">
        <v>45660.0</v>
      </c>
      <c r="T49" s="79"/>
      <c r="U49" s="79"/>
      <c r="V49" s="79"/>
      <c r="W49" s="78"/>
      <c r="X49" s="80"/>
      <c r="Y49" s="78"/>
      <c r="Z49" s="79"/>
      <c r="AA49" s="79"/>
      <c r="AB49" s="79"/>
      <c r="AC49" s="79"/>
      <c r="AD49" s="79"/>
      <c r="AE49" s="79"/>
      <c r="AF49" s="79"/>
      <c r="AG49" s="79"/>
      <c r="AH49" s="79"/>
      <c r="AI49" s="79"/>
      <c r="AJ49" s="79"/>
      <c r="AK49" s="79"/>
      <c r="AL49" s="79"/>
      <c r="AM49" s="78"/>
    </row>
    <row r="50" ht="12.0" customHeight="1">
      <c r="A50" s="78"/>
      <c r="B50" s="79"/>
      <c r="C50" s="79"/>
      <c r="D50" s="79"/>
      <c r="E50" s="79"/>
      <c r="F50" s="79"/>
      <c r="G50" s="79"/>
      <c r="H50" s="79"/>
      <c r="I50" s="79"/>
      <c r="J50" s="79"/>
      <c r="K50" s="79"/>
      <c r="L50" s="79"/>
      <c r="M50" s="79"/>
      <c r="N50" s="79"/>
      <c r="O50" s="99"/>
      <c r="P50" s="99"/>
      <c r="Q50" s="99"/>
      <c r="R50" s="99" t="str">
        <f>IFS(OR(O29=1, O29=0, O29="FFL"),N29,OR(O31=1, O31=0, O31="FFL"),N31,TRUE,"")</f>
        <v/>
      </c>
      <c r="S50" s="100">
        <v>45660.0</v>
      </c>
      <c r="T50" s="79"/>
      <c r="U50" s="79"/>
      <c r="V50" s="79"/>
      <c r="W50" s="78"/>
      <c r="X50" s="80"/>
      <c r="Y50" s="78"/>
      <c r="Z50" s="79"/>
      <c r="AA50" s="79"/>
      <c r="AB50" s="79"/>
      <c r="AC50" s="79"/>
      <c r="AD50" s="79"/>
      <c r="AE50" s="79"/>
      <c r="AF50" s="79"/>
      <c r="AG50" s="79"/>
      <c r="AH50" s="79"/>
      <c r="AI50" s="79"/>
      <c r="AJ50" s="79"/>
      <c r="AK50" s="79"/>
      <c r="AL50" s="79"/>
      <c r="AM50" s="78"/>
    </row>
    <row r="51" ht="12.0" customHeight="1">
      <c r="A51" s="78"/>
      <c r="B51" s="79"/>
      <c r="C51" s="79"/>
      <c r="D51" s="79"/>
      <c r="E51" s="79"/>
      <c r="F51" s="79"/>
      <c r="G51" s="79"/>
      <c r="H51" s="79"/>
      <c r="I51" s="79"/>
      <c r="J51" s="79"/>
      <c r="K51" s="79"/>
      <c r="L51" s="79"/>
      <c r="M51" s="79"/>
      <c r="N51" s="79"/>
      <c r="O51" s="99"/>
      <c r="P51" s="99"/>
      <c r="Q51" s="99"/>
      <c r="R51" s="99" t="str">
        <f>IFS(OR(O25=1, O25=0, O25="FFL"),N25,OR(O27=1, O27=0, O27="FFL"),N27,TRUE,"")</f>
        <v/>
      </c>
      <c r="S51" s="100">
        <v>45660.0</v>
      </c>
      <c r="T51" s="79"/>
      <c r="U51" s="79"/>
      <c r="V51" s="79"/>
      <c r="W51" s="78"/>
      <c r="X51" s="80"/>
      <c r="Y51" s="78"/>
      <c r="Z51" s="79"/>
      <c r="AA51" s="79"/>
      <c r="AB51" s="79"/>
      <c r="AC51" s="79"/>
      <c r="AD51" s="79"/>
      <c r="AE51" s="79"/>
      <c r="AF51" s="79"/>
      <c r="AG51" s="79"/>
      <c r="AH51" s="79"/>
      <c r="AI51" s="79"/>
      <c r="AJ51" s="79"/>
      <c r="AK51" s="79"/>
      <c r="AL51" s="79"/>
      <c r="AM51" s="78"/>
    </row>
    <row r="52" ht="12.0" customHeight="1">
      <c r="A52" s="78"/>
      <c r="B52" s="79"/>
      <c r="C52" s="79"/>
      <c r="D52" s="79"/>
      <c r="E52" s="79"/>
      <c r="F52" s="79"/>
      <c r="G52" s="79"/>
      <c r="H52" s="79"/>
      <c r="I52" s="79"/>
      <c r="J52" s="79"/>
      <c r="K52" s="79"/>
      <c r="L52" s="79"/>
      <c r="M52" s="79"/>
      <c r="N52" s="79"/>
      <c r="O52" s="99"/>
      <c r="P52" s="99"/>
      <c r="Q52" s="99"/>
      <c r="R52" s="101" t="str">
        <f>IFS(OR(K36=1, K36=0, K36="FFL"),J36,OR(K38=1, K38=0, K38="FFL"),J38,TRUE,"")</f>
        <v/>
      </c>
      <c r="S52" s="102" t="s">
        <v>92</v>
      </c>
      <c r="T52" s="79"/>
      <c r="U52" s="79"/>
      <c r="V52" s="79"/>
      <c r="W52" s="78"/>
      <c r="X52" s="80"/>
      <c r="Y52" s="78"/>
      <c r="Z52" s="79"/>
      <c r="AA52" s="79"/>
      <c r="AB52" s="79"/>
      <c r="AC52" s="79"/>
      <c r="AD52" s="79"/>
      <c r="AE52" s="79"/>
      <c r="AF52" s="79"/>
      <c r="AG52" s="79"/>
      <c r="AH52" s="79"/>
      <c r="AI52" s="79"/>
      <c r="AJ52" s="79"/>
      <c r="AK52" s="79"/>
      <c r="AL52" s="79"/>
      <c r="AM52" s="78"/>
    </row>
    <row r="53" ht="12.0" customHeight="1">
      <c r="A53" s="78"/>
      <c r="B53" s="79"/>
      <c r="C53" s="79"/>
      <c r="D53" s="79"/>
      <c r="E53" s="79"/>
      <c r="F53" s="79"/>
      <c r="G53" s="79"/>
      <c r="H53" s="79"/>
      <c r="I53" s="79"/>
      <c r="J53" s="79"/>
      <c r="K53" s="79"/>
      <c r="L53" s="79"/>
      <c r="M53" s="79"/>
      <c r="N53" s="79"/>
      <c r="O53" s="99"/>
      <c r="P53" s="99"/>
      <c r="Q53" s="99"/>
      <c r="R53" s="101" t="str">
        <f>IFS(OR(K32=1, K32=0, K32="FFL"),J32,OR(K34=1, K34=0, K34="FFL"),J34,TRUE,"")</f>
        <v/>
      </c>
      <c r="S53" s="102" t="s">
        <v>92</v>
      </c>
      <c r="T53" s="79"/>
      <c r="U53" s="79"/>
      <c r="V53" s="79"/>
      <c r="W53" s="78"/>
      <c r="X53" s="80"/>
      <c r="Y53" s="78"/>
      <c r="Z53" s="79"/>
      <c r="AA53" s="79"/>
      <c r="AB53" s="79"/>
      <c r="AC53" s="79"/>
      <c r="AD53" s="79"/>
      <c r="AE53" s="79"/>
      <c r="AF53" s="79"/>
      <c r="AG53" s="79"/>
      <c r="AH53" s="79"/>
      <c r="AI53" s="79"/>
      <c r="AJ53" s="79"/>
      <c r="AK53" s="79"/>
      <c r="AL53" s="79"/>
      <c r="AM53" s="78"/>
    </row>
    <row r="54" ht="12.0" customHeight="1">
      <c r="A54" s="78"/>
      <c r="B54" s="78"/>
      <c r="C54" s="78"/>
      <c r="D54" s="78"/>
      <c r="E54" s="78"/>
      <c r="F54" s="78"/>
      <c r="G54" s="78"/>
      <c r="H54" s="78"/>
      <c r="I54" s="78"/>
      <c r="J54" s="78"/>
      <c r="K54" s="78"/>
      <c r="L54" s="78"/>
      <c r="M54" s="78"/>
      <c r="N54" s="79"/>
      <c r="O54" s="78"/>
      <c r="P54" s="78"/>
      <c r="Q54" s="78"/>
      <c r="R54" s="79"/>
      <c r="S54" s="78"/>
      <c r="T54" s="78"/>
      <c r="U54" s="78"/>
      <c r="V54" s="78"/>
      <c r="W54" s="78"/>
      <c r="X54" s="80"/>
      <c r="Y54" s="78"/>
      <c r="Z54" s="78"/>
      <c r="AA54" s="78"/>
      <c r="AB54" s="78"/>
      <c r="AC54" s="78"/>
      <c r="AD54" s="78"/>
      <c r="AE54" s="78"/>
      <c r="AF54" s="78"/>
      <c r="AG54" s="78"/>
      <c r="AH54" s="78"/>
      <c r="AI54" s="78"/>
      <c r="AJ54" s="78"/>
      <c r="AK54" s="78"/>
      <c r="AL54" s="78"/>
      <c r="AM54" s="78"/>
    </row>
  </sheetData>
  <mergeCells count="11">
    <mergeCell ref="O42:Q42"/>
    <mergeCell ref="O43:Q43"/>
    <mergeCell ref="O44:Q44"/>
    <mergeCell ref="O45:Q45"/>
    <mergeCell ref="B1:V1"/>
    <mergeCell ref="Z1:AL1"/>
    <mergeCell ref="O37:S37"/>
    <mergeCell ref="O38:Q38"/>
    <mergeCell ref="O39:Q39"/>
    <mergeCell ref="O40:Q40"/>
    <mergeCell ref="O41:Q41"/>
  </mergeCells>
  <conditionalFormatting sqref="J4 Z4 AC5 J6 Z6 F7 AF7 J8 Z8 B9 F9 AC9 J10 Z10 B11 F11 AI11 N12 Z12 B13 F13 AC13 J14 N14 Z14 B15 F15 AF15 J16 N16 Z16 B17 F17 AC17 J18 N18 R18 Z18 B19 F19 AL19 J20 N20 R20 Z20 B21 F21 AC21 J22 N22 R22 Z22 B23 AF23 J24 R24 Z24 B25 N25 AC25 J26 R26 Z26 B27 F27 N27 AI27 J28 R28 Z28 B29 F29 N29 AC29 Z30 B31 F31 N31 AF31 J32 Z32 B33 F33 N33 AC33 J34 Z34 B35 F35 N35 J36 B37 F37 J38 B39 F39 F41">
    <cfRule type="expression" dxfId="0" priority="1">
      <formula>AND(K4=0, K4&lt;&gt;"")</formula>
    </cfRule>
  </conditionalFormatting>
  <conditionalFormatting sqref="P19:Q19 S19:U19 T25 S53">
    <cfRule type="expression" dxfId="1" priority="2">
      <formula>(#REF!=2)</formula>
    </cfRule>
  </conditionalFormatting>
  <conditionalFormatting sqref="P19:Q19 S19:U19 T25 S53">
    <cfRule type="expression" dxfId="1" priority="3">
      <formula>(#REF!="FFW")</formula>
    </cfRule>
  </conditionalFormatting>
  <conditionalFormatting sqref="K4 AA4 AD5 K6 AA6 G7 AG7 K8 AA8 C9 G9 AD9 K10 AA10 C11 G11 AJ11 O12 AA12 C13 G13 AD13 K14 O14 AA14 C15 G15 AG15 K16 O16 AA16 C17 G17 AD17 K18 O18 S18 AA18 C19 G19 K20 O20 S20 AA20 C21 G21 AD21 K22 O22 S22 AA22 C23 AG23 K24 S24 AA24 C25 O25 AD25 K26 S26 AA26 C27 G27 O27 AJ27 K28 S28 AA28 C29 G29 O29 AD29 AA30 C31 G31 O31 AG31 K32 AA32 C33 G33 O33 AD33 K34 AA34 C35 G35 O35 K36 C37 G37 K38 C39 G39 G41">
    <cfRule type="cellIs" dxfId="2" priority="4" operator="equal">
      <formula>2</formula>
    </cfRule>
  </conditionalFormatting>
  <conditionalFormatting sqref="K4 AA4 AD5 K6 AA6 G7 AG7 K8 AA8 C9 G9 AD9 K10 AA10 C11 G11 AJ11 O12 AA12 C13 G13 AD13 K14 O14 AA14 C15 G15 AG15 K16 O16 AA16 C17 G17 AD17 K18 O18 S18 AA18 C19 G19 K20 O20 S20 AA20 C21 G21 AD21 K22 O22 S22 AA22 C23 AG23 K24 S24 AA24 C25 O25 AD25 K26 S26 AA26 C27 G27 O27 AJ27 K28 S28 AA28 C29 G29 O29 AD29 AA30 C31 G31 O31 AG31 K32 AA32 C33 G33 O33 AD33 K34 AA34 C35 G35 O35 K36 C37 G37 K38 C39 G39 G41">
    <cfRule type="cellIs" dxfId="2" priority="5" operator="equal">
      <formula>"FFW"</formula>
    </cfRule>
  </conditionalFormatting>
  <conditionalFormatting sqref="K4 AA4 AD5 K6 AA6 G7 AG7 K8 AA8 C9 G9 AD9 K10 AA10 C11 G11 AJ11 O12 AA12 C13 G13 AD13 K14 O14 AA14 C15 G15 AG15 K16 O16 AA16 C17 G17 AD17 K18 O18 S18 AA18 C19 G19 K20 O20 S20 AA20 C21 G21 AD21 K22 O22 S22 AA22 C23 AG23 K24 S24 AA24 C25 O25 AD25 K26 S26 AA26 C27 G27 O27 AJ27 K28 S28 AA28 C29 G29 O29 AD29 AA30 C31 G31 O31 AG31 K32 AA32 C33 G33 O33 AD33 K34 AA34 C35 G35 O35 K36 C37 G37 K38 C39 G39 G41">
    <cfRule type="cellIs" dxfId="3" priority="6" operator="equal">
      <formula>"FFL"</formula>
    </cfRule>
  </conditionalFormatting>
  <conditionalFormatting sqref="J4 Z4 AC5 J6 Z6 F7 AF7 J8 Z8 B9 F9 AC9 J10 Z10 B11 F11 AI11 N12 Z12 B13 F13 AC13 J14 N14 Z14 B15 F15 AF15 J16 N16 Z16 B17 F17 AC17 J18 N18 R18 Z18 B19 F19 AL19 J20 N20 R20 Z20 B21 F21 AC21 J22 N22 R22 Z22 B23 AF23 J24 R24 Z24 B25 N25 AC25 J26 R26 Z26 B27 F27 N27 AI27 J28 R28 Z28 B29 F29 N29 AC29 Z30 B31 F31 N31 AF31 J32 Z32 B33 F33 N33 AC33 J34 Z34 B35 F35 N35 J36 B37 F37 J38 B39 F39 F41">
    <cfRule type="expression" dxfId="4" priority="7">
      <formula>(K4=2)</formula>
    </cfRule>
  </conditionalFormatting>
  <conditionalFormatting sqref="J4 Z4 AC5 J6 Z6 F7 AF7 J8 Z8 B9 F9 AC9 J10 Z10 B11 F11 AI11 N12 Z12 B13 F13 AC13 J14 N14 Z14 B15 F15 AF15 J16 N16 Z16 B17 F17 AC17 J18 N18 R18 Z18 B19 F19 AL19 J20 N20 R20 Z20 B21 F21 AC21 J22 N22 R22 Z22 B23 AF23 J24 R24 Z24 B25 N25 AC25 J26 R26 Z26 B27 F27 N27 AI27 J28 R28 Z28 B29 F29 N29 AC29 Z30 B31 F31 N31 AF31 J32 Z32 B33 F33 N33 AC33 J34 Z34 B35 F35 N35 J36 B37 F37 J38 B39 F39 F41">
    <cfRule type="expression" dxfId="4" priority="8">
      <formula>(K4="FFW")</formula>
    </cfRule>
  </conditionalFormatting>
  <conditionalFormatting sqref="J4 Z4 AC5 J6 Z6 F7 AF7 J8 Z8 B9 F9 AC9 J10 Z10 B11 F11 AI11 N12 Z12 B13 F13 AC13 J14 N14 Z14 B15 F15 AF15 J16 N16 Z16 B17 F17 AC17 J18 N18 R18 Z18 B19 F19 AL19 J20 N20 R20 Z20 B21 F21 AC21 J22 N22 R22 Z22 B23 AF23 J24 R24 Z24 B25 N25 AC25 J26 R26 Z26 B27 F27 N27 AI27 J28 R28 Z28 B29 F29 N29 AC29 Z30 B31 F31 N31 AF31 J32 Z32 B33 F33 N33 AC33 J34 Z34 B35 F35 N35 J36 B37 F37 J38 B39 F39 F41">
    <cfRule type="expression" dxfId="0" priority="9">
      <formula>(K4=1)</formula>
    </cfRule>
  </conditionalFormatting>
  <conditionalFormatting sqref="J4 Z4 AC5 J6 Z6 F7 AF7 J8 Z8 B9 F9 AC9 J10 Z10 B11 F11 AI11 N12 Z12 B13 F13 AC13 J14 N14 Z14 B15 F15 AF15 J16 N16 Z16 B17 F17 AC17 J18 N18 R18 Z18 B19 F19 AL19 J20 N20 R20 Z20 B21 F21 AC21 J22 N22 R22 Z22 B23 AF23 J24 R24 Z24 B25 N25 AC25 J26 R26 Z26 B27 F27 N27 AI27 J28 R28 Z28 B29 F29 N29 AC29 Z30 B31 F31 N31 AF31 J32 Z32 B33 F33 N33 AC33 J34 Z34 B35 F35 N35 J36 B37 F37 J38 B39 F39 F41">
    <cfRule type="expression" dxfId="0" priority="10">
      <formula>(K4="FFL")</formula>
    </cfRule>
  </conditionalFormatting>
  <conditionalFormatting sqref="K4 AA4 AD5 K6 AA6 G7 AG7 K8 AA8 C9 G9 AD9 K10 AA10 C11 G11 AJ11 O12 AA12 C13 G13 AD13 K14 O14 AA14 C15 G15 AG15 K16 O16 AA16 C17 G17 AD17 K18 O18 S18 AA18 C19 G19 K20 O20 S20 AA20 C21 G21 AD21 K22 O22 S22 AA22 C23 AG23 K24 S24 AA24 C25 O25 AD25 K26 S26 AA26 C27 G27 O27 AJ27 K28 S28 AA28 C29 G29 O29 AD29 AA30 C31 G31 O31 AG31 K32 AA32 C33 G33 O33 AD33 K34 AA34 C35 G35 O35 K36 C37 G37 K38 C39 G39 G41">
    <cfRule type="cellIs" dxfId="3" priority="11" operator="lessThan">
      <formula>2</formula>
    </cfRule>
  </conditionalFormatting>
  <conditionalFormatting sqref="AL19">
    <cfRule type="notContainsBlanks" dxfId="5" priority="12">
      <formula>LEN(TRIM(AL19))&gt;0</formula>
    </cfRule>
  </conditionalFormatting>
  <dataValidations>
    <dataValidation type="list" allowBlank="1" showDropDown="1" showErrorMessage="1" sqref="K4 AA4 AD5 K6 AA6 G7 AG7 K8 AA8 C9 G9 AD9 K10 AA10 C11 G11 AJ11 O12 AA12 C13 G13 AD13 K14 O14 AA14 C15 G15 AG15 K16 O16 AA16 C17 G17 AD17 K18 O18 S18 AA18 C19 G19 K20 O20 S20 AA20 C21 G21 AD21 K22 O22 S22 AA22 C23 AG23 K24 S24 AA24 C25 O25 AD25 K26 S26 AA26 C27 G27 O27 AJ27 K28 S28 AA28 C29 G29 O29 AD29 AA30 C31 G31 O31 AG31 K32 AA32 C33 G33 O33 AD33 K34 AA34 C35 G35 O35 K36 C37 G37 K38 C39 G39 G41">
      <formula1>"0,1,2,3,FFW,FFL"</formula1>
    </dataValidation>
    <dataValidation type="list" allowBlank="1" showDropDown="1" showErrorMessage="1" sqref="J4 Z4 AC5 J6 Z6 F7 AF7 J8 Z8 B9 F9 AC9 J10 Z10 B11 F11 AI11 N12 Z12 B13 F13 AC13 J14 N14 Z14 B15 F15 AF15 J16 N16 Z16 B17 F17 AC17 J18 N18 R18 Z18 B19 F19 AL19 J20 N20 R20 Z20 B21 F21 AC21 J22 N22 R22 Z22 B23 AF23 J24 R24 Z24 B25 N25 AC25 J26 R26 Z26 B27 F27 N27 AI27 J28 R28 Z28 B29 F29 N29 AC29 Z30 B31 F31 N31 AF31 J32 Z32 B33 F33 N33 AC33 J34 Z34 B35 F35 N35 J36 B37 F37 J38 B39 F39 F41">
      <formula1>General!$O$3:$O$26</formula1>
    </dataValidation>
    <dataValidation type="list" allowBlank="1" showDropDown="1" showErrorMessage="1" sqref="J5 Z5 AC7 F8 J9 Z9 B10 AF11 F12 N13 Z13 B14 J15 AC15 F16 N17 Z17 B18 J19 R19 AI19 F20 N21 Z21 B22 J23 R23 AC23 Z25 B26 N26 J27 R27 AF27 F28 Z29 B30 N30 AC31 F32 J33 Z33 B34 N34 F36 J37 B38 F40">
      <formula1>Data!$C$2:$C$31</formula1>
    </dataValidation>
    <dataValidation type="list" allowBlank="1" showDropDown="1" sqref="V5 AC6:AD6 AC8:AD8 AC14:AD14 V16 AC16:AD16 AC22:AD22 AC24:AD24 AC30:AD30 AC32:AD32 B54:K54 M54 Z54:AL54">
      <formula1>Data!$E$2:$E$9</formula1>
    </dataValidation>
  </dataValidations>
  <printOptions gridLines="1" horizontalCentered="1"/>
  <pageMargins bottom="0.75" footer="0.0" header="0.0" left="0.7" right="0.7" top="0.75"/>
  <pageSetup fitToHeight="0" paperSize="3"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pageSetUpPr fitToPage="1"/>
  </sheetPr>
  <sheetViews>
    <sheetView workbookViewId="0"/>
  </sheetViews>
  <sheetFormatPr customHeight="1" defaultColWidth="12.63" defaultRowHeight="15.75"/>
  <cols>
    <col customWidth="1" min="1" max="1" width="7.0"/>
    <col customWidth="1" min="2" max="2" width="12.38"/>
    <col customWidth="1" min="3" max="3" width="17.88"/>
    <col customWidth="1" min="4" max="4" width="16.5"/>
    <col customWidth="1" min="5" max="6" width="10.38"/>
    <col customWidth="1" min="7" max="7" width="15.88"/>
    <col customWidth="1" min="8" max="8" width="4.0"/>
    <col customWidth="1" min="9" max="9" width="0.88"/>
    <col customWidth="1" min="10" max="10" width="4.0"/>
    <col customWidth="1" min="11" max="11" width="15.88"/>
    <col customWidth="1" min="12" max="12" width="0.88"/>
    <col customWidth="1" min="13" max="14" width="3.88"/>
    <col customWidth="1" min="15" max="15" width="0.88"/>
    <col customWidth="1" min="16" max="17" width="3.88"/>
    <col customWidth="1" min="18" max="18" width="0.88"/>
    <col customWidth="1" min="19" max="20" width="3.88"/>
    <col customWidth="1" min="21" max="21" width="0.88"/>
    <col customWidth="1" min="22" max="22" width="63.0"/>
    <col customWidth="1" min="23" max="23" width="3.88"/>
  </cols>
  <sheetData>
    <row r="1" ht="24.75" customHeight="1">
      <c r="A1" s="103" t="s">
        <v>93</v>
      </c>
      <c r="B1" s="103" t="s">
        <v>94</v>
      </c>
      <c r="C1" s="103" t="s">
        <v>95</v>
      </c>
      <c r="D1" s="104" t="s">
        <v>96</v>
      </c>
      <c r="E1" s="105" t="s">
        <v>97</v>
      </c>
      <c r="F1" s="105" t="s">
        <v>98</v>
      </c>
      <c r="G1" s="106" t="s">
        <v>99</v>
      </c>
      <c r="H1" s="107" t="s">
        <v>100</v>
      </c>
      <c r="I1" s="70"/>
      <c r="J1" s="70"/>
      <c r="K1" s="108" t="s">
        <v>101</v>
      </c>
      <c r="L1" s="109"/>
      <c r="M1" s="110" t="s">
        <v>102</v>
      </c>
      <c r="O1" s="111"/>
      <c r="P1" s="110" t="s">
        <v>103</v>
      </c>
      <c r="R1" s="111"/>
      <c r="S1" s="110" t="s">
        <v>104</v>
      </c>
      <c r="U1" s="109"/>
      <c r="V1" s="112" t="s">
        <v>105</v>
      </c>
      <c r="W1" s="113"/>
    </row>
    <row r="2" ht="15.75" customHeight="1">
      <c r="A2" s="114" t="s">
        <v>106</v>
      </c>
      <c r="B2" s="114" t="s">
        <v>41</v>
      </c>
      <c r="C2" s="115" t="s">
        <v>78</v>
      </c>
      <c r="D2" s="116">
        <v>46217.0</v>
      </c>
      <c r="E2" s="117">
        <v>0.4166666666666667</v>
      </c>
      <c r="F2" s="118">
        <f>E2+Data!$A$13</f>
        <v>0.625</v>
      </c>
      <c r="G2" s="114" t="s">
        <v>42</v>
      </c>
      <c r="H2" s="119">
        <f t="shared" ref="H2:H9" si="1">IF(M2="", "", IF(COUNT(M2:N2, P2:Q2, S2:T2) &gt; 0, (IF(ISNUMBER(M2)*ISNUMBER(N2), M2&gt;N2, M2="FFW")) + (IF(ISNUMBER(P2)*ISNUMBER(Q2), P2&gt;Q2, P2="FFW")) + (IF(ISNUMBER(S2)*ISNUMBER(T2), S2&gt;T2, S2="FFW")), IFS((M2="FFW")+(P2="FFW")+(S2="FFW")&gt;=2, "FFW", (M2="FFL")+(P2="FFL")+(S2="FFL")&gt;=2, "FFL", TRUE, (M2="FFW")+(P2="FFW")+(S2="FFW"))))</f>
        <v>0</v>
      </c>
      <c r="I2" s="114"/>
      <c r="J2" s="119">
        <f t="shared" ref="J2:J9" si="2">IF(M2="", "", IF(COUNT(M2:N2, P2:Q2, S2:T2) &gt; 0, (IF(ISNUMBER(M2)*ISNUMBER(N2), M2&lt;N2, N2="FFW")) + (IF(ISNUMBER(P2)*ISNUMBER(Q2), P2&lt;Q2, Q2="FFW")) + (IF(ISNUMBER(S2)*ISNUMBER(T2), S2&lt;T2, T2="FFW")), IFS((N2="FFW")+(Q2="FFW")+(T2="FFW")&gt;=2, "FFW", (N2="FFL")+(Q2="FFL")+(T2="FFL")&gt;=2, "FFL", TRUE, (N2="FFW")+(Q2="FFW")+(T2="FFW"))))</f>
        <v>2</v>
      </c>
      <c r="K2" s="114" t="s">
        <v>71</v>
      </c>
      <c r="L2" s="120"/>
      <c r="M2" s="114">
        <v>1.0</v>
      </c>
      <c r="N2" s="114">
        <v>13.0</v>
      </c>
      <c r="O2" s="120"/>
      <c r="P2" s="114">
        <v>6.0</v>
      </c>
      <c r="Q2" s="114">
        <v>13.0</v>
      </c>
      <c r="R2" s="114"/>
      <c r="S2" s="114"/>
      <c r="T2" s="114"/>
      <c r="U2" s="120"/>
      <c r="V2" s="114"/>
      <c r="W2" s="121"/>
    </row>
    <row r="3" ht="15.75" customHeight="1">
      <c r="A3" s="119" t="s">
        <v>106</v>
      </c>
      <c r="B3" s="119" t="s">
        <v>41</v>
      </c>
      <c r="C3" s="122" t="s">
        <v>78</v>
      </c>
      <c r="E3" s="123">
        <v>0.5416666666666666</v>
      </c>
      <c r="F3" s="124">
        <f>E3+Data!$A$13</f>
        <v>0.75</v>
      </c>
      <c r="G3" s="119" t="s">
        <v>46</v>
      </c>
      <c r="H3" s="119">
        <f t="shared" si="1"/>
        <v>0</v>
      </c>
      <c r="I3" s="119"/>
      <c r="J3" s="119">
        <f t="shared" si="2"/>
        <v>2</v>
      </c>
      <c r="K3" s="119" t="s">
        <v>70</v>
      </c>
      <c r="L3" s="125"/>
      <c r="M3" s="119">
        <v>5.0</v>
      </c>
      <c r="N3" s="119">
        <v>13.0</v>
      </c>
      <c r="O3" s="125"/>
      <c r="P3" s="119">
        <v>11.0</v>
      </c>
      <c r="Q3" s="119">
        <v>13.0</v>
      </c>
      <c r="R3" s="125"/>
      <c r="S3" s="119"/>
      <c r="T3" s="119"/>
      <c r="U3" s="125"/>
      <c r="V3" s="119"/>
      <c r="W3" s="121"/>
    </row>
    <row r="4" ht="15.75" customHeight="1">
      <c r="A4" s="119" t="s">
        <v>106</v>
      </c>
      <c r="B4" s="119" t="s">
        <v>41</v>
      </c>
      <c r="C4" s="122" t="s">
        <v>78</v>
      </c>
      <c r="E4" s="123">
        <v>0.6666666666666666</v>
      </c>
      <c r="F4" s="124">
        <f>E4+Data!$A$13</f>
        <v>0.875</v>
      </c>
      <c r="G4" s="119" t="s">
        <v>60</v>
      </c>
      <c r="H4" s="119" t="str">
        <f t="shared" si="1"/>
        <v>FFL</v>
      </c>
      <c r="I4" s="119"/>
      <c r="J4" s="119" t="str">
        <f t="shared" si="2"/>
        <v>FFW</v>
      </c>
      <c r="K4" s="119" t="s">
        <v>65</v>
      </c>
      <c r="L4" s="125"/>
      <c r="M4" s="119" t="s">
        <v>85</v>
      </c>
      <c r="N4" s="119" t="s">
        <v>86</v>
      </c>
      <c r="O4" s="125"/>
      <c r="P4" s="119" t="s">
        <v>85</v>
      </c>
      <c r="Q4" s="119" t="s">
        <v>86</v>
      </c>
      <c r="R4" s="125"/>
      <c r="S4" s="119"/>
      <c r="T4" s="119"/>
      <c r="U4" s="125"/>
      <c r="V4" s="119" t="s">
        <v>107</v>
      </c>
      <c r="W4" s="121"/>
    </row>
    <row r="5" ht="15.75" customHeight="1">
      <c r="A5" s="119" t="s">
        <v>106</v>
      </c>
      <c r="B5" s="126" t="s">
        <v>41</v>
      </c>
      <c r="C5" s="127" t="s">
        <v>78</v>
      </c>
      <c r="D5" s="70"/>
      <c r="E5" s="128">
        <v>0.7916666666666666</v>
      </c>
      <c r="F5" s="129">
        <f>E5+Data!$A$13</f>
        <v>1</v>
      </c>
      <c r="G5" s="126" t="s">
        <v>61</v>
      </c>
      <c r="H5" s="126">
        <f t="shared" si="1"/>
        <v>2</v>
      </c>
      <c r="I5" s="126"/>
      <c r="J5" s="126">
        <f t="shared" si="2"/>
        <v>0</v>
      </c>
      <c r="K5" s="126" t="s">
        <v>64</v>
      </c>
      <c r="L5" s="130"/>
      <c r="M5" s="126">
        <v>13.0</v>
      </c>
      <c r="N5" s="126">
        <v>7.0</v>
      </c>
      <c r="O5" s="130"/>
      <c r="P5" s="126">
        <v>13.0</v>
      </c>
      <c r="Q5" s="126">
        <v>4.0</v>
      </c>
      <c r="R5" s="130"/>
      <c r="S5" s="126"/>
      <c r="T5" s="126"/>
      <c r="U5" s="130"/>
      <c r="V5" s="126"/>
      <c r="W5" s="121"/>
    </row>
    <row r="6" ht="15.75" customHeight="1">
      <c r="A6" s="114" t="s">
        <v>106</v>
      </c>
      <c r="B6" s="114" t="s">
        <v>41</v>
      </c>
      <c r="C6" s="115" t="s">
        <v>78</v>
      </c>
      <c r="D6" s="116">
        <f>D2+1
</f>
        <v>46218</v>
      </c>
      <c r="E6" s="117">
        <v>0.4166666666666667</v>
      </c>
      <c r="F6" s="118">
        <f>E6+Data!$A$13</f>
        <v>0.625</v>
      </c>
      <c r="G6" s="114" t="s">
        <v>57</v>
      </c>
      <c r="H6" s="119">
        <f t="shared" si="1"/>
        <v>2</v>
      </c>
      <c r="I6" s="119"/>
      <c r="J6" s="119">
        <f t="shared" si="2"/>
        <v>1</v>
      </c>
      <c r="K6" s="114" t="s">
        <v>66</v>
      </c>
      <c r="L6" s="120"/>
      <c r="M6" s="114">
        <v>8.0</v>
      </c>
      <c r="N6" s="114">
        <v>13.0</v>
      </c>
      <c r="O6" s="120"/>
      <c r="P6" s="114">
        <v>13.0</v>
      </c>
      <c r="Q6" s="114">
        <v>7.0</v>
      </c>
      <c r="R6" s="114"/>
      <c r="S6" s="114">
        <v>16.0</v>
      </c>
      <c r="T6" s="114">
        <v>13.0</v>
      </c>
      <c r="U6" s="120"/>
      <c r="V6" s="114"/>
      <c r="W6" s="121"/>
    </row>
    <row r="7" ht="15.75" customHeight="1">
      <c r="A7" s="119" t="s">
        <v>106</v>
      </c>
      <c r="B7" s="119" t="s">
        <v>41</v>
      </c>
      <c r="C7" s="122" t="s">
        <v>78</v>
      </c>
      <c r="E7" s="123">
        <v>0.5659722222222222</v>
      </c>
      <c r="F7" s="124">
        <f>E7+Data!$A$13</f>
        <v>0.7743055556</v>
      </c>
      <c r="G7" s="119" t="s">
        <v>50</v>
      </c>
      <c r="H7" s="119">
        <f t="shared" si="1"/>
        <v>2</v>
      </c>
      <c r="I7" s="119"/>
      <c r="J7" s="119">
        <f t="shared" si="2"/>
        <v>0</v>
      </c>
      <c r="K7" s="119" t="s">
        <v>68</v>
      </c>
      <c r="L7" s="125"/>
      <c r="M7" s="119">
        <v>13.0</v>
      </c>
      <c r="N7" s="119">
        <v>3.0</v>
      </c>
      <c r="O7" s="125"/>
      <c r="P7" s="119">
        <v>13.0</v>
      </c>
      <c r="Q7" s="119">
        <v>1.0</v>
      </c>
      <c r="R7" s="125"/>
      <c r="S7" s="119"/>
      <c r="T7" s="119"/>
      <c r="U7" s="125"/>
      <c r="V7" s="119"/>
      <c r="W7" s="121"/>
    </row>
    <row r="8" ht="15.75" customHeight="1">
      <c r="A8" s="119" t="s">
        <v>106</v>
      </c>
      <c r="B8" s="119" t="s">
        <v>41</v>
      </c>
      <c r="C8" s="122" t="s">
        <v>78</v>
      </c>
      <c r="E8" s="123">
        <v>0.6666666666666666</v>
      </c>
      <c r="F8" s="124">
        <f>E8+Data!$A$13</f>
        <v>0.875</v>
      </c>
      <c r="G8" s="119" t="s">
        <v>53</v>
      </c>
      <c r="H8" s="119" t="str">
        <f t="shared" si="1"/>
        <v>FFL</v>
      </c>
      <c r="I8" s="119"/>
      <c r="J8" s="119" t="str">
        <f t="shared" si="2"/>
        <v>FFW</v>
      </c>
      <c r="K8" s="119" t="s">
        <v>67</v>
      </c>
      <c r="L8" s="125"/>
      <c r="M8" s="119" t="s">
        <v>85</v>
      </c>
      <c r="N8" s="119" t="s">
        <v>86</v>
      </c>
      <c r="O8" s="125"/>
      <c r="P8" s="119" t="s">
        <v>85</v>
      </c>
      <c r="Q8" s="119" t="s">
        <v>86</v>
      </c>
      <c r="R8" s="125"/>
      <c r="S8" s="119"/>
      <c r="T8" s="119"/>
      <c r="U8" s="125"/>
      <c r="V8" s="119" t="s">
        <v>108</v>
      </c>
      <c r="W8" s="121"/>
    </row>
    <row r="9" ht="15.75" customHeight="1">
      <c r="A9" s="119" t="s">
        <v>106</v>
      </c>
      <c r="B9" s="126" t="s">
        <v>41</v>
      </c>
      <c r="C9" s="127" t="s">
        <v>78</v>
      </c>
      <c r="D9" s="70"/>
      <c r="E9" s="128">
        <v>0.7916666666666666</v>
      </c>
      <c r="F9" s="129">
        <f>E9+Data!$A$13</f>
        <v>1</v>
      </c>
      <c r="G9" s="126" t="s">
        <v>62</v>
      </c>
      <c r="H9" s="126">
        <f t="shared" si="1"/>
        <v>2</v>
      </c>
      <c r="I9" s="126"/>
      <c r="J9" s="126">
        <f t="shared" si="2"/>
        <v>1</v>
      </c>
      <c r="K9" s="126" t="s">
        <v>63</v>
      </c>
      <c r="L9" s="130"/>
      <c r="M9" s="126">
        <v>2.0</v>
      </c>
      <c r="N9" s="126">
        <v>13.0</v>
      </c>
      <c r="O9" s="130"/>
      <c r="P9" s="126">
        <v>13.0</v>
      </c>
      <c r="Q9" s="126">
        <v>9.0</v>
      </c>
      <c r="R9" s="130"/>
      <c r="S9" s="126">
        <v>13.0</v>
      </c>
      <c r="T9" s="126">
        <v>10.0</v>
      </c>
      <c r="U9" s="130"/>
      <c r="V9" s="126"/>
      <c r="W9" s="121"/>
    </row>
    <row r="10" ht="15.75" customHeight="1">
      <c r="A10" s="114" t="s">
        <v>106</v>
      </c>
      <c r="B10" s="114" t="s">
        <v>41</v>
      </c>
      <c r="C10" s="115" t="s">
        <v>88</v>
      </c>
      <c r="D10" s="116">
        <f>D6+1
</f>
        <v>46219</v>
      </c>
      <c r="E10" s="117">
        <v>0.4166666666666667</v>
      </c>
      <c r="F10" s="118">
        <f>E10+Data!$A$13</f>
        <v>0.625</v>
      </c>
      <c r="G10" s="114" t="s">
        <v>46</v>
      </c>
      <c r="H10" s="119" t="s">
        <v>86</v>
      </c>
      <c r="I10" s="119"/>
      <c r="J10" s="119" t="s">
        <v>85</v>
      </c>
      <c r="K10" s="114" t="s">
        <v>68</v>
      </c>
      <c r="L10" s="120"/>
      <c r="M10" s="114" t="s">
        <v>86</v>
      </c>
      <c r="N10" s="114" t="s">
        <v>85</v>
      </c>
      <c r="O10" s="120"/>
      <c r="P10" s="114" t="s">
        <v>86</v>
      </c>
      <c r="Q10" s="114" t="s">
        <v>85</v>
      </c>
      <c r="R10" s="114"/>
      <c r="S10" s="114"/>
      <c r="T10" s="114"/>
      <c r="U10" s="120"/>
      <c r="V10" s="114" t="s">
        <v>109</v>
      </c>
      <c r="W10" s="121"/>
    </row>
    <row r="11" ht="15.75" customHeight="1">
      <c r="A11" s="119" t="s">
        <v>106</v>
      </c>
      <c r="B11" s="119" t="s">
        <v>41</v>
      </c>
      <c r="C11" s="122" t="s">
        <v>88</v>
      </c>
      <c r="E11" s="123">
        <v>0.5416666666666666</v>
      </c>
      <c r="F11" s="124">
        <f>E11+Data!$A$13</f>
        <v>0.75</v>
      </c>
      <c r="G11" s="119" t="s">
        <v>64</v>
      </c>
      <c r="H11" s="119">
        <f t="shared" ref="H11:H12" si="3">IF(M11="", "", IF(COUNT(M11:N11, P11:Q11, S11:T11) &gt; 0, (IF(ISNUMBER(M11)*ISNUMBER(N11), M11&gt;N11, M11="FFW")) + (IF(ISNUMBER(P11)*ISNUMBER(Q11), P11&gt;Q11, P11="FFW")) + (IF(ISNUMBER(S11)*ISNUMBER(T11), S11&gt;T11, S11="FFW")), IFS((M11="FFW")+(P11="FFW")+(S11="FFW")&gt;=2, "FFW", (M11="FFL")+(P11="FFL")+(S11="FFL")&gt;=2, "FFL", TRUE, (M11="FFW")+(P11="FFW")+(S11="FFW"))))</f>
        <v>1</v>
      </c>
      <c r="I11" s="119"/>
      <c r="J11" s="119">
        <f t="shared" ref="J11:J12" si="4">IF(M11="", "", IF(COUNT(M11:N11, P11:Q11, S11:T11) &gt; 0, (IF(ISNUMBER(M11)*ISNUMBER(N11), M11&lt;N11, N11="FFW")) + (IF(ISNUMBER(P11)*ISNUMBER(Q11), P11&lt;Q11, Q11="FFW")) + (IF(ISNUMBER(S11)*ISNUMBER(T11), S11&lt;T11, T11="FFW")), IFS((N11="FFW")+(Q11="FFW")+(T11="FFW")&gt;=2, "FFW", (N11="FFL")+(Q11="FFL")+(T11="FFL")&gt;=2, "FFL", TRUE, (N11="FFW")+(Q11="FFW")+(T11="FFW"))))</f>
        <v>2</v>
      </c>
      <c r="K11" s="119" t="s">
        <v>42</v>
      </c>
      <c r="L11" s="125"/>
      <c r="M11" s="119">
        <v>13.0</v>
      </c>
      <c r="N11" s="119">
        <v>6.0</v>
      </c>
      <c r="O11" s="125"/>
      <c r="P11" s="119">
        <v>7.0</v>
      </c>
      <c r="Q11" s="119">
        <v>13.0</v>
      </c>
      <c r="R11" s="125"/>
      <c r="S11" s="119">
        <v>8.0</v>
      </c>
      <c r="T11" s="119">
        <v>13.0</v>
      </c>
      <c r="U11" s="125"/>
      <c r="V11" s="119"/>
      <c r="W11" s="121"/>
    </row>
    <row r="12" ht="15.75" customHeight="1">
      <c r="A12" s="119" t="s">
        <v>106</v>
      </c>
      <c r="B12" s="119" t="s">
        <v>41</v>
      </c>
      <c r="C12" s="122" t="s">
        <v>88</v>
      </c>
      <c r="E12" s="123">
        <v>0.6666666666666666</v>
      </c>
      <c r="F12" s="124">
        <f>E12+Data!$A$13</f>
        <v>0.875</v>
      </c>
      <c r="G12" s="119" t="s">
        <v>66</v>
      </c>
      <c r="H12" s="119" t="str">
        <f t="shared" si="3"/>
        <v>FFW</v>
      </c>
      <c r="I12" s="119"/>
      <c r="J12" s="119" t="str">
        <f t="shared" si="4"/>
        <v>FFL</v>
      </c>
      <c r="K12" s="119" t="s">
        <v>60</v>
      </c>
      <c r="L12" s="125"/>
      <c r="M12" s="119" t="s">
        <v>86</v>
      </c>
      <c r="N12" s="119" t="s">
        <v>85</v>
      </c>
      <c r="O12" s="125"/>
      <c r="P12" s="119" t="s">
        <v>86</v>
      </c>
      <c r="Q12" s="119" t="s">
        <v>85</v>
      </c>
      <c r="R12" s="125"/>
      <c r="S12" s="119"/>
      <c r="T12" s="119"/>
      <c r="U12" s="125"/>
      <c r="V12" s="119" t="s">
        <v>110</v>
      </c>
      <c r="W12" s="121"/>
    </row>
    <row r="13" ht="15.75" customHeight="1">
      <c r="A13" s="119" t="s">
        <v>106</v>
      </c>
      <c r="B13" s="126" t="s">
        <v>41</v>
      </c>
      <c r="C13" s="127" t="s">
        <v>88</v>
      </c>
      <c r="D13" s="70"/>
      <c r="E13" s="128">
        <v>0.7916666666666666</v>
      </c>
      <c r="F13" s="129">
        <f>E13+Data!$A$13</f>
        <v>1</v>
      </c>
      <c r="G13" s="126" t="s">
        <v>63</v>
      </c>
      <c r="H13" s="126" t="s">
        <v>86</v>
      </c>
      <c r="I13" s="126"/>
      <c r="J13" s="126" t="s">
        <v>85</v>
      </c>
      <c r="K13" s="126" t="s">
        <v>53</v>
      </c>
      <c r="L13" s="130"/>
      <c r="M13" s="126" t="s">
        <v>86</v>
      </c>
      <c r="N13" s="126" t="s">
        <v>85</v>
      </c>
      <c r="O13" s="130"/>
      <c r="P13" s="126" t="s">
        <v>86</v>
      </c>
      <c r="Q13" s="126" t="s">
        <v>85</v>
      </c>
      <c r="R13" s="130"/>
      <c r="S13" s="126"/>
      <c r="T13" s="126"/>
      <c r="U13" s="130"/>
      <c r="V13" s="126" t="s">
        <v>108</v>
      </c>
      <c r="W13" s="121"/>
    </row>
    <row r="14" ht="15.75" customHeight="1">
      <c r="A14" s="114" t="s">
        <v>106</v>
      </c>
      <c r="B14" s="114" t="s">
        <v>41</v>
      </c>
      <c r="C14" s="115" t="s">
        <v>77</v>
      </c>
      <c r="D14" s="116">
        <f>D10+1
</f>
        <v>46220</v>
      </c>
      <c r="E14" s="117">
        <v>0.4166666666666667</v>
      </c>
      <c r="F14" s="118">
        <f>E14+Data!$A$13</f>
        <v>0.625</v>
      </c>
      <c r="G14" s="114" t="s">
        <v>50</v>
      </c>
      <c r="H14" s="119">
        <f t="shared" ref="H14:H49" si="5">IF(M14="", "", IF(COUNT(M14:N14, P14:Q14, S14:T14) &gt; 0, (IF(ISNUMBER(M14)*ISNUMBER(N14), M14&gt;N14, M14="FFW")) + (IF(ISNUMBER(P14)*ISNUMBER(Q14), P14&gt;Q14, P14="FFW")) + (IF(ISNUMBER(S14)*ISNUMBER(T14), S14&gt;T14, S14="FFW")), IFS((M14="FFW")+(P14="FFW")+(S14="FFW")&gt;=2, "FFW", (M14="FFL")+(P14="FFL")+(S14="FFL")&gt;=2, "FFL", TRUE, (M14="FFW")+(P14="FFW")+(S14="FFW"))))</f>
        <v>2</v>
      </c>
      <c r="I14" s="119"/>
      <c r="J14" s="119">
        <f t="shared" ref="J14:J49" si="6">IF(M14="", "", IF(COUNT(M14:N14, P14:Q14, S14:T14) &gt; 0, (IF(ISNUMBER(M14)*ISNUMBER(N14), M14&lt;N14, N14="FFW")) + (IF(ISNUMBER(P14)*ISNUMBER(Q14), P14&lt;Q14, Q14="FFW")) + (IF(ISNUMBER(S14)*ISNUMBER(T14), S14&lt;T14, T14="FFW")), IFS((N14="FFW")+(Q14="FFW")+(T14="FFW")&gt;=2, "FFW", (N14="FFL")+(Q14="FFL")+(T14="FFL")&gt;=2, "FFL", TRUE, (N14="FFW")+(Q14="FFW")+(T14="FFW"))))</f>
        <v>1</v>
      </c>
      <c r="K14" s="114" t="s">
        <v>62</v>
      </c>
      <c r="L14" s="120"/>
      <c r="M14" s="114">
        <v>7.0</v>
      </c>
      <c r="N14" s="114">
        <v>13.0</v>
      </c>
      <c r="O14" s="120"/>
      <c r="P14" s="114">
        <v>16.0</v>
      </c>
      <c r="Q14" s="114">
        <v>13.0</v>
      </c>
      <c r="R14" s="114"/>
      <c r="S14" s="114">
        <v>13.0</v>
      </c>
      <c r="T14" s="114">
        <v>7.0</v>
      </c>
      <c r="U14" s="120"/>
      <c r="V14" s="114"/>
      <c r="W14" s="121"/>
    </row>
    <row r="15" ht="15.75" customHeight="1">
      <c r="A15" s="119" t="s">
        <v>106</v>
      </c>
      <c r="B15" s="119" t="s">
        <v>41</v>
      </c>
      <c r="C15" s="122" t="s">
        <v>77</v>
      </c>
      <c r="E15" s="123">
        <v>0.5416666666666666</v>
      </c>
      <c r="F15" s="124">
        <f>E15+Data!$A$13</f>
        <v>0.75</v>
      </c>
      <c r="G15" s="119" t="s">
        <v>71</v>
      </c>
      <c r="H15" s="119" t="str">
        <f t="shared" si="5"/>
        <v/>
      </c>
      <c r="I15" s="119"/>
      <c r="J15" s="119" t="str">
        <f t="shared" si="6"/>
        <v/>
      </c>
      <c r="K15" s="119" t="s">
        <v>67</v>
      </c>
      <c r="L15" s="125"/>
      <c r="M15" s="119"/>
      <c r="N15" s="119"/>
      <c r="O15" s="125"/>
      <c r="P15" s="119"/>
      <c r="Q15" s="119"/>
      <c r="R15" s="125"/>
      <c r="S15" s="119"/>
      <c r="T15" s="119"/>
      <c r="U15" s="125"/>
      <c r="V15" s="119"/>
      <c r="W15" s="121"/>
    </row>
    <row r="16" ht="15.75" customHeight="1">
      <c r="A16" s="119" t="s">
        <v>106</v>
      </c>
      <c r="B16" s="119" t="s">
        <v>41</v>
      </c>
      <c r="C16" s="122" t="s">
        <v>77</v>
      </c>
      <c r="E16" s="123">
        <v>0.6666666666666666</v>
      </c>
      <c r="F16" s="124">
        <f>E16+Data!$A$13</f>
        <v>0.875</v>
      </c>
      <c r="G16" s="119" t="s">
        <v>70</v>
      </c>
      <c r="H16" s="119" t="str">
        <f t="shared" si="5"/>
        <v/>
      </c>
      <c r="I16" s="119"/>
      <c r="J16" s="119" t="str">
        <f t="shared" si="6"/>
        <v/>
      </c>
      <c r="K16" s="119" t="s">
        <v>57</v>
      </c>
      <c r="L16" s="125"/>
      <c r="M16" s="119"/>
      <c r="N16" s="119"/>
      <c r="O16" s="125"/>
      <c r="P16" s="119"/>
      <c r="Q16" s="119"/>
      <c r="R16" s="125"/>
      <c r="S16" s="119"/>
      <c r="T16" s="119"/>
      <c r="U16" s="125"/>
      <c r="V16" s="119"/>
      <c r="W16" s="121"/>
    </row>
    <row r="17" ht="15.75" customHeight="1">
      <c r="A17" s="119" t="s">
        <v>106</v>
      </c>
      <c r="B17" s="126" t="s">
        <v>41</v>
      </c>
      <c r="C17" s="127" t="s">
        <v>77</v>
      </c>
      <c r="D17" s="70"/>
      <c r="E17" s="128">
        <v>0.7916666666666666</v>
      </c>
      <c r="F17" s="129">
        <f>E17+Data!$A$13</f>
        <v>1</v>
      </c>
      <c r="G17" s="126" t="s">
        <v>61</v>
      </c>
      <c r="H17" s="126" t="str">
        <f t="shared" si="5"/>
        <v/>
      </c>
      <c r="I17" s="126"/>
      <c r="J17" s="126" t="str">
        <f t="shared" si="6"/>
        <v/>
      </c>
      <c r="K17" s="126" t="s">
        <v>65</v>
      </c>
      <c r="L17" s="130"/>
      <c r="M17" s="126"/>
      <c r="N17" s="126"/>
      <c r="O17" s="130"/>
      <c r="P17" s="126"/>
      <c r="Q17" s="126"/>
      <c r="R17" s="130"/>
      <c r="S17" s="126"/>
      <c r="T17" s="126"/>
      <c r="U17" s="130"/>
      <c r="V17" s="126"/>
      <c r="W17" s="121"/>
    </row>
    <row r="18" ht="15.75" customHeight="1">
      <c r="A18" s="114" t="s">
        <v>106</v>
      </c>
      <c r="B18" s="114" t="s">
        <v>41</v>
      </c>
      <c r="C18" s="115" t="s">
        <v>89</v>
      </c>
      <c r="D18" s="116">
        <f>D14+1
</f>
        <v>46221</v>
      </c>
      <c r="E18" s="117">
        <v>0.4166666666666667</v>
      </c>
      <c r="F18" s="118">
        <f>E18+Data!$A$13</f>
        <v>0.625</v>
      </c>
      <c r="G18" s="114"/>
      <c r="H18" s="119" t="str">
        <f t="shared" si="5"/>
        <v/>
      </c>
      <c r="I18" s="119"/>
      <c r="J18" s="119" t="str">
        <f t="shared" si="6"/>
        <v/>
      </c>
      <c r="K18" s="114"/>
      <c r="L18" s="120"/>
      <c r="M18" s="114"/>
      <c r="N18" s="114"/>
      <c r="O18" s="120"/>
      <c r="P18" s="114"/>
      <c r="Q18" s="114"/>
      <c r="R18" s="114"/>
      <c r="S18" s="114"/>
      <c r="T18" s="114"/>
      <c r="U18" s="120"/>
      <c r="V18" s="114"/>
      <c r="W18" s="121"/>
    </row>
    <row r="19" ht="15.75" customHeight="1">
      <c r="A19" s="119" t="s">
        <v>106</v>
      </c>
      <c r="B19" s="119" t="s">
        <v>41</v>
      </c>
      <c r="C19" s="122" t="s">
        <v>89</v>
      </c>
      <c r="E19" s="123">
        <v>0.5416666666666666</v>
      </c>
      <c r="F19" s="124">
        <f>E19+Data!$A$13</f>
        <v>0.75</v>
      </c>
      <c r="G19" s="119"/>
      <c r="H19" s="119" t="str">
        <f t="shared" si="5"/>
        <v/>
      </c>
      <c r="I19" s="119"/>
      <c r="J19" s="119" t="str">
        <f t="shared" si="6"/>
        <v/>
      </c>
      <c r="K19" s="119"/>
      <c r="L19" s="125"/>
      <c r="M19" s="119"/>
      <c r="N19" s="119"/>
      <c r="O19" s="125"/>
      <c r="P19" s="119"/>
      <c r="Q19" s="119"/>
      <c r="R19" s="125"/>
      <c r="S19" s="119"/>
      <c r="T19" s="119"/>
      <c r="U19" s="125"/>
      <c r="V19" s="119"/>
      <c r="W19" s="121"/>
    </row>
    <row r="20" ht="15.75" customHeight="1">
      <c r="A20" s="119" t="s">
        <v>106</v>
      </c>
      <c r="B20" s="119" t="s">
        <v>41</v>
      </c>
      <c r="C20" s="122" t="s">
        <v>81</v>
      </c>
      <c r="E20" s="123">
        <v>0.6666666666666666</v>
      </c>
      <c r="F20" s="124">
        <f>E20+Data!$A$13</f>
        <v>0.875</v>
      </c>
      <c r="G20" s="119"/>
      <c r="H20" s="119" t="str">
        <f t="shared" si="5"/>
        <v/>
      </c>
      <c r="I20" s="119"/>
      <c r="J20" s="119" t="str">
        <f t="shared" si="6"/>
        <v/>
      </c>
      <c r="K20" s="119"/>
      <c r="L20" s="125"/>
      <c r="M20" s="119"/>
      <c r="N20" s="119"/>
      <c r="O20" s="125"/>
      <c r="P20" s="119"/>
      <c r="Q20" s="119"/>
      <c r="R20" s="125"/>
      <c r="S20" s="119"/>
      <c r="T20" s="119"/>
      <c r="U20" s="125"/>
      <c r="V20" s="119"/>
      <c r="W20" s="121"/>
    </row>
    <row r="21" ht="15.75" customHeight="1">
      <c r="A21" s="119" t="s">
        <v>106</v>
      </c>
      <c r="B21" s="126" t="s">
        <v>41</v>
      </c>
      <c r="C21" s="127" t="s">
        <v>81</v>
      </c>
      <c r="D21" s="70"/>
      <c r="E21" s="128">
        <v>0.7916666666666666</v>
      </c>
      <c r="F21" s="129">
        <f>E21+Data!$A$13</f>
        <v>1</v>
      </c>
      <c r="G21" s="126"/>
      <c r="H21" s="126" t="str">
        <f t="shared" si="5"/>
        <v/>
      </c>
      <c r="I21" s="126"/>
      <c r="J21" s="126" t="str">
        <f t="shared" si="6"/>
        <v/>
      </c>
      <c r="K21" s="126"/>
      <c r="L21" s="130"/>
      <c r="M21" s="126"/>
      <c r="N21" s="126"/>
      <c r="O21" s="130"/>
      <c r="P21" s="126"/>
      <c r="Q21" s="126"/>
      <c r="R21" s="130"/>
      <c r="S21" s="126"/>
      <c r="T21" s="126"/>
      <c r="U21" s="130"/>
      <c r="V21" s="126"/>
      <c r="W21" s="121"/>
    </row>
    <row r="22" ht="15.75" customHeight="1">
      <c r="A22" s="114" t="s">
        <v>106</v>
      </c>
      <c r="B22" s="114" t="s">
        <v>41</v>
      </c>
      <c r="C22" s="115" t="s">
        <v>81</v>
      </c>
      <c r="D22" s="116">
        <f>D18+1
</f>
        <v>46222</v>
      </c>
      <c r="E22" s="117">
        <v>0.4166666666666667</v>
      </c>
      <c r="F22" s="118">
        <f>E22+Data!$A$13</f>
        <v>0.625</v>
      </c>
      <c r="G22" s="114"/>
      <c r="H22" s="119" t="str">
        <f t="shared" si="5"/>
        <v/>
      </c>
      <c r="I22" s="119"/>
      <c r="J22" s="119" t="str">
        <f t="shared" si="6"/>
        <v/>
      </c>
      <c r="K22" s="114"/>
      <c r="L22" s="120"/>
      <c r="M22" s="114"/>
      <c r="N22" s="114"/>
      <c r="O22" s="120"/>
      <c r="P22" s="114"/>
      <c r="Q22" s="114"/>
      <c r="R22" s="114"/>
      <c r="S22" s="114"/>
      <c r="T22" s="114"/>
      <c r="U22" s="120"/>
      <c r="V22" s="114"/>
      <c r="W22" s="121"/>
    </row>
    <row r="23" ht="15.75" customHeight="1">
      <c r="A23" s="119" t="s">
        <v>106</v>
      </c>
      <c r="B23" s="119" t="s">
        <v>41</v>
      </c>
      <c r="C23" s="122" t="s">
        <v>81</v>
      </c>
      <c r="E23" s="123">
        <v>0.5416666666666666</v>
      </c>
      <c r="F23" s="124">
        <f>E23+Data!$A$13</f>
        <v>0.75</v>
      </c>
      <c r="G23" s="119"/>
      <c r="H23" s="119" t="str">
        <f t="shared" si="5"/>
        <v/>
      </c>
      <c r="I23" s="119"/>
      <c r="J23" s="119" t="str">
        <f t="shared" si="6"/>
        <v/>
      </c>
      <c r="K23" s="119"/>
      <c r="L23" s="125"/>
      <c r="M23" s="119"/>
      <c r="N23" s="119"/>
      <c r="O23" s="125"/>
      <c r="P23" s="119"/>
      <c r="Q23" s="119"/>
      <c r="R23" s="125"/>
      <c r="S23" s="119"/>
      <c r="T23" s="119"/>
      <c r="U23" s="125"/>
      <c r="V23" s="119"/>
      <c r="W23" s="121"/>
    </row>
    <row r="24" ht="15.75" customHeight="1">
      <c r="A24" s="119" t="s">
        <v>106</v>
      </c>
      <c r="B24" s="119" t="s">
        <v>41</v>
      </c>
      <c r="C24" s="122" t="s">
        <v>74</v>
      </c>
      <c r="E24" s="123">
        <v>0.6666666666666666</v>
      </c>
      <c r="F24" s="124">
        <f>E24+Data!$A$13</f>
        <v>0.875</v>
      </c>
      <c r="G24" s="119"/>
      <c r="H24" s="119" t="str">
        <f t="shared" si="5"/>
        <v/>
      </c>
      <c r="I24" s="119"/>
      <c r="J24" s="119" t="str">
        <f t="shared" si="6"/>
        <v/>
      </c>
      <c r="K24" s="119"/>
      <c r="L24" s="125"/>
      <c r="M24" s="119"/>
      <c r="N24" s="119"/>
      <c r="O24" s="125"/>
      <c r="P24" s="119"/>
      <c r="Q24" s="119"/>
      <c r="R24" s="125"/>
      <c r="S24" s="119"/>
      <c r="T24" s="119"/>
      <c r="U24" s="125"/>
      <c r="V24" s="119"/>
      <c r="W24" s="121"/>
    </row>
    <row r="25" ht="15.75" customHeight="1">
      <c r="A25" s="126" t="s">
        <v>106</v>
      </c>
      <c r="B25" s="126" t="s">
        <v>41</v>
      </c>
      <c r="C25" s="127" t="s">
        <v>74</v>
      </c>
      <c r="D25" s="70"/>
      <c r="E25" s="128">
        <v>0.7916666666666666</v>
      </c>
      <c r="F25" s="129">
        <f>E25+Data!$A$13</f>
        <v>1</v>
      </c>
      <c r="G25" s="126"/>
      <c r="H25" s="126" t="str">
        <f t="shared" si="5"/>
        <v/>
      </c>
      <c r="I25" s="126"/>
      <c r="J25" s="126" t="str">
        <f t="shared" si="6"/>
        <v/>
      </c>
      <c r="K25" s="126"/>
      <c r="L25" s="130"/>
      <c r="M25" s="126"/>
      <c r="N25" s="126"/>
      <c r="O25" s="130"/>
      <c r="P25" s="126"/>
      <c r="Q25" s="126"/>
      <c r="R25" s="130"/>
      <c r="S25" s="126"/>
      <c r="T25" s="126"/>
      <c r="U25" s="130"/>
      <c r="V25" s="126"/>
      <c r="W25" s="121"/>
    </row>
    <row r="26" ht="15.75" customHeight="1">
      <c r="A26" s="119" t="s">
        <v>106</v>
      </c>
      <c r="B26" s="119" t="s">
        <v>41</v>
      </c>
      <c r="C26" s="122" t="s">
        <v>87</v>
      </c>
      <c r="D26" s="131">
        <f>D22+1
</f>
        <v>46223</v>
      </c>
      <c r="E26" s="117">
        <v>0.5416666666666666</v>
      </c>
      <c r="F26" s="118">
        <f>E26+Data!$A$13</f>
        <v>0.75</v>
      </c>
      <c r="G26" s="119"/>
      <c r="H26" s="119" t="str">
        <f t="shared" si="5"/>
        <v/>
      </c>
      <c r="I26" s="119"/>
      <c r="J26" s="119" t="str">
        <f t="shared" si="6"/>
        <v/>
      </c>
      <c r="K26" s="119"/>
      <c r="L26" s="125"/>
      <c r="M26" s="119"/>
      <c r="N26" s="119"/>
      <c r="O26" s="125"/>
      <c r="P26" s="119"/>
      <c r="Q26" s="119"/>
      <c r="R26" s="125"/>
      <c r="S26" s="119"/>
      <c r="T26" s="119"/>
      <c r="U26" s="125"/>
      <c r="V26" s="119"/>
      <c r="W26" s="121"/>
    </row>
    <row r="27" ht="15.75" customHeight="1">
      <c r="A27" s="119" t="s">
        <v>106</v>
      </c>
      <c r="B27" s="119" t="s">
        <v>41</v>
      </c>
      <c r="C27" s="122" t="s">
        <v>87</v>
      </c>
      <c r="E27" s="123">
        <v>0.6666666666666666</v>
      </c>
      <c r="F27" s="124">
        <f>E27+Data!$A$13</f>
        <v>0.875</v>
      </c>
      <c r="G27" s="119"/>
      <c r="H27" s="119" t="str">
        <f t="shared" si="5"/>
        <v/>
      </c>
      <c r="I27" s="119"/>
      <c r="J27" s="119" t="str">
        <f t="shared" si="6"/>
        <v/>
      </c>
      <c r="K27" s="119"/>
      <c r="L27" s="125"/>
      <c r="M27" s="119"/>
      <c r="N27" s="119"/>
      <c r="O27" s="125"/>
      <c r="P27" s="119"/>
      <c r="Q27" s="119"/>
      <c r="R27" s="125"/>
      <c r="S27" s="119"/>
      <c r="T27" s="119"/>
      <c r="U27" s="125"/>
      <c r="V27" s="119"/>
      <c r="W27" s="121"/>
    </row>
    <row r="28" ht="15.75" customHeight="1">
      <c r="A28" s="126" t="s">
        <v>106</v>
      </c>
      <c r="B28" s="126" t="s">
        <v>41</v>
      </c>
      <c r="C28" s="127" t="s">
        <v>87</v>
      </c>
      <c r="D28" s="70"/>
      <c r="E28" s="128">
        <v>0.7916666666666666</v>
      </c>
      <c r="F28" s="129">
        <f>E28+Data!$A$13</f>
        <v>1</v>
      </c>
      <c r="G28" s="126"/>
      <c r="H28" s="126" t="str">
        <f t="shared" si="5"/>
        <v/>
      </c>
      <c r="I28" s="126"/>
      <c r="J28" s="126" t="str">
        <f t="shared" si="6"/>
        <v/>
      </c>
      <c r="K28" s="126"/>
      <c r="L28" s="130"/>
      <c r="M28" s="126"/>
      <c r="N28" s="126"/>
      <c r="O28" s="130"/>
      <c r="P28" s="126"/>
      <c r="Q28" s="126"/>
      <c r="R28" s="130"/>
      <c r="S28" s="126"/>
      <c r="T28" s="126"/>
      <c r="U28" s="130"/>
      <c r="V28" s="126"/>
      <c r="W28" s="121"/>
    </row>
    <row r="29" ht="15.75" customHeight="1">
      <c r="A29" s="119" t="s">
        <v>106</v>
      </c>
      <c r="B29" s="119" t="s">
        <v>41</v>
      </c>
      <c r="C29" s="122" t="s">
        <v>80</v>
      </c>
      <c r="D29" s="131">
        <f>D26+1
</f>
        <v>46224</v>
      </c>
      <c r="E29" s="117">
        <v>0.5416666666666666</v>
      </c>
      <c r="F29" s="118">
        <f>E29+Data!$A$13</f>
        <v>0.75</v>
      </c>
      <c r="G29" s="119"/>
      <c r="H29" s="119" t="str">
        <f t="shared" si="5"/>
        <v/>
      </c>
      <c r="I29" s="119"/>
      <c r="J29" s="119" t="str">
        <f t="shared" si="6"/>
        <v/>
      </c>
      <c r="K29" s="119"/>
      <c r="L29" s="125"/>
      <c r="M29" s="119"/>
      <c r="N29" s="119"/>
      <c r="O29" s="125"/>
      <c r="P29" s="119"/>
      <c r="Q29" s="119"/>
      <c r="R29" s="125"/>
      <c r="S29" s="119"/>
      <c r="T29" s="119"/>
      <c r="U29" s="125"/>
      <c r="V29" s="119"/>
      <c r="W29" s="121"/>
    </row>
    <row r="30" ht="15.75" customHeight="1">
      <c r="A30" s="119" t="s">
        <v>106</v>
      </c>
      <c r="B30" s="119" t="s">
        <v>41</v>
      </c>
      <c r="C30" s="122" t="s">
        <v>80</v>
      </c>
      <c r="E30" s="123">
        <v>0.6666666666666666</v>
      </c>
      <c r="F30" s="124">
        <f>E30+Data!$A$13</f>
        <v>0.875</v>
      </c>
      <c r="G30" s="119"/>
      <c r="H30" s="119" t="str">
        <f t="shared" si="5"/>
        <v/>
      </c>
      <c r="I30" s="119"/>
      <c r="J30" s="119" t="str">
        <f t="shared" si="6"/>
        <v/>
      </c>
      <c r="K30" s="119"/>
      <c r="L30" s="125"/>
      <c r="M30" s="119"/>
      <c r="N30" s="119"/>
      <c r="O30" s="125"/>
      <c r="P30" s="119"/>
      <c r="Q30" s="119"/>
      <c r="R30" s="125"/>
      <c r="S30" s="119"/>
      <c r="T30" s="119"/>
      <c r="U30" s="125"/>
      <c r="V30" s="119"/>
      <c r="W30" s="121"/>
    </row>
    <row r="31" ht="15.75" customHeight="1">
      <c r="A31" s="126" t="s">
        <v>106</v>
      </c>
      <c r="B31" s="126" t="s">
        <v>41</v>
      </c>
      <c r="C31" s="127" t="s">
        <v>80</v>
      </c>
      <c r="D31" s="70"/>
      <c r="E31" s="128">
        <v>0.7916666666666666</v>
      </c>
      <c r="F31" s="129">
        <f>E31+Data!$A$13</f>
        <v>1</v>
      </c>
      <c r="G31" s="126"/>
      <c r="H31" s="126" t="str">
        <f t="shared" si="5"/>
        <v/>
      </c>
      <c r="I31" s="126"/>
      <c r="J31" s="126" t="str">
        <f t="shared" si="6"/>
        <v/>
      </c>
      <c r="K31" s="126"/>
      <c r="L31" s="130"/>
      <c r="M31" s="126"/>
      <c r="N31" s="126"/>
      <c r="O31" s="130"/>
      <c r="P31" s="126"/>
      <c r="Q31" s="126"/>
      <c r="R31" s="130"/>
      <c r="S31" s="126"/>
      <c r="T31" s="126"/>
      <c r="U31" s="130"/>
      <c r="V31" s="126"/>
      <c r="W31" s="121"/>
    </row>
    <row r="32" ht="15.75" customHeight="1">
      <c r="A32" s="119" t="s">
        <v>106</v>
      </c>
      <c r="B32" s="119" t="s">
        <v>41</v>
      </c>
      <c r="C32" s="122" t="s">
        <v>83</v>
      </c>
      <c r="D32" s="131">
        <f>D29+1
</f>
        <v>46225</v>
      </c>
      <c r="E32" s="117">
        <v>0.5416666666666666</v>
      </c>
      <c r="F32" s="118">
        <f>E32+Data!$A$13</f>
        <v>0.75</v>
      </c>
      <c r="G32" s="119"/>
      <c r="H32" s="119" t="str">
        <f t="shared" si="5"/>
        <v/>
      </c>
      <c r="I32" s="119"/>
      <c r="J32" s="119" t="str">
        <f t="shared" si="6"/>
        <v/>
      </c>
      <c r="K32" s="119"/>
      <c r="L32" s="125"/>
      <c r="M32" s="119"/>
      <c r="N32" s="119"/>
      <c r="O32" s="125"/>
      <c r="P32" s="119"/>
      <c r="Q32" s="119"/>
      <c r="R32" s="125"/>
      <c r="S32" s="119"/>
      <c r="T32" s="119"/>
      <c r="U32" s="125"/>
      <c r="V32" s="119"/>
      <c r="W32" s="121"/>
    </row>
    <row r="33" ht="15.75" customHeight="1">
      <c r="A33" s="119" t="s">
        <v>106</v>
      </c>
      <c r="B33" s="119" t="s">
        <v>41</v>
      </c>
      <c r="C33" s="122" t="s">
        <v>83</v>
      </c>
      <c r="E33" s="123">
        <v>0.6666666666666666</v>
      </c>
      <c r="F33" s="124">
        <f>E33+Data!$A$13</f>
        <v>0.875</v>
      </c>
      <c r="G33" s="119"/>
      <c r="H33" s="119" t="str">
        <f t="shared" si="5"/>
        <v/>
      </c>
      <c r="I33" s="119"/>
      <c r="J33" s="119" t="str">
        <f t="shared" si="6"/>
        <v/>
      </c>
      <c r="K33" s="119"/>
      <c r="L33" s="125"/>
      <c r="M33" s="119"/>
      <c r="N33" s="119"/>
      <c r="O33" s="125"/>
      <c r="P33" s="119"/>
      <c r="Q33" s="119"/>
      <c r="R33" s="125"/>
      <c r="S33" s="119"/>
      <c r="T33" s="119"/>
      <c r="U33" s="125"/>
      <c r="V33" s="119"/>
      <c r="W33" s="121"/>
    </row>
    <row r="34" ht="15.75" customHeight="1">
      <c r="A34" s="126" t="s">
        <v>106</v>
      </c>
      <c r="B34" s="126" t="s">
        <v>41</v>
      </c>
      <c r="C34" s="127" t="s">
        <v>83</v>
      </c>
      <c r="D34" s="70"/>
      <c r="E34" s="128">
        <v>0.7916666666666666</v>
      </c>
      <c r="F34" s="129">
        <f>E34+Data!$A$13</f>
        <v>1</v>
      </c>
      <c r="G34" s="126"/>
      <c r="H34" s="126" t="str">
        <f t="shared" si="5"/>
        <v/>
      </c>
      <c r="I34" s="126"/>
      <c r="J34" s="126" t="str">
        <f t="shared" si="6"/>
        <v/>
      </c>
      <c r="K34" s="126"/>
      <c r="L34" s="130"/>
      <c r="M34" s="126"/>
      <c r="N34" s="126"/>
      <c r="O34" s="130"/>
      <c r="P34" s="126"/>
      <c r="Q34" s="126"/>
      <c r="R34" s="130"/>
      <c r="S34" s="126"/>
      <c r="T34" s="126"/>
      <c r="U34" s="130"/>
      <c r="V34" s="126"/>
      <c r="W34" s="121"/>
    </row>
    <row r="35" ht="15.75" customHeight="1">
      <c r="A35" s="114" t="s">
        <v>106</v>
      </c>
      <c r="B35" s="114" t="s">
        <v>9</v>
      </c>
      <c r="C35" s="115" t="s">
        <v>75</v>
      </c>
      <c r="D35" s="116">
        <f>D32+1
</f>
        <v>46226</v>
      </c>
      <c r="E35" s="117">
        <v>0.4166666666666667</v>
      </c>
      <c r="F35" s="118">
        <f>E35+Data!$A$13</f>
        <v>0.625</v>
      </c>
      <c r="G35" s="114"/>
      <c r="H35" s="119" t="str">
        <f t="shared" si="5"/>
        <v/>
      </c>
      <c r="I35" s="119"/>
      <c r="J35" s="119" t="str">
        <f t="shared" si="6"/>
        <v/>
      </c>
      <c r="K35" s="114"/>
      <c r="L35" s="120"/>
      <c r="M35" s="114"/>
      <c r="N35" s="114"/>
      <c r="O35" s="120"/>
      <c r="P35" s="114"/>
      <c r="Q35" s="114"/>
      <c r="R35" s="114"/>
      <c r="S35" s="114"/>
      <c r="T35" s="114"/>
      <c r="U35" s="120"/>
      <c r="V35" s="114"/>
      <c r="W35" s="121"/>
    </row>
    <row r="36" ht="15.75" customHeight="1">
      <c r="A36" s="119" t="s">
        <v>106</v>
      </c>
      <c r="B36" s="119" t="s">
        <v>9</v>
      </c>
      <c r="C36" s="122" t="s">
        <v>75</v>
      </c>
      <c r="E36" s="123">
        <v>0.5416666666666666</v>
      </c>
      <c r="F36" s="124">
        <f>E36+Data!$A$13</f>
        <v>0.75</v>
      </c>
      <c r="G36" s="119"/>
      <c r="H36" s="119" t="str">
        <f t="shared" si="5"/>
        <v/>
      </c>
      <c r="I36" s="119"/>
      <c r="J36" s="119" t="str">
        <f t="shared" si="6"/>
        <v/>
      </c>
      <c r="K36" s="119"/>
      <c r="L36" s="125"/>
      <c r="M36" s="119"/>
      <c r="N36" s="119"/>
      <c r="O36" s="125"/>
      <c r="P36" s="119"/>
      <c r="Q36" s="119"/>
      <c r="R36" s="125"/>
      <c r="S36" s="119"/>
      <c r="T36" s="119"/>
      <c r="U36" s="125"/>
      <c r="V36" s="119"/>
      <c r="W36" s="121"/>
    </row>
    <row r="37" ht="15.75" customHeight="1">
      <c r="A37" s="119" t="s">
        <v>106</v>
      </c>
      <c r="B37" s="119" t="s">
        <v>9</v>
      </c>
      <c r="C37" s="122" t="s">
        <v>75</v>
      </c>
      <c r="E37" s="123">
        <v>0.6666666666666666</v>
      </c>
      <c r="F37" s="124">
        <f>E37+Data!$A$13</f>
        <v>0.875</v>
      </c>
      <c r="G37" s="119"/>
      <c r="H37" s="119" t="str">
        <f t="shared" si="5"/>
        <v/>
      </c>
      <c r="I37" s="119"/>
      <c r="J37" s="119" t="str">
        <f t="shared" si="6"/>
        <v/>
      </c>
      <c r="K37" s="119"/>
      <c r="L37" s="125"/>
      <c r="M37" s="119"/>
      <c r="N37" s="119"/>
      <c r="O37" s="125"/>
      <c r="P37" s="119"/>
      <c r="Q37" s="119"/>
      <c r="R37" s="125"/>
      <c r="S37" s="119"/>
      <c r="T37" s="119"/>
      <c r="U37" s="125"/>
      <c r="V37" s="119"/>
      <c r="W37" s="121"/>
    </row>
    <row r="38" ht="15.75" customHeight="1">
      <c r="A38" s="126" t="s">
        <v>106</v>
      </c>
      <c r="B38" s="126" t="s">
        <v>9</v>
      </c>
      <c r="C38" s="127" t="s">
        <v>75</v>
      </c>
      <c r="D38" s="70"/>
      <c r="E38" s="128">
        <v>0.7916666666666666</v>
      </c>
      <c r="F38" s="129">
        <f>E38+Data!$A$13</f>
        <v>1</v>
      </c>
      <c r="G38" s="126"/>
      <c r="H38" s="126" t="str">
        <f t="shared" si="5"/>
        <v/>
      </c>
      <c r="I38" s="126"/>
      <c r="J38" s="126" t="str">
        <f t="shared" si="6"/>
        <v/>
      </c>
      <c r="K38" s="126"/>
      <c r="L38" s="130"/>
      <c r="M38" s="126"/>
      <c r="N38" s="126"/>
      <c r="O38" s="130"/>
      <c r="P38" s="126"/>
      <c r="Q38" s="126"/>
      <c r="R38" s="130"/>
      <c r="S38" s="126"/>
      <c r="T38" s="126"/>
      <c r="U38" s="130"/>
      <c r="V38" s="126"/>
      <c r="W38" s="121"/>
    </row>
    <row r="39" ht="15.75" customHeight="1">
      <c r="A39" s="114" t="s">
        <v>106</v>
      </c>
      <c r="B39" s="114" t="s">
        <v>9</v>
      </c>
      <c r="C39" s="115" t="s">
        <v>75</v>
      </c>
      <c r="D39" s="116">
        <f>D35+1
</f>
        <v>46227</v>
      </c>
      <c r="E39" s="117">
        <v>0.4166666666666667</v>
      </c>
      <c r="F39" s="118">
        <f>E39+Data!$A$13</f>
        <v>0.625</v>
      </c>
      <c r="G39" s="114"/>
      <c r="H39" s="119" t="str">
        <f t="shared" si="5"/>
        <v/>
      </c>
      <c r="I39" s="119"/>
      <c r="J39" s="119" t="str">
        <f t="shared" si="6"/>
        <v/>
      </c>
      <c r="K39" s="114"/>
      <c r="L39" s="120"/>
      <c r="M39" s="114"/>
      <c r="N39" s="114"/>
      <c r="O39" s="120"/>
      <c r="P39" s="114"/>
      <c r="Q39" s="114"/>
      <c r="R39" s="114"/>
      <c r="S39" s="114"/>
      <c r="T39" s="114"/>
      <c r="U39" s="120"/>
      <c r="V39" s="114"/>
      <c r="W39" s="121"/>
    </row>
    <row r="40" ht="15.75" customHeight="1">
      <c r="A40" s="119" t="s">
        <v>106</v>
      </c>
      <c r="B40" s="119" t="s">
        <v>9</v>
      </c>
      <c r="C40" s="122" t="s">
        <v>75</v>
      </c>
      <c r="E40" s="123">
        <v>0.5416666666666666</v>
      </c>
      <c r="F40" s="124">
        <f>E40+Data!$A$13</f>
        <v>0.75</v>
      </c>
      <c r="G40" s="119"/>
      <c r="H40" s="119" t="str">
        <f t="shared" si="5"/>
        <v/>
      </c>
      <c r="I40" s="119"/>
      <c r="J40" s="119" t="str">
        <f t="shared" si="6"/>
        <v/>
      </c>
      <c r="K40" s="119"/>
      <c r="L40" s="125"/>
      <c r="M40" s="119"/>
      <c r="N40" s="119"/>
      <c r="O40" s="125"/>
      <c r="P40" s="119"/>
      <c r="Q40" s="119"/>
      <c r="R40" s="125"/>
      <c r="S40" s="119"/>
      <c r="T40" s="119"/>
      <c r="U40" s="125"/>
      <c r="V40" s="119"/>
      <c r="W40" s="121"/>
    </row>
    <row r="41" ht="15.75" customHeight="1">
      <c r="A41" s="119" t="s">
        <v>106</v>
      </c>
      <c r="B41" s="119" t="s">
        <v>9</v>
      </c>
      <c r="C41" s="122" t="s">
        <v>75</v>
      </c>
      <c r="E41" s="123">
        <v>0.6666666666666666</v>
      </c>
      <c r="F41" s="124">
        <f>E41+Data!$A$13</f>
        <v>0.875</v>
      </c>
      <c r="G41" s="119"/>
      <c r="H41" s="119" t="str">
        <f t="shared" si="5"/>
        <v/>
      </c>
      <c r="I41" s="119"/>
      <c r="J41" s="119" t="str">
        <f t="shared" si="6"/>
        <v/>
      </c>
      <c r="K41" s="119"/>
      <c r="L41" s="125"/>
      <c r="M41" s="119"/>
      <c r="N41" s="119"/>
      <c r="O41" s="125"/>
      <c r="P41" s="119"/>
      <c r="Q41" s="119"/>
      <c r="R41" s="125"/>
      <c r="S41" s="119"/>
      <c r="T41" s="119"/>
      <c r="U41" s="125"/>
      <c r="V41" s="119"/>
      <c r="W41" s="121"/>
    </row>
    <row r="42" ht="15.75" customHeight="1">
      <c r="A42" s="126" t="s">
        <v>106</v>
      </c>
      <c r="B42" s="126" t="s">
        <v>9</v>
      </c>
      <c r="C42" s="127" t="s">
        <v>75</v>
      </c>
      <c r="D42" s="70"/>
      <c r="E42" s="128">
        <v>0.7916666666666666</v>
      </c>
      <c r="F42" s="129">
        <f>E42+Data!$A$13</f>
        <v>1</v>
      </c>
      <c r="G42" s="126"/>
      <c r="H42" s="126" t="str">
        <f t="shared" si="5"/>
        <v/>
      </c>
      <c r="I42" s="126"/>
      <c r="J42" s="126" t="str">
        <f t="shared" si="6"/>
        <v/>
      </c>
      <c r="K42" s="126"/>
      <c r="L42" s="130"/>
      <c r="M42" s="126"/>
      <c r="N42" s="126"/>
      <c r="O42" s="130"/>
      <c r="P42" s="126"/>
      <c r="Q42" s="126"/>
      <c r="R42" s="130"/>
      <c r="S42" s="126"/>
      <c r="T42" s="126"/>
      <c r="U42" s="130"/>
      <c r="V42" s="126"/>
      <c r="W42" s="121"/>
    </row>
    <row r="43" ht="15.75" customHeight="1">
      <c r="A43" s="114" t="s">
        <v>106</v>
      </c>
      <c r="B43" s="114" t="s">
        <v>9</v>
      </c>
      <c r="C43" s="115" t="s">
        <v>76</v>
      </c>
      <c r="D43" s="116">
        <f>D39+1
</f>
        <v>46228</v>
      </c>
      <c r="E43" s="117">
        <v>0.4166666666666667</v>
      </c>
      <c r="F43" s="118">
        <f>E43+Data!$A$13</f>
        <v>0.625</v>
      </c>
      <c r="G43" s="114"/>
      <c r="H43" s="119" t="str">
        <f t="shared" si="5"/>
        <v/>
      </c>
      <c r="I43" s="119"/>
      <c r="J43" s="119" t="str">
        <f t="shared" si="6"/>
        <v/>
      </c>
      <c r="K43" s="114"/>
      <c r="L43" s="120"/>
      <c r="M43" s="114"/>
      <c r="N43" s="114"/>
      <c r="O43" s="120"/>
      <c r="P43" s="114"/>
      <c r="Q43" s="114"/>
      <c r="R43" s="114"/>
      <c r="S43" s="114"/>
      <c r="T43" s="114"/>
      <c r="U43" s="120"/>
      <c r="V43" s="114"/>
      <c r="W43" s="121"/>
    </row>
    <row r="44" ht="15.75" customHeight="1">
      <c r="A44" s="119" t="s">
        <v>106</v>
      </c>
      <c r="B44" s="119" t="s">
        <v>9</v>
      </c>
      <c r="C44" s="122" t="s">
        <v>76</v>
      </c>
      <c r="E44" s="123">
        <v>0.5416666666666666</v>
      </c>
      <c r="F44" s="124">
        <f>E44+Data!$A$13</f>
        <v>0.75</v>
      </c>
      <c r="G44" s="119"/>
      <c r="H44" s="119" t="str">
        <f t="shared" si="5"/>
        <v/>
      </c>
      <c r="I44" s="119"/>
      <c r="J44" s="119" t="str">
        <f t="shared" si="6"/>
        <v/>
      </c>
      <c r="K44" s="119"/>
      <c r="L44" s="125"/>
      <c r="M44" s="119"/>
      <c r="N44" s="119"/>
      <c r="O44" s="125"/>
      <c r="P44" s="119"/>
      <c r="Q44" s="119"/>
      <c r="R44" s="125"/>
      <c r="S44" s="119"/>
      <c r="T44" s="119"/>
      <c r="U44" s="125"/>
      <c r="V44" s="119"/>
      <c r="W44" s="121"/>
    </row>
    <row r="45" ht="15.75" customHeight="1">
      <c r="A45" s="119" t="s">
        <v>106</v>
      </c>
      <c r="B45" s="119" t="s">
        <v>9</v>
      </c>
      <c r="C45" s="122" t="s">
        <v>76</v>
      </c>
      <c r="E45" s="123">
        <v>0.6666666666666666</v>
      </c>
      <c r="F45" s="124">
        <f>E45+Data!$A$13</f>
        <v>0.875</v>
      </c>
      <c r="G45" s="119"/>
      <c r="H45" s="119" t="str">
        <f t="shared" si="5"/>
        <v/>
      </c>
      <c r="I45" s="119"/>
      <c r="J45" s="119" t="str">
        <f t="shared" si="6"/>
        <v/>
      </c>
      <c r="K45" s="119"/>
      <c r="L45" s="125"/>
      <c r="M45" s="119"/>
      <c r="N45" s="119"/>
      <c r="O45" s="125"/>
      <c r="P45" s="119"/>
      <c r="Q45" s="119"/>
      <c r="R45" s="125"/>
      <c r="S45" s="119"/>
      <c r="T45" s="119"/>
      <c r="U45" s="125"/>
      <c r="V45" s="119"/>
      <c r="W45" s="121"/>
    </row>
    <row r="46" ht="15.75" customHeight="1">
      <c r="A46" s="126" t="s">
        <v>106</v>
      </c>
      <c r="B46" s="126" t="s">
        <v>9</v>
      </c>
      <c r="C46" s="127" t="s">
        <v>76</v>
      </c>
      <c r="D46" s="70"/>
      <c r="E46" s="128">
        <v>0.7916666666666666</v>
      </c>
      <c r="F46" s="129">
        <f>E46+Data!$A$13</f>
        <v>1</v>
      </c>
      <c r="G46" s="126"/>
      <c r="H46" s="126" t="str">
        <f t="shared" si="5"/>
        <v/>
      </c>
      <c r="I46" s="126"/>
      <c r="J46" s="126" t="str">
        <f t="shared" si="6"/>
        <v/>
      </c>
      <c r="K46" s="126"/>
      <c r="L46" s="130"/>
      <c r="M46" s="126"/>
      <c r="N46" s="126"/>
      <c r="O46" s="130"/>
      <c r="P46" s="126"/>
      <c r="Q46" s="126"/>
      <c r="R46" s="130"/>
      <c r="S46" s="126"/>
      <c r="T46" s="126"/>
      <c r="U46" s="130"/>
      <c r="V46" s="126"/>
      <c r="W46" s="121"/>
    </row>
    <row r="47" ht="15.75" customHeight="1">
      <c r="A47" s="119" t="s">
        <v>106</v>
      </c>
      <c r="B47" s="119" t="s">
        <v>9</v>
      </c>
      <c r="C47" s="122" t="s">
        <v>79</v>
      </c>
      <c r="D47" s="131">
        <f>D43+1
</f>
        <v>46229</v>
      </c>
      <c r="E47" s="117">
        <v>0.5</v>
      </c>
      <c r="F47" s="118">
        <f>E47+Data!$A$13</f>
        <v>0.7083333333</v>
      </c>
      <c r="G47" s="119"/>
      <c r="H47" s="119" t="str">
        <f t="shared" si="5"/>
        <v/>
      </c>
      <c r="I47" s="119"/>
      <c r="J47" s="119" t="str">
        <f t="shared" si="6"/>
        <v/>
      </c>
      <c r="K47" s="119"/>
      <c r="L47" s="125"/>
      <c r="M47" s="119"/>
      <c r="N47" s="119"/>
      <c r="O47" s="125"/>
      <c r="P47" s="119"/>
      <c r="Q47" s="119"/>
      <c r="R47" s="125"/>
      <c r="S47" s="119"/>
      <c r="T47" s="119"/>
      <c r="U47" s="125"/>
      <c r="V47" s="119"/>
      <c r="W47" s="121"/>
    </row>
    <row r="48" ht="15.75" customHeight="1">
      <c r="A48" s="119" t="s">
        <v>106</v>
      </c>
      <c r="B48" s="119" t="s">
        <v>9</v>
      </c>
      <c r="C48" s="122" t="s">
        <v>79</v>
      </c>
      <c r="E48" s="123">
        <v>0.625</v>
      </c>
      <c r="F48" s="124">
        <f>E48+Data!$A$13</f>
        <v>0.8333333333</v>
      </c>
      <c r="G48" s="119"/>
      <c r="H48" s="119" t="str">
        <f t="shared" si="5"/>
        <v/>
      </c>
      <c r="I48" s="119"/>
      <c r="J48" s="119" t="str">
        <f t="shared" si="6"/>
        <v/>
      </c>
      <c r="K48" s="119"/>
      <c r="L48" s="125"/>
      <c r="M48" s="119"/>
      <c r="N48" s="119"/>
      <c r="O48" s="125"/>
      <c r="P48" s="119"/>
      <c r="Q48" s="119"/>
      <c r="R48" s="125"/>
      <c r="S48" s="119"/>
      <c r="T48" s="119"/>
      <c r="U48" s="125"/>
      <c r="V48" s="119"/>
      <c r="W48" s="121"/>
    </row>
    <row r="49" ht="15.75" customHeight="1">
      <c r="A49" s="126" t="s">
        <v>106</v>
      </c>
      <c r="B49" s="126" t="s">
        <v>9</v>
      </c>
      <c r="C49" s="127" t="s">
        <v>84</v>
      </c>
      <c r="D49" s="70"/>
      <c r="E49" s="128">
        <v>0.75</v>
      </c>
      <c r="F49" s="129">
        <f>E49+Data!$A$13</f>
        <v>0.9583333333</v>
      </c>
      <c r="G49" s="126"/>
      <c r="H49" s="126" t="str">
        <f t="shared" si="5"/>
        <v/>
      </c>
      <c r="I49" s="126"/>
      <c r="J49" s="126" t="str">
        <f t="shared" si="6"/>
        <v/>
      </c>
      <c r="K49" s="126"/>
      <c r="L49" s="130"/>
      <c r="M49" s="126"/>
      <c r="N49" s="126"/>
      <c r="O49" s="130"/>
      <c r="P49" s="126"/>
      <c r="Q49" s="126"/>
      <c r="R49" s="130"/>
      <c r="S49" s="126"/>
      <c r="T49" s="126"/>
      <c r="U49" s="130"/>
      <c r="V49" s="126"/>
      <c r="W49" s="121"/>
    </row>
  </sheetData>
  <mergeCells count="17">
    <mergeCell ref="H1:J1"/>
    <mergeCell ref="M1:N1"/>
    <mergeCell ref="P1:Q1"/>
    <mergeCell ref="S1:T1"/>
    <mergeCell ref="D2:D5"/>
    <mergeCell ref="D6:D9"/>
    <mergeCell ref="D10:D13"/>
    <mergeCell ref="D39:D42"/>
    <mergeCell ref="D43:D46"/>
    <mergeCell ref="D47:D49"/>
    <mergeCell ref="D14:D17"/>
    <mergeCell ref="D18:D21"/>
    <mergeCell ref="D22:D25"/>
    <mergeCell ref="D26:D28"/>
    <mergeCell ref="D29:D31"/>
    <mergeCell ref="D32:D34"/>
    <mergeCell ref="D35:D38"/>
  </mergeCells>
  <conditionalFormatting sqref="G2:G49">
    <cfRule type="cellIs" dxfId="6" priority="1" stopIfTrue="1" operator="equal">
      <formula>3</formula>
    </cfRule>
  </conditionalFormatting>
  <conditionalFormatting sqref="H2:H49">
    <cfRule type="expression" dxfId="7" priority="2">
      <formula>($J2=2)</formula>
    </cfRule>
  </conditionalFormatting>
  <conditionalFormatting sqref="H2:H49 J2:J49">
    <cfRule type="cellIs" dxfId="8" priority="3" operator="equal">
      <formula>2</formula>
    </cfRule>
  </conditionalFormatting>
  <conditionalFormatting sqref="H2:H49 J2:J49">
    <cfRule type="cellIs" dxfId="8" priority="4" operator="equal">
      <formula>"FFW"</formula>
    </cfRule>
  </conditionalFormatting>
  <conditionalFormatting sqref="H2:H49 J2:J49">
    <cfRule type="cellIs" dxfId="9" priority="5" operator="equal">
      <formula>"FFL"</formula>
    </cfRule>
  </conditionalFormatting>
  <conditionalFormatting sqref="G2:G49">
    <cfRule type="expression" dxfId="10" priority="6">
      <formula>AND($H2=2,$J2&lt;3)</formula>
    </cfRule>
  </conditionalFormatting>
  <conditionalFormatting sqref="K2:K49">
    <cfRule type="expression" dxfId="10" priority="7">
      <formula>AND($J2=2, $H2&lt;3)</formula>
    </cfRule>
  </conditionalFormatting>
  <conditionalFormatting sqref="G2:G49">
    <cfRule type="expression" dxfId="10" priority="8">
      <formula>($H2="FFW")</formula>
    </cfRule>
  </conditionalFormatting>
  <conditionalFormatting sqref="K2:K49">
    <cfRule type="expression" dxfId="10" priority="9">
      <formula>($J2="FFW")</formula>
    </cfRule>
  </conditionalFormatting>
  <conditionalFormatting sqref="M2:N49 P2:Q49 S2:T49">
    <cfRule type="containsBlanks" dxfId="11" priority="10">
      <formula>LEN(TRIM(M2))=0</formula>
    </cfRule>
  </conditionalFormatting>
  <conditionalFormatting sqref="G2:G49">
    <cfRule type="expression" dxfId="10" priority="11">
      <formula>AND($H2=3,$J2&lt;3)</formula>
    </cfRule>
  </conditionalFormatting>
  <conditionalFormatting sqref="K2:K49">
    <cfRule type="expression" dxfId="10" priority="12">
      <formula>AND($J2=3, $H2&lt;3)</formula>
    </cfRule>
  </conditionalFormatting>
  <conditionalFormatting sqref="M2:M49 P2:P49 S2:S49">
    <cfRule type="expression" dxfId="12" priority="13">
      <formula>(M2&gt;N2)</formula>
    </cfRule>
  </conditionalFormatting>
  <conditionalFormatting sqref="M2:M49 P2:P49 S2:S49">
    <cfRule type="expression" dxfId="13" priority="14">
      <formula>(M2&lt;N2)</formula>
    </cfRule>
  </conditionalFormatting>
  <conditionalFormatting sqref="N2:N49 Q2:Q49 T2:T49">
    <cfRule type="expression" dxfId="12" priority="15">
      <formula>(M2&lt;N2)</formula>
    </cfRule>
  </conditionalFormatting>
  <conditionalFormatting sqref="N2:N49 Q2:Q49 T2:T49">
    <cfRule type="expression" dxfId="13" priority="16">
      <formula>(M2&gt;N2)</formula>
    </cfRule>
  </conditionalFormatting>
  <conditionalFormatting sqref="J2:J49">
    <cfRule type="expression" dxfId="7" priority="17">
      <formula>($H2=2)</formula>
    </cfRule>
  </conditionalFormatting>
  <dataValidations>
    <dataValidation type="list" allowBlank="1" showDropDown="1" showErrorMessage="1" sqref="B2:B49">
      <formula1>Data!$B$2:B49</formula1>
    </dataValidation>
    <dataValidation type="list" allowBlank="1" showDropDown="1" showErrorMessage="1" sqref="C2:C49">
      <formula1>Data!$C$2:$C$1062</formula1>
    </dataValidation>
    <dataValidation type="list" allowBlank="1" showDropDown="1" showErrorMessage="1" sqref="A2:A49">
      <formula1>Data!$D$2:$D$4</formula1>
    </dataValidation>
    <dataValidation type="list" allowBlank="1" showDropDown="1" showErrorMessage="1" sqref="H2:H49 J2:J49">
      <formula1>"0,1,2,3,FFW,FFL"</formula1>
    </dataValidation>
    <dataValidation type="list" allowBlank="1" sqref="G2:G49 K2:K49">
      <formula1>General!$O$3:$O$26</formula1>
    </dataValidation>
    <dataValidation type="custom" allowBlank="1" showDropDown="1" sqref="D2 D6 D10 D14 D18 D22 D26 D29 D32 D35 D39 D43 D47">
      <formula1>OR(NOT(ISERROR(DATEVALUE(D2))), AND(ISNUMBER(D2), LEFT(CELL("format", D2))="D"))</formula1>
    </dataValidation>
  </dataValidations>
  <printOptions gridLines="1" horizontalCentered="1"/>
  <pageMargins bottom="0.75" footer="0.0" header="0.0" left="0.7" right="0.7" top="0.75"/>
  <pageSetup fitToWidth="0"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sheetViews>
  <sheetFormatPr customHeight="1" defaultColWidth="12.63" defaultRowHeight="15.75"/>
  <cols>
    <col customWidth="1" min="1" max="3" width="21.38"/>
    <col customWidth="1" min="4" max="4" width="14.63"/>
  </cols>
  <sheetData>
    <row r="1">
      <c r="A1" s="132" t="s">
        <v>111</v>
      </c>
      <c r="B1" s="132" t="s">
        <v>94</v>
      </c>
      <c r="C1" s="132" t="s">
        <v>95</v>
      </c>
      <c r="D1" s="133" t="s">
        <v>93</v>
      </c>
    </row>
    <row r="2">
      <c r="A2" s="134" t="s">
        <v>112</v>
      </c>
      <c r="B2" s="134" t="s">
        <v>9</v>
      </c>
      <c r="C2" s="134" t="s">
        <v>113</v>
      </c>
      <c r="D2" s="135" t="s">
        <v>114</v>
      </c>
    </row>
    <row r="3">
      <c r="A3" s="134" t="s">
        <v>115</v>
      </c>
      <c r="B3" s="134" t="s">
        <v>41</v>
      </c>
      <c r="C3" s="134" t="s">
        <v>116</v>
      </c>
      <c r="D3" s="135" t="s">
        <v>106</v>
      </c>
    </row>
    <row r="4">
      <c r="A4" s="134" t="s">
        <v>10</v>
      </c>
      <c r="B4" s="134" t="s">
        <v>117</v>
      </c>
      <c r="C4" s="134" t="s">
        <v>118</v>
      </c>
      <c r="D4" s="135" t="s">
        <v>119</v>
      </c>
    </row>
    <row r="5">
      <c r="A5" s="134" t="s">
        <v>120</v>
      </c>
      <c r="B5" s="134"/>
      <c r="C5" s="134" t="s">
        <v>121</v>
      </c>
      <c r="D5" s="135"/>
    </row>
    <row r="6">
      <c r="A6" s="134" t="s">
        <v>122</v>
      </c>
      <c r="B6" s="134"/>
      <c r="C6" s="134" t="s">
        <v>123</v>
      </c>
      <c r="D6" s="135"/>
    </row>
    <row r="7">
      <c r="A7" s="134" t="s">
        <v>124</v>
      </c>
      <c r="B7" s="134"/>
      <c r="C7" s="134" t="s">
        <v>125</v>
      </c>
      <c r="D7" s="135"/>
    </row>
    <row r="8">
      <c r="A8" s="134" t="s">
        <v>69</v>
      </c>
      <c r="B8" s="134"/>
      <c r="C8" s="134" t="s">
        <v>126</v>
      </c>
      <c r="D8" s="135"/>
    </row>
    <row r="9">
      <c r="A9" s="134"/>
      <c r="B9" s="134"/>
      <c r="C9" s="134" t="s">
        <v>127</v>
      </c>
      <c r="D9" s="135"/>
    </row>
    <row r="10">
      <c r="A10" s="134"/>
      <c r="B10" s="134"/>
      <c r="C10" s="134" t="s">
        <v>128</v>
      </c>
      <c r="D10" s="135"/>
    </row>
    <row r="11">
      <c r="A11" s="134"/>
      <c r="B11" s="134"/>
      <c r="C11" s="134" t="s">
        <v>129</v>
      </c>
      <c r="D11" s="135"/>
    </row>
    <row r="12">
      <c r="A12" s="132" t="s">
        <v>130</v>
      </c>
      <c r="B12" s="134"/>
      <c r="C12" s="134" t="s">
        <v>131</v>
      </c>
      <c r="D12" s="135"/>
    </row>
    <row r="13">
      <c r="A13" s="136">
        <v>0.20833333333333334</v>
      </c>
      <c r="B13" s="134"/>
      <c r="C13" s="134" t="s">
        <v>132</v>
      </c>
      <c r="D13" s="135"/>
    </row>
    <row r="14">
      <c r="A14" s="134"/>
      <c r="B14" s="134"/>
      <c r="C14" s="134" t="s">
        <v>133</v>
      </c>
      <c r="D14" s="135"/>
    </row>
    <row r="15">
      <c r="A15" s="134"/>
      <c r="B15" s="134"/>
      <c r="C15" s="134" t="s">
        <v>134</v>
      </c>
      <c r="D15" s="135"/>
    </row>
    <row r="16">
      <c r="A16" s="134"/>
      <c r="B16" s="134"/>
      <c r="C16" s="134" t="s">
        <v>135</v>
      </c>
      <c r="D16" s="135"/>
    </row>
    <row r="17">
      <c r="A17" s="134"/>
      <c r="B17" s="134"/>
      <c r="C17" s="134" t="s">
        <v>136</v>
      </c>
      <c r="D17" s="135"/>
    </row>
    <row r="18">
      <c r="A18" s="134"/>
      <c r="B18" s="134"/>
      <c r="C18" s="134" t="s">
        <v>137</v>
      </c>
      <c r="D18" s="135"/>
    </row>
    <row r="19">
      <c r="A19" s="134"/>
      <c r="B19" s="134"/>
      <c r="C19" s="134" t="s">
        <v>78</v>
      </c>
      <c r="D19" s="135"/>
    </row>
    <row r="20">
      <c r="A20" s="134"/>
      <c r="B20" s="134"/>
      <c r="C20" s="134" t="s">
        <v>88</v>
      </c>
      <c r="D20" s="135"/>
    </row>
    <row r="21">
      <c r="A21" s="134"/>
      <c r="B21" s="134"/>
      <c r="C21" s="137" t="s">
        <v>77</v>
      </c>
      <c r="D21" s="135"/>
    </row>
    <row r="22">
      <c r="A22" s="134"/>
      <c r="B22" s="134"/>
      <c r="C22" s="137" t="s">
        <v>89</v>
      </c>
      <c r="D22" s="135"/>
    </row>
    <row r="23">
      <c r="A23" s="134"/>
      <c r="B23" s="134"/>
      <c r="C23" s="137" t="s">
        <v>81</v>
      </c>
      <c r="D23" s="135"/>
    </row>
    <row r="24">
      <c r="A24" s="134"/>
      <c r="B24" s="134"/>
      <c r="C24" s="137" t="s">
        <v>74</v>
      </c>
      <c r="D24" s="135"/>
    </row>
    <row r="25">
      <c r="A25" s="134"/>
      <c r="B25" s="134"/>
      <c r="C25" s="137" t="s">
        <v>87</v>
      </c>
      <c r="D25" s="135"/>
    </row>
    <row r="26">
      <c r="A26" s="134"/>
      <c r="B26" s="134"/>
      <c r="C26" s="137" t="s">
        <v>80</v>
      </c>
      <c r="D26" s="135"/>
    </row>
    <row r="27">
      <c r="A27" s="134"/>
      <c r="B27" s="134"/>
      <c r="C27" s="137" t="s">
        <v>83</v>
      </c>
      <c r="D27" s="135"/>
    </row>
    <row r="28">
      <c r="A28" s="134"/>
      <c r="B28" s="134"/>
      <c r="C28" s="137" t="s">
        <v>75</v>
      </c>
      <c r="D28" s="135"/>
    </row>
    <row r="29">
      <c r="A29" s="134"/>
      <c r="B29" s="134"/>
      <c r="C29" s="137" t="s">
        <v>76</v>
      </c>
      <c r="D29" s="135"/>
    </row>
    <row r="30">
      <c r="A30" s="134"/>
      <c r="B30" s="134"/>
      <c r="C30" s="137" t="s">
        <v>79</v>
      </c>
      <c r="D30" s="135"/>
    </row>
    <row r="31">
      <c r="A31" s="134"/>
      <c r="B31" s="134"/>
      <c r="C31" s="134" t="s">
        <v>84</v>
      </c>
      <c r="D31" s="135"/>
    </row>
  </sheetData>
  <drawing r:id="rId1"/>
</worksheet>
</file>