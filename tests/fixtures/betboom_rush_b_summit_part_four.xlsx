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CHEDULE" sheetId="2" r:id="rId6"/>
    <sheet state="visible" name="BRACKET" sheetId="3" r:id="rId7"/>
    <sheet state="hidden" name="Cópia de SCHEDULE" sheetId="4" r:id="rId8"/>
  </sheets>
  <definedNames/>
  <calcPr/>
</workbook>
</file>

<file path=xl/sharedStrings.xml><?xml version="1.0" encoding="utf-8"?>
<sst xmlns="http://schemas.openxmlformats.org/spreadsheetml/2006/main" count="390" uniqueCount="105">
  <si>
    <t>BetBoom RUSH B! Summit - Part Four</t>
  </si>
  <si>
    <t>Organizer:</t>
  </si>
  <si>
    <t>@BTSBrasilTV</t>
  </si>
  <si>
    <t>Event Series:</t>
  </si>
  <si>
    <t>Brasil ESports Tour - BEST 2026 - Event #4</t>
  </si>
  <si>
    <t>Sponsor</t>
  </si>
  <si>
    <t>BetBoom</t>
  </si>
  <si>
    <t>Rulebook:</t>
  </si>
  <si>
    <t xml:space="preserve">Rulebook </t>
  </si>
  <si>
    <t>City:</t>
  </si>
  <si>
    <t>Sao Paulo - Brazil</t>
  </si>
  <si>
    <t>Venue:</t>
  </si>
  <si>
    <t>BTSBrasilTV Studio</t>
  </si>
  <si>
    <t>Event Type:</t>
  </si>
  <si>
    <t>Open Registration</t>
  </si>
  <si>
    <t>Registration Date:</t>
  </si>
  <si>
    <t>July 2nd, 2026 at 2pm BRT</t>
  </si>
  <si>
    <t>Registration Fee:</t>
  </si>
  <si>
    <t>Participant Teams:</t>
  </si>
  <si>
    <t>8</t>
  </si>
  <si>
    <t>Start Date:</t>
  </si>
  <si>
    <t>July 15th, 2026</t>
  </si>
  <si>
    <t>End Date:</t>
  </si>
  <si>
    <t>July 19th, 2026</t>
  </si>
  <si>
    <t>VRS Region:</t>
  </si>
  <si>
    <t>Global - Open to All teams from All Regions</t>
  </si>
  <si>
    <t>VRS Seed Date:</t>
  </si>
  <si>
    <t>Official Global VRS as of July 6th,  2026</t>
  </si>
  <si>
    <t>VRS Seeding:</t>
  </si>
  <si>
    <t>Top 8 VRS seeded into Quarter Finals</t>
  </si>
  <si>
    <t>Format:</t>
  </si>
  <si>
    <t>Double Elimination Playoffs</t>
  </si>
  <si>
    <t>Matches:</t>
  </si>
  <si>
    <t>Bo3 besides the Grand Finals which are Bo5</t>
  </si>
  <si>
    <t>Prize Pool Distribution</t>
  </si>
  <si>
    <t>Prize Pool Disclaimer:</t>
  </si>
  <si>
    <t>There are no compensations besides the prize pool</t>
  </si>
  <si>
    <t>Prize Pool Payment:</t>
  </si>
  <si>
    <t>100% to Players</t>
  </si>
  <si>
    <t>Place</t>
  </si>
  <si>
    <t>Prize</t>
  </si>
  <si>
    <t>1st - (60%)</t>
  </si>
  <si>
    <t>2nd - (17,5%)</t>
  </si>
  <si>
    <t>3rd - (12,5%)</t>
  </si>
  <si>
    <t>4th - (10%)</t>
  </si>
  <si>
    <t>Total</t>
  </si>
  <si>
    <t>#</t>
  </si>
  <si>
    <t>STAGE</t>
  </si>
  <si>
    <t>ROUND</t>
  </si>
  <si>
    <t>DATE</t>
  </si>
  <si>
    <t>START TIME (BRT)</t>
  </si>
  <si>
    <t>START TIME (CET/CEST)</t>
  </si>
  <si>
    <t>TEAM A</t>
  </si>
  <si>
    <t>RESULT</t>
  </si>
  <si>
    <t>TEAM B</t>
  </si>
  <si>
    <t>MAP 1</t>
  </si>
  <si>
    <t>MAP 2</t>
  </si>
  <si>
    <t>MAP 3</t>
  </si>
  <si>
    <t>MAP 4</t>
  </si>
  <si>
    <t>MAP 5</t>
  </si>
  <si>
    <t>UB - QUARTERS</t>
  </si>
  <si>
    <t>A1</t>
  </si>
  <si>
    <t>vs.</t>
  </si>
  <si>
    <t>-</t>
  </si>
  <si>
    <t>A2</t>
  </si>
  <si>
    <t>A3</t>
  </si>
  <si>
    <t>A4</t>
  </si>
  <si>
    <t>LB - QUARTERS</t>
  </si>
  <si>
    <t>B1</t>
  </si>
  <si>
    <t>B2</t>
  </si>
  <si>
    <t>UB - SEMIS</t>
  </si>
  <si>
    <t>B3</t>
  </si>
  <si>
    <t>B4</t>
  </si>
  <si>
    <t>LB - SEMIS</t>
  </si>
  <si>
    <t>C1</t>
  </si>
  <si>
    <t>UB - FINALS</t>
  </si>
  <si>
    <t>C3</t>
  </si>
  <si>
    <t>C2</t>
  </si>
  <si>
    <t>LB - FINAL</t>
  </si>
  <si>
    <t>D1</t>
  </si>
  <si>
    <t>SHOW MATCH</t>
  </si>
  <si>
    <t>D2</t>
  </si>
  <si>
    <t>CONS. FINALS</t>
  </si>
  <si>
    <t>D3</t>
  </si>
  <si>
    <t>GRAND FINAL</t>
  </si>
  <si>
    <t>E1</t>
  </si>
  <si>
    <t xml:space="preserve"> </t>
  </si>
  <si>
    <t>WInner Quarter</t>
  </si>
  <si>
    <t>Winner Semis</t>
  </si>
  <si>
    <t>vs</t>
  </si>
  <si>
    <t>Winner Finals</t>
  </si>
  <si>
    <t>Grand Finals</t>
  </si>
  <si>
    <t>Show Match</t>
  </si>
  <si>
    <t>Loser Quarters</t>
  </si>
  <si>
    <t>Loser Semis</t>
  </si>
  <si>
    <t>Loser Finals</t>
  </si>
  <si>
    <t>Consolidation Finals</t>
  </si>
  <si>
    <t>9z</t>
  </si>
  <si>
    <t>Alka</t>
  </si>
  <si>
    <t>METANOIA Wolves</t>
  </si>
  <si>
    <t>Vasco</t>
  </si>
  <si>
    <t>Keyd Stars</t>
  </si>
  <si>
    <t>Crashers</t>
  </si>
  <si>
    <t>Legacy</t>
  </si>
  <si>
    <t>ALZON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</si>
</sst>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"/>
    <numFmt numFmtId="165" formatCode="[$$]#,##0.00"/>
    <numFmt numFmtId="166" formatCode="[$R$ -416]#,##0.00"/>
    <numFmt numFmtId="167" formatCode="dd/MM/yyyy"/>
    <numFmt numFmtId="168" formatCode="h:mm &quot;BRT&quot;"/>
    <numFmt numFmtId="169" formatCode="h&quot;:&quot;mm&quot; CEST&quot;"/>
    <numFmt numFmtId="170" formatCode="m/d/yyyy h:mm:ss"/>
    <numFmt numFmtId="171" formatCode="dd/mm/yyyy"/>
  </numFmts>
  <fonts count="14">
    <font>
      <sz val="10.0"/>
      <color rgb="FF000000"/>
      <name val="Arial"/>
      <scheme val="minor"/>
    </font>
    <font>
      <sz val="10.0"/>
      <color theme="1"/>
      <name val="Roboto Mono"/>
    </font>
    <font>
      <b/>
      <sz val="12.0"/>
      <color theme="1"/>
      <name val="Roboto Mono"/>
    </font>
    <font>
      <color theme="1"/>
      <name val="Roboto Condensed"/>
    </font>
    <font>
      <u/>
      <color rgb="FF0000FF"/>
      <name val="Roboto Condensed"/>
    </font>
    <font>
      <color theme="1"/>
      <name val="Arial"/>
    </font>
    <font>
      <u/>
      <color rgb="FF0000FF"/>
      <name val="Roboto Condensed"/>
    </font>
    <font>
      <color rgb="FF000000"/>
      <name val="Roboto Condensed"/>
    </font>
    <font>
      <b/>
      <color theme="1"/>
      <name val="Roboto Condensed"/>
    </font>
    <font>
      <b/>
      <color theme="1"/>
      <name val="Roboto Mono"/>
    </font>
    <font>
      <color theme="1"/>
      <name val="Roboto Mono"/>
    </font>
    <font>
      <color theme="1"/>
      <name val="Arial"/>
      <scheme val="minor"/>
    </font>
    <font/>
    <font>
      <b/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6">
    <border/>
    <border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horizontal="right" readingOrder="0"/>
    </xf>
    <xf borderId="0" fillId="0" fontId="5" numFmtId="0" xfId="0" applyFont="1"/>
    <xf borderId="1" fillId="3" fontId="3" numFmtId="0" xfId="0" applyAlignment="1" applyBorder="1" applyFont="1">
      <alignment horizontal="right" readingOrder="0"/>
    </xf>
    <xf borderId="1" fillId="3" fontId="6" numFmtId="164" xfId="0" applyAlignment="1" applyBorder="1" applyFont="1" applyNumberFormat="1">
      <alignment horizontal="right" readingOrder="0"/>
    </xf>
    <xf borderId="1" fillId="3" fontId="3" numFmtId="164" xfId="0" applyAlignment="1" applyBorder="1" applyFont="1" applyNumberFormat="1">
      <alignment horizontal="right" readingOrder="0"/>
    </xf>
    <xf borderId="1" fillId="3" fontId="3" numFmtId="164" xfId="0" applyAlignment="1" applyBorder="1" applyFont="1" applyNumberFormat="1">
      <alignment horizontal="right" readingOrder="0"/>
    </xf>
    <xf borderId="1" fillId="3" fontId="7" numFmtId="0" xfId="0" applyAlignment="1" applyBorder="1" applyFont="1">
      <alignment horizontal="right" readingOrder="0"/>
    </xf>
    <xf borderId="1" fillId="3" fontId="7" numFmtId="165" xfId="0" applyAlignment="1" applyBorder="1" applyFont="1" applyNumberFormat="1">
      <alignment horizontal="right" readingOrder="0"/>
    </xf>
    <xf borderId="1" fillId="3" fontId="7" numFmtId="49" xfId="0" applyAlignment="1" applyBorder="1" applyFont="1" applyNumberFormat="1">
      <alignment horizontal="right" readingOrder="0"/>
    </xf>
    <xf borderId="1" fillId="3" fontId="7" numFmtId="164" xfId="0" applyAlignment="1" applyBorder="1" applyFont="1" applyNumberFormat="1">
      <alignment horizontal="right" readingOrder="0"/>
    </xf>
    <xf borderId="1" fillId="3" fontId="3" numFmtId="0" xfId="0" applyAlignment="1" applyBorder="1" applyFont="1">
      <alignment horizontal="left" readingOrder="0" vertical="center"/>
    </xf>
    <xf borderId="1" fillId="3" fontId="3" numFmtId="164" xfId="0" applyAlignment="1" applyBorder="1" applyFont="1" applyNumberFormat="1">
      <alignment horizontal="right" readingOrder="0" shrinkToFit="0" wrapText="1"/>
    </xf>
    <xf borderId="1" fillId="4" fontId="8" numFmtId="0" xfId="0" applyAlignment="1" applyBorder="1" applyFill="1" applyFont="1">
      <alignment horizontal="left" readingOrder="0" vertical="center"/>
    </xf>
    <xf borderId="1" fillId="4" fontId="8" numFmtId="164" xfId="0" applyAlignment="1" applyBorder="1" applyFont="1" applyNumberFormat="1">
      <alignment horizontal="right" readingOrder="0" shrinkToFit="0" wrapText="1"/>
    </xf>
    <xf borderId="0" fillId="5" fontId="8" numFmtId="0" xfId="0" applyAlignment="1" applyFill="1" applyFont="1">
      <alignment horizontal="center" readingOrder="0"/>
    </xf>
    <xf borderId="1" fillId="6" fontId="3" numFmtId="0" xfId="0" applyAlignment="1" applyBorder="1" applyFill="1" applyFont="1">
      <alignment readingOrder="0"/>
    </xf>
    <xf borderId="1" fillId="6" fontId="3" numFmtId="164" xfId="0" applyAlignment="1" applyBorder="1" applyFont="1" applyNumberFormat="1">
      <alignment horizontal="right" readingOrder="0"/>
    </xf>
    <xf borderId="0" fillId="6" fontId="8" numFmtId="0" xfId="0" applyAlignment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3" fillId="6" fontId="3" numFmtId="164" xfId="0" applyAlignment="1" applyBorder="1" applyFont="1" applyNumberFormat="1">
      <alignment horizontal="center" readingOrder="0"/>
    </xf>
    <xf borderId="4" fillId="6" fontId="3" numFmtId="0" xfId="0" applyAlignment="1" applyBorder="1" applyFont="1">
      <alignment horizontal="center" readingOrder="0"/>
    </xf>
    <xf borderId="5" fillId="6" fontId="3" numFmtId="0" xfId="0" applyAlignment="1" applyBorder="1" applyFont="1">
      <alignment horizontal="center" readingOrder="0"/>
    </xf>
    <xf borderId="2" fillId="6" fontId="3" numFmtId="166" xfId="0" applyAlignment="1" applyBorder="1" applyFont="1" applyNumberFormat="1">
      <alignment horizontal="center" readingOrder="0"/>
    </xf>
    <xf borderId="0" fillId="7" fontId="8" numFmtId="0" xfId="0" applyAlignment="1" applyFill="1" applyFont="1">
      <alignment horizontal="center"/>
    </xf>
    <xf borderId="0" fillId="7" fontId="8" numFmtId="164" xfId="0" applyAlignment="1" applyFont="1" applyNumberFormat="1">
      <alignment horizontal="center" readingOrder="0"/>
    </xf>
    <xf borderId="4" fillId="8" fontId="9" numFmtId="0" xfId="0" applyAlignment="1" applyBorder="1" applyFill="1" applyFont="1">
      <alignment horizontal="center" readingOrder="0" shrinkToFit="0" vertical="center" wrapText="1"/>
    </xf>
    <xf borderId="4" fillId="9" fontId="9" numFmtId="0" xfId="0" applyAlignment="1" applyBorder="1" applyFill="1" applyFont="1">
      <alignment horizontal="center" readingOrder="0" shrinkToFit="0" vertical="center" wrapText="1"/>
    </xf>
    <xf borderId="0" fillId="9" fontId="9" numFmtId="0" xfId="0" applyAlignment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0" fillId="10" fontId="9" numFmtId="0" xfId="0" applyAlignment="1" applyFill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5" fillId="11" fontId="10" numFmtId="0" xfId="0" applyAlignment="1" applyBorder="1" applyFill="1" applyFont="1">
      <alignment horizontal="center" vertical="center"/>
    </xf>
    <xf borderId="5" fillId="11" fontId="10" numFmtId="0" xfId="0" applyAlignment="1" applyBorder="1" applyFont="1">
      <alignment horizontal="center" readingOrder="0" vertical="center"/>
    </xf>
    <xf borderId="6" fillId="11" fontId="10" numFmtId="0" xfId="0" applyAlignment="1" applyBorder="1" applyFont="1">
      <alignment horizontal="center" readingOrder="0" vertical="center"/>
    </xf>
    <xf borderId="5" fillId="11" fontId="10" numFmtId="167" xfId="0" applyAlignment="1" applyBorder="1" applyFont="1" applyNumberFormat="1">
      <alignment horizontal="center" readingOrder="0" vertical="center"/>
    </xf>
    <xf borderId="6" fillId="11" fontId="10" numFmtId="168" xfId="0" applyAlignment="1" applyBorder="1" applyFont="1" applyNumberFormat="1">
      <alignment horizontal="center" readingOrder="0" vertical="center"/>
    </xf>
    <xf borderId="7" fillId="11" fontId="10" numFmtId="169" xfId="0" applyAlignment="1" applyBorder="1" applyFont="1" applyNumberFormat="1">
      <alignment horizontal="center" readingOrder="0" vertical="center"/>
    </xf>
    <xf borderId="8" fillId="11" fontId="10" numFmtId="0" xfId="0" applyAlignment="1" applyBorder="1" applyFont="1">
      <alignment horizontal="center" vertical="center"/>
    </xf>
    <xf borderId="7" fillId="11" fontId="10" numFmtId="0" xfId="0" applyAlignment="1" applyBorder="1" applyFont="1">
      <alignment horizontal="center" readingOrder="0" vertical="center"/>
    </xf>
    <xf borderId="4" fillId="11" fontId="10" numFmtId="0" xfId="0" applyAlignment="1" applyBorder="1" applyFont="1">
      <alignment horizontal="center" vertical="center"/>
    </xf>
    <xf borderId="4" fillId="11" fontId="10" numFmtId="0" xfId="0" applyAlignment="1" applyBorder="1" applyFont="1">
      <alignment horizontal="center" readingOrder="0" vertical="center"/>
    </xf>
    <xf borderId="0" fillId="11" fontId="10" numFmtId="0" xfId="0" applyAlignment="1" applyFont="1">
      <alignment horizontal="center" readingOrder="0" vertical="center"/>
    </xf>
    <xf borderId="4" fillId="11" fontId="10" numFmtId="167" xfId="0" applyAlignment="1" applyBorder="1" applyFont="1" applyNumberFormat="1">
      <alignment horizontal="center" readingOrder="0" vertical="center"/>
    </xf>
    <xf borderId="0" fillId="11" fontId="10" numFmtId="168" xfId="0" applyAlignment="1" applyFont="1" applyNumberFormat="1">
      <alignment horizontal="center" readingOrder="0" vertical="center"/>
    </xf>
    <xf borderId="9" fillId="11" fontId="10" numFmtId="169" xfId="0" applyAlignment="1" applyBorder="1" applyFont="1" applyNumberFormat="1">
      <alignment horizontal="center" readingOrder="0" vertical="center"/>
    </xf>
    <xf borderId="10" fillId="11" fontId="10" numFmtId="0" xfId="0" applyAlignment="1" applyBorder="1" applyFont="1">
      <alignment horizontal="center" vertical="center"/>
    </xf>
    <xf borderId="9" fillId="11" fontId="10" numFmtId="0" xfId="0" applyAlignment="1" applyBorder="1" applyFont="1">
      <alignment horizontal="center" readingOrder="0" vertical="center"/>
    </xf>
    <xf borderId="11" fillId="11" fontId="10" numFmtId="168" xfId="0" applyAlignment="1" applyBorder="1" applyFont="1" applyNumberFormat="1">
      <alignment horizontal="center" readingOrder="0" vertical="center"/>
    </xf>
    <xf borderId="12" fillId="11" fontId="10" numFmtId="169" xfId="0" applyAlignment="1" applyBorder="1" applyFont="1" applyNumberFormat="1">
      <alignment horizontal="center" readingOrder="0" vertical="center"/>
    </xf>
    <xf borderId="11" fillId="11" fontId="10" numFmtId="0" xfId="0" applyAlignment="1" applyBorder="1" applyFont="1">
      <alignment horizontal="center" readingOrder="0" vertical="center"/>
    </xf>
    <xf borderId="12" fillId="11" fontId="10" numFmtId="0" xfId="0" applyAlignment="1" applyBorder="1" applyFont="1">
      <alignment horizontal="center" readingOrder="0" vertical="center"/>
    </xf>
    <xf borderId="5" fillId="6" fontId="10" numFmtId="0" xfId="0" applyAlignment="1" applyBorder="1" applyFont="1">
      <alignment horizontal="center" vertical="center"/>
    </xf>
    <xf borderId="5" fillId="6" fontId="10" numFmtId="0" xfId="0" applyAlignment="1" applyBorder="1" applyFont="1">
      <alignment horizontal="center" readingOrder="0" vertical="center"/>
    </xf>
    <xf borderId="6" fillId="6" fontId="10" numFmtId="0" xfId="0" applyAlignment="1" applyBorder="1" applyFont="1">
      <alignment horizontal="center" readingOrder="0" vertical="center"/>
    </xf>
    <xf borderId="5" fillId="6" fontId="10" numFmtId="167" xfId="0" applyAlignment="1" applyBorder="1" applyFont="1" applyNumberFormat="1">
      <alignment horizontal="center" readingOrder="0" vertical="center"/>
    </xf>
    <xf borderId="0" fillId="6" fontId="10" numFmtId="168" xfId="0" applyAlignment="1" applyFont="1" applyNumberFormat="1">
      <alignment horizontal="center" readingOrder="0" vertical="center"/>
    </xf>
    <xf borderId="0" fillId="6" fontId="10" numFmtId="169" xfId="0" applyAlignment="1" applyFont="1" applyNumberFormat="1">
      <alignment horizontal="center" readingOrder="0" vertical="center"/>
    </xf>
    <xf borderId="8" fillId="6" fontId="10" numFmtId="0" xfId="0" applyAlignment="1" applyBorder="1" applyFont="1">
      <alignment horizontal="center" vertical="center"/>
    </xf>
    <xf borderId="7" fillId="6" fontId="10" numFmtId="0" xfId="0" applyAlignment="1" applyBorder="1" applyFont="1">
      <alignment horizontal="center" readingOrder="0" vertical="center"/>
    </xf>
    <xf borderId="0" fillId="6" fontId="10" numFmtId="0" xfId="0" applyAlignment="1" applyFont="1">
      <alignment horizontal="center" readingOrder="0" vertical="center"/>
    </xf>
    <xf borderId="9" fillId="6" fontId="10" numFmtId="0" xfId="0" applyAlignment="1" applyBorder="1" applyFont="1">
      <alignment horizontal="center" readingOrder="0" vertical="center"/>
    </xf>
    <xf borderId="4" fillId="6" fontId="10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readingOrder="0" vertical="center"/>
    </xf>
    <xf borderId="4" fillId="6" fontId="10" numFmtId="167" xfId="0" applyAlignment="1" applyBorder="1" applyFont="1" applyNumberFormat="1">
      <alignment horizontal="center" readingOrder="0" vertical="center"/>
    </xf>
    <xf borderId="10" fillId="6" fontId="10" numFmtId="0" xfId="0" applyAlignment="1" applyBorder="1" applyFont="1">
      <alignment horizontal="center" vertical="center"/>
    </xf>
    <xf borderId="11" fillId="6" fontId="10" numFmtId="168" xfId="0" applyAlignment="1" applyBorder="1" applyFont="1" applyNumberFormat="1">
      <alignment horizontal="center" readingOrder="0" vertical="center"/>
    </xf>
    <xf borderId="11" fillId="6" fontId="10" numFmtId="169" xfId="0" applyAlignment="1" applyBorder="1" applyFont="1" applyNumberFormat="1">
      <alignment horizontal="center" readingOrder="0" vertical="center"/>
    </xf>
    <xf borderId="11" fillId="6" fontId="10" numFmtId="0" xfId="0" applyAlignment="1" applyBorder="1" applyFont="1">
      <alignment horizontal="center" readingOrder="0" vertical="center"/>
    </xf>
    <xf borderId="12" fillId="6" fontId="10" numFmtId="0" xfId="0" applyAlignment="1" applyBorder="1" applyFont="1">
      <alignment horizontal="center" readingOrder="0" vertical="center"/>
    </xf>
    <xf borderId="5" fillId="8" fontId="10" numFmtId="0" xfId="0" applyAlignment="1" applyBorder="1" applyFont="1">
      <alignment horizontal="center" vertical="center"/>
    </xf>
    <xf borderId="5" fillId="8" fontId="10" numFmtId="0" xfId="0" applyAlignment="1" applyBorder="1" applyFont="1">
      <alignment horizontal="center"/>
    </xf>
    <xf borderId="6" fillId="8" fontId="10" numFmtId="0" xfId="0" applyAlignment="1" applyBorder="1" applyFont="1">
      <alignment horizontal="center"/>
    </xf>
    <xf borderId="5" fillId="8" fontId="10" numFmtId="167" xfId="0" applyAlignment="1" applyBorder="1" applyFont="1" applyNumberFormat="1">
      <alignment horizontal="center" readingOrder="0"/>
    </xf>
    <xf borderId="0" fillId="8" fontId="10" numFmtId="168" xfId="0" applyAlignment="1" applyFont="1" applyNumberFormat="1">
      <alignment horizontal="center" readingOrder="0"/>
    </xf>
    <xf borderId="9" fillId="8" fontId="10" numFmtId="169" xfId="0" applyAlignment="1" applyBorder="1" applyFont="1" applyNumberFormat="1">
      <alignment horizontal="center" readingOrder="0"/>
    </xf>
    <xf borderId="5" fillId="8" fontId="10" numFmtId="0" xfId="0" applyAlignment="1" applyBorder="1" applyFont="1">
      <alignment horizontal="center" readingOrder="0" vertical="center"/>
    </xf>
    <xf borderId="6" fillId="8" fontId="10" numFmtId="0" xfId="0" applyAlignment="1" applyBorder="1" applyFont="1">
      <alignment horizontal="center" readingOrder="0" vertical="center"/>
    </xf>
    <xf borderId="8" fillId="8" fontId="10" numFmtId="0" xfId="0" applyAlignment="1" applyBorder="1" applyFont="1">
      <alignment horizontal="center" vertical="center"/>
    </xf>
    <xf borderId="7" fillId="8" fontId="10" numFmtId="0" xfId="0" applyAlignment="1" applyBorder="1" applyFont="1">
      <alignment horizontal="center" readingOrder="0" vertical="center"/>
    </xf>
    <xf borderId="0" fillId="8" fontId="10" numFmtId="0" xfId="0" applyAlignment="1" applyFont="1">
      <alignment horizontal="center" readingOrder="0" vertical="center"/>
    </xf>
    <xf borderId="9" fillId="8" fontId="10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/>
    </xf>
    <xf borderId="0" fillId="8" fontId="10" numFmtId="0" xfId="0" applyAlignment="1" applyFont="1">
      <alignment horizontal="center"/>
    </xf>
    <xf borderId="4" fillId="8" fontId="10" numFmtId="167" xfId="0" applyAlignment="1" applyBorder="1" applyFont="1" applyNumberFormat="1">
      <alignment horizontal="center" readingOrder="0"/>
    </xf>
    <xf borderId="10" fillId="8" fontId="10" numFmtId="0" xfId="0" applyAlignment="1" applyBorder="1" applyFont="1">
      <alignment horizontal="center" vertical="center"/>
    </xf>
    <xf borderId="13" fillId="8" fontId="10" numFmtId="167" xfId="0" applyAlignment="1" applyBorder="1" applyFont="1" applyNumberFormat="1">
      <alignment horizontal="center" readingOrder="0"/>
    </xf>
    <xf borderId="11" fillId="8" fontId="10" numFmtId="168" xfId="0" applyAlignment="1" applyBorder="1" applyFont="1" applyNumberFormat="1">
      <alignment horizontal="center" readingOrder="0"/>
    </xf>
    <xf borderId="12" fillId="8" fontId="10" numFmtId="169" xfId="0" applyAlignment="1" applyBorder="1" applyFont="1" applyNumberFormat="1">
      <alignment horizontal="center" readingOrder="0"/>
    </xf>
    <xf borderId="11" fillId="8" fontId="10" numFmtId="0" xfId="0" applyAlignment="1" applyBorder="1" applyFont="1">
      <alignment horizontal="center" readingOrder="0" vertical="center"/>
    </xf>
    <xf borderId="12" fillId="8" fontId="10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/>
    </xf>
    <xf borderId="6" fillId="3" fontId="10" numFmtId="0" xfId="0" applyAlignment="1" applyBorder="1" applyFont="1">
      <alignment horizontal="center"/>
    </xf>
    <xf borderId="4" fillId="3" fontId="10" numFmtId="167" xfId="0" applyAlignment="1" applyBorder="1" applyFont="1" applyNumberFormat="1">
      <alignment horizontal="center" readingOrder="0"/>
    </xf>
    <xf borderId="0" fillId="3" fontId="10" numFmtId="168" xfId="0" applyAlignment="1" applyFont="1" applyNumberFormat="1">
      <alignment horizontal="center" readingOrder="0"/>
    </xf>
    <xf borderId="0" fillId="3" fontId="10" numFmtId="169" xfId="0" applyAlignment="1" applyFont="1" applyNumberFormat="1">
      <alignment horizontal="center" readingOrder="0"/>
    </xf>
    <xf borderId="6" fillId="3" fontId="10" numFmtId="0" xfId="0" applyAlignment="1" applyBorder="1" applyFont="1">
      <alignment horizontal="center" readingOrder="0" vertical="center"/>
    </xf>
    <xf borderId="8" fillId="3" fontId="10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9" fillId="3" fontId="10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/>
    </xf>
    <xf borderId="9" fillId="3" fontId="10" numFmtId="0" xfId="0" applyAlignment="1" applyBorder="1" applyFont="1">
      <alignment horizontal="center"/>
    </xf>
    <xf borderId="10" fillId="3" fontId="10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center"/>
    </xf>
    <xf borderId="12" fillId="3" fontId="10" numFmtId="0" xfId="0" applyAlignment="1" applyBorder="1" applyFont="1">
      <alignment horizontal="center"/>
    </xf>
    <xf borderId="11" fillId="3" fontId="10" numFmtId="168" xfId="0" applyAlignment="1" applyBorder="1" applyFont="1" applyNumberFormat="1">
      <alignment horizontal="center" readingOrder="0"/>
    </xf>
    <xf borderId="11" fillId="3" fontId="10" numFmtId="169" xfId="0" applyAlignment="1" applyBorder="1" applyFont="1" applyNumberFormat="1">
      <alignment horizontal="center" readingOrder="0"/>
    </xf>
    <xf borderId="13" fillId="3" fontId="10" numFmtId="0" xfId="0" applyAlignment="1" applyBorder="1" applyFont="1">
      <alignment horizontal="center" readingOrder="0" vertical="center"/>
    </xf>
    <xf borderId="11" fillId="3" fontId="10" numFmtId="0" xfId="0" applyAlignment="1" applyBorder="1" applyFont="1">
      <alignment horizontal="center" readingOrder="0" vertical="center"/>
    </xf>
    <xf borderId="14" fillId="3" fontId="10" numFmtId="0" xfId="0" applyAlignment="1" applyBorder="1" applyFont="1">
      <alignment horizontal="center" vertical="center"/>
    </xf>
    <xf borderId="12" fillId="3" fontId="10" numFmtId="0" xfId="0" applyAlignment="1" applyBorder="1" applyFont="1">
      <alignment horizontal="center" readingOrder="0" vertical="center"/>
    </xf>
    <xf borderId="13" fillId="12" fontId="10" numFmtId="0" xfId="0" applyAlignment="1" applyBorder="1" applyFill="1" applyFont="1">
      <alignment horizontal="center" readingOrder="0" vertical="center"/>
    </xf>
    <xf borderId="2" fillId="12" fontId="10" numFmtId="0" xfId="0" applyAlignment="1" applyBorder="1" applyFont="1">
      <alignment horizontal="center"/>
    </xf>
    <xf borderId="15" fillId="12" fontId="10" numFmtId="0" xfId="0" applyAlignment="1" applyBorder="1" applyFont="1">
      <alignment horizontal="center"/>
    </xf>
    <xf borderId="2" fillId="12" fontId="10" numFmtId="167" xfId="0" applyAlignment="1" applyBorder="1" applyFont="1" applyNumberFormat="1">
      <alignment horizontal="center" readingOrder="0"/>
    </xf>
    <xf borderId="11" fillId="12" fontId="10" numFmtId="168" xfId="0" applyAlignment="1" applyBorder="1" applyFont="1" applyNumberFormat="1">
      <alignment horizontal="center" readingOrder="0"/>
    </xf>
    <xf borderId="11" fillId="12" fontId="10" numFmtId="169" xfId="0" applyAlignment="1" applyBorder="1" applyFont="1" applyNumberFormat="1">
      <alignment horizontal="center" readingOrder="0"/>
    </xf>
    <xf borderId="11" fillId="12" fontId="10" numFmtId="0" xfId="0" applyAlignment="1" applyBorder="1" applyFont="1">
      <alignment horizontal="center" readingOrder="0" vertical="center"/>
    </xf>
    <xf borderId="14" fillId="12" fontId="10" numFmtId="0" xfId="0" applyAlignment="1" applyBorder="1" applyFont="1">
      <alignment horizontal="center" vertical="center"/>
    </xf>
    <xf borderId="12" fillId="12" fontId="1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horizontal="center" readingOrder="0" vertical="center"/>
    </xf>
    <xf borderId="5" fillId="9" fontId="5" numFmtId="170" xfId="0" applyAlignment="1" applyBorder="1" applyFont="1" applyNumberFormat="1">
      <alignment horizontal="center" readingOrder="0" vertical="center"/>
    </xf>
    <xf borderId="7" fillId="0" fontId="12" numFmtId="0" xfId="0" applyBorder="1" applyFont="1"/>
    <xf borderId="0" fillId="0" fontId="5" numFmtId="0" xfId="0" applyAlignment="1" applyFont="1">
      <alignment readingOrder="0" vertical="center"/>
    </xf>
    <xf borderId="0" fillId="0" fontId="5" numFmtId="171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3" numFmtId="0" xfId="0" applyAlignment="1" applyFont="1">
      <alignment horizontal="center" readingOrder="0" vertical="center"/>
    </xf>
    <xf borderId="5" fillId="9" fontId="5" numFmtId="0" xfId="0" applyAlignment="1" applyBorder="1" applyFont="1">
      <alignment horizontal="center" readingOrder="0" vertical="center"/>
    </xf>
    <xf borderId="0" fillId="13" fontId="11" numFmtId="0" xfId="0" applyAlignment="1" applyFill="1" applyFont="1">
      <alignment vertical="center"/>
    </xf>
    <xf borderId="0" fillId="13" fontId="5" numFmtId="0" xfId="0" applyAlignment="1" applyFont="1">
      <alignment horizontal="center" vertical="center"/>
    </xf>
    <xf borderId="0" fillId="13" fontId="5" numFmtId="171" xfId="0" applyAlignment="1" applyFont="1" applyNumberFormat="1">
      <alignment vertical="center"/>
    </xf>
    <xf borderId="4" fillId="9" fontId="11" numFmtId="0" xfId="0" applyAlignment="1" applyBorder="1" applyFont="1">
      <alignment horizontal="center" readingOrder="0" vertical="center"/>
    </xf>
    <xf borderId="9" fillId="0" fontId="12" numFmtId="0" xfId="0" applyBorder="1" applyFont="1"/>
    <xf borderId="6" fillId="0" fontId="11" numFmtId="0" xfId="0" applyAlignment="1" applyBorder="1" applyFont="1">
      <alignment vertical="center"/>
    </xf>
    <xf borderId="7" fillId="0" fontId="11" numFmtId="0" xfId="0" applyAlignment="1" applyBorder="1" applyFont="1">
      <alignment vertical="center"/>
    </xf>
    <xf borderId="0" fillId="13" fontId="11" numFmtId="0" xfId="0" applyAlignment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13" fontId="5" numFmtId="0" xfId="0" applyAlignment="1" applyFont="1">
      <alignment horizontal="center" readingOrder="0" vertical="center"/>
    </xf>
    <xf borderId="0" fillId="13" fontId="5" numFmtId="0" xfId="0" applyAlignment="1" applyFont="1">
      <alignment vertical="center"/>
    </xf>
    <xf borderId="13" fillId="9" fontId="5" numFmtId="0" xfId="0" applyAlignment="1" applyBorder="1" applyFont="1">
      <alignment horizontal="center" readingOrder="0" vertical="center"/>
    </xf>
    <xf borderId="12" fillId="0" fontId="12" numFmtId="0" xfId="0" applyBorder="1" applyFont="1"/>
    <xf borderId="9" fillId="0" fontId="5" numFmtId="0" xfId="0" applyAlignment="1" applyBorder="1" applyFont="1">
      <alignment horizontal="center" readingOrder="0" vertical="center"/>
    </xf>
    <xf borderId="5" fillId="6" fontId="5" numFmtId="170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4" fillId="6" fontId="11" numFmtId="0" xfId="0" applyAlignment="1" applyBorder="1" applyFont="1">
      <alignment horizontal="center" readingOrder="0" vertical="center"/>
    </xf>
    <xf borderId="13" fillId="6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2" fillId="13" fontId="11" numFmtId="0" xfId="0" applyAlignment="1" applyBorder="1" applyFont="1">
      <alignment vertical="center"/>
    </xf>
    <xf borderId="0" fillId="0" fontId="5" numFmtId="0" xfId="0" applyAlignment="1" applyFont="1">
      <alignment horizontal="center" readingOrder="0"/>
    </xf>
    <xf borderId="5" fillId="8" fontId="5" numFmtId="170" xfId="0" applyAlignment="1" applyBorder="1" applyFont="1" applyNumberFormat="1">
      <alignment horizontal="center" readingOrder="0" vertical="center"/>
    </xf>
    <xf borderId="5" fillId="14" fontId="5" numFmtId="170" xfId="0" applyAlignment="1" applyBorder="1" applyFill="1" applyFont="1" applyNumberFormat="1">
      <alignment horizontal="center" readingOrder="0" vertical="center"/>
    </xf>
    <xf borderId="4" fillId="8" fontId="11" numFmtId="0" xfId="0" applyAlignment="1" applyBorder="1" applyFont="1">
      <alignment horizontal="center" readingOrder="0" vertical="center"/>
    </xf>
    <xf borderId="6" fillId="13" fontId="11" numFmtId="0" xfId="0" applyAlignment="1" applyBorder="1" applyFont="1">
      <alignment horizontal="center" readingOrder="0" vertical="center"/>
    </xf>
    <xf borderId="6" fillId="13" fontId="5" numFmtId="0" xfId="0" applyAlignment="1" applyBorder="1" applyFont="1">
      <alignment horizontal="center" readingOrder="0" vertical="center"/>
    </xf>
    <xf borderId="4" fillId="14" fontId="11" numFmtId="0" xfId="0" applyAlignment="1" applyBorder="1" applyFont="1">
      <alignment horizontal="center" readingOrder="0" vertical="center"/>
    </xf>
    <xf borderId="0" fillId="13" fontId="5" numFmtId="0" xfId="0" applyAlignment="1" applyFont="1">
      <alignment horizontal="right" readingOrder="0" vertical="center"/>
    </xf>
    <xf borderId="9" fillId="13" fontId="11" numFmtId="0" xfId="0" applyAlignment="1" applyBorder="1" applyFont="1">
      <alignment readingOrder="0" vertical="center"/>
    </xf>
    <xf borderId="9" fillId="13" fontId="11" numFmtId="0" xfId="0" applyAlignment="1" applyBorder="1" applyFont="1">
      <alignment vertical="center"/>
    </xf>
    <xf borderId="13" fillId="8" fontId="5" numFmtId="0" xfId="0" applyAlignment="1" applyBorder="1" applyFont="1">
      <alignment horizontal="center" readingOrder="0" vertical="center"/>
    </xf>
    <xf borderId="13" fillId="14" fontId="5" numFmtId="0" xfId="0" applyAlignment="1" applyBorder="1" applyFont="1">
      <alignment horizontal="center" readingOrder="0" vertical="center"/>
    </xf>
    <xf borderId="0" fillId="13" fontId="11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9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0" fillId="13" fontId="5" numFmtId="0" xfId="0" applyAlignment="1" applyFont="1">
      <alignment vertical="center"/>
    </xf>
    <xf borderId="11" fillId="0" fontId="11" numFmtId="0" xfId="0" applyAlignment="1" applyBorder="1" applyFont="1">
      <alignment vertical="center"/>
    </xf>
    <xf borderId="11" fillId="0" fontId="5" numFmtId="0" xfId="0" applyAlignment="1" applyBorder="1" applyFont="1">
      <alignment horizontal="right" readingOrder="0" vertical="center"/>
    </xf>
    <xf borderId="0" fillId="0" fontId="5" numFmtId="0" xfId="0" applyAlignment="1" applyFont="1">
      <alignment horizontal="right" readingOrder="0" vertical="center"/>
    </xf>
    <xf borderId="5" fillId="15" fontId="5" numFmtId="170" xfId="0" applyAlignment="1" applyBorder="1" applyFill="1" applyFont="1" applyNumberFormat="1">
      <alignment horizontal="center" readingOrder="0" vertical="center"/>
    </xf>
    <xf borderId="4" fillId="15" fontId="11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3" fontId="10" numFmtId="0" xfId="0" applyAlignment="1" applyFont="1">
      <alignment horizontal="center" readingOrder="0" vertical="center"/>
    </xf>
    <xf borderId="11" fillId="15" fontId="5" numFmtId="0" xfId="0" applyAlignment="1" applyBorder="1" applyFont="1">
      <alignment horizontal="center" readingOrder="0" vertical="center"/>
    </xf>
    <xf borderId="5" fillId="6" fontId="5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0" fillId="13" fontId="5" numFmtId="0" xfId="0" applyAlignment="1" applyFont="1">
      <alignment readingOrder="0" vertical="center"/>
    </xf>
    <xf borderId="11" fillId="8" fontId="5" numFmtId="0" xfId="0" applyAlignment="1" applyBorder="1" applyFont="1">
      <alignment horizontal="center" readingOrder="0" vertical="center"/>
    </xf>
    <xf borderId="11" fillId="0" fontId="11" numFmtId="0" xfId="0" applyBorder="1" applyFont="1"/>
    <xf borderId="9" fillId="0" fontId="11" numFmtId="0" xfId="0" applyAlignment="1" applyBorder="1" applyFont="1">
      <alignment horizontal="center" readingOrder="0" vertical="center"/>
    </xf>
    <xf borderId="13" fillId="15" fontId="5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/>
    </xf>
    <xf borderId="6" fillId="11" fontId="10" numFmtId="169" xfId="0" applyAlignment="1" applyBorder="1" applyFont="1" applyNumberFormat="1">
      <alignment horizontal="center" readingOrder="0" vertical="center"/>
    </xf>
    <xf borderId="0" fillId="11" fontId="10" numFmtId="169" xfId="0" applyAlignment="1" applyFont="1" applyNumberFormat="1">
      <alignment horizontal="center" readingOrder="0" vertical="center"/>
    </xf>
    <xf borderId="11" fillId="11" fontId="10" numFmtId="169" xfId="0" applyAlignment="1" applyBorder="1" applyFont="1" applyNumberFormat="1">
      <alignment horizontal="center" readingOrder="0" vertical="center"/>
    </xf>
    <xf borderId="5" fillId="8" fontId="10" numFmtId="167" xfId="0" applyAlignment="1" applyBorder="1" applyFont="1" applyNumberFormat="1">
      <alignment horizontal="center" readingOrder="0" vertical="center"/>
    </xf>
    <xf borderId="0" fillId="8" fontId="10" numFmtId="168" xfId="0" applyAlignment="1" applyFont="1" applyNumberFormat="1">
      <alignment horizontal="center" readingOrder="0" vertical="center"/>
    </xf>
    <xf borderId="0" fillId="8" fontId="10" numFmtId="169" xfId="0" applyAlignment="1" applyFont="1" applyNumberFormat="1">
      <alignment horizontal="center" readingOrder="0" vertical="center"/>
    </xf>
    <xf borderId="4" fillId="8" fontId="10" numFmtId="167" xfId="0" applyAlignment="1" applyBorder="1" applyFont="1" applyNumberFormat="1">
      <alignment horizontal="center" readingOrder="0" vertical="center"/>
    </xf>
    <xf borderId="11" fillId="8" fontId="10" numFmtId="168" xfId="0" applyAlignment="1" applyBorder="1" applyFont="1" applyNumberFormat="1">
      <alignment horizontal="center" readingOrder="0" vertical="center"/>
    </xf>
    <xf borderId="11" fillId="8" fontId="10" numFmtId="169" xfId="0" applyAlignment="1" applyBorder="1" applyFont="1" applyNumberFormat="1">
      <alignment horizontal="center" readingOrder="0" vertical="center"/>
    </xf>
    <xf borderId="5" fillId="3" fontId="10" numFmtId="167" xfId="0" applyAlignment="1" applyBorder="1" applyFont="1" applyNumberFormat="1">
      <alignment horizontal="center" readingOrder="0" vertical="center"/>
    </xf>
    <xf borderId="0" fillId="3" fontId="10" numFmtId="168" xfId="0" applyAlignment="1" applyFont="1" applyNumberFormat="1">
      <alignment horizontal="center" readingOrder="0" vertical="center"/>
    </xf>
    <xf borderId="0" fillId="3" fontId="10" numFmtId="169" xfId="0" applyAlignment="1" applyFont="1" applyNumberFormat="1">
      <alignment horizontal="center" readingOrder="0" vertical="center"/>
    </xf>
    <xf borderId="4" fillId="3" fontId="10" numFmtId="167" xfId="0" applyAlignment="1" applyBorder="1" applyFont="1" applyNumberFormat="1">
      <alignment horizontal="center" readingOrder="0" vertical="center"/>
    </xf>
    <xf borderId="11" fillId="3" fontId="10" numFmtId="168" xfId="0" applyAlignment="1" applyBorder="1" applyFont="1" applyNumberFormat="1">
      <alignment horizontal="center" readingOrder="0" vertical="center"/>
    </xf>
    <xf borderId="11" fillId="3" fontId="10" numFmtId="169" xfId="0" applyAlignment="1" applyBorder="1" applyFont="1" applyNumberFormat="1">
      <alignment horizontal="center" readingOrder="0" vertical="center"/>
    </xf>
    <xf borderId="2" fillId="12" fontId="10" numFmtId="0" xfId="0" applyAlignment="1" applyBorder="1" applyFont="1">
      <alignment horizontal="center" readingOrder="0" vertical="center"/>
    </xf>
    <xf borderId="15" fillId="12" fontId="10" numFmtId="0" xfId="0" applyAlignment="1" applyBorder="1" applyFont="1">
      <alignment horizontal="center" readingOrder="0" vertical="center"/>
    </xf>
    <xf borderId="2" fillId="12" fontId="10" numFmtId="167" xfId="0" applyAlignment="1" applyBorder="1" applyFont="1" applyNumberFormat="1">
      <alignment horizontal="center" readingOrder="0" vertical="center"/>
    </xf>
    <xf borderId="11" fillId="12" fontId="10" numFmtId="168" xfId="0" applyAlignment="1" applyBorder="1" applyFont="1" applyNumberFormat="1">
      <alignment horizontal="center" readingOrder="0" vertical="center"/>
    </xf>
    <xf borderId="11" fillId="12" fontId="10" numFmtId="169" xfId="0" applyAlignment="1" applyBorder="1" applyFont="1" applyNumberFormat="1">
      <alignment horizontal="center" readingOrder="0" vertical="center"/>
    </xf>
    <xf borderId="11" fillId="12" fontId="10" numFmtId="0" xfId="0" applyAlignment="1" applyBorder="1" applyFont="1">
      <alignment horizontal="center" vertical="center"/>
    </xf>
    <xf borderId="12" fillId="12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btsbrasiltv/" TargetMode="External"/><Relationship Id="rId2" Type="http://schemas.openxmlformats.org/officeDocument/2006/relationships/hyperlink" Target="https://docs.google.com/document/d/1d7HND1aUXgS5VBd07nGR0gU3269TmpjRzmmPDT_ymLQ/edit?tab=t.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17.88"/>
    <col customWidth="1" min="3" max="3" width="36.75"/>
    <col customWidth="1" min="4" max="4" width="2.0"/>
  </cols>
  <sheetData>
    <row r="1">
      <c r="A1" s="1"/>
      <c r="B1" s="2" t="s">
        <v>0</v>
      </c>
      <c r="D1" s="1"/>
    </row>
    <row r="2">
      <c r="A2" s="1"/>
      <c r="D2" s="1"/>
    </row>
    <row r="3">
      <c r="A3" s="1"/>
      <c r="B3" s="3" t="s">
        <v>1</v>
      </c>
      <c r="C3" s="4" t="s">
        <v>2</v>
      </c>
      <c r="D3" s="5"/>
    </row>
    <row r="4">
      <c r="A4" s="1"/>
      <c r="B4" s="3" t="s">
        <v>3</v>
      </c>
      <c r="C4" s="6" t="s">
        <v>4</v>
      </c>
      <c r="D4" s="5"/>
    </row>
    <row r="5">
      <c r="A5" s="1"/>
      <c r="B5" s="3" t="s">
        <v>5</v>
      </c>
      <c r="C5" s="6" t="s">
        <v>6</v>
      </c>
      <c r="D5" s="5"/>
    </row>
    <row r="6">
      <c r="A6" s="1"/>
      <c r="B6" s="3" t="s">
        <v>7</v>
      </c>
      <c r="C6" s="7" t="s">
        <v>8</v>
      </c>
      <c r="D6" s="5"/>
    </row>
    <row r="7">
      <c r="A7" s="1"/>
      <c r="B7" s="3" t="s">
        <v>9</v>
      </c>
      <c r="C7" s="8" t="s">
        <v>10</v>
      </c>
      <c r="D7" s="5"/>
    </row>
    <row r="8">
      <c r="A8" s="1"/>
      <c r="B8" s="3" t="s">
        <v>11</v>
      </c>
      <c r="C8" s="8" t="s">
        <v>12</v>
      </c>
      <c r="D8" s="5"/>
    </row>
    <row r="9">
      <c r="A9" s="1"/>
      <c r="B9" s="3" t="s">
        <v>13</v>
      </c>
      <c r="C9" s="9" t="s">
        <v>14</v>
      </c>
      <c r="D9" s="5"/>
    </row>
    <row r="10">
      <c r="A10" s="1"/>
      <c r="B10" s="3" t="s">
        <v>15</v>
      </c>
      <c r="C10" s="10" t="s">
        <v>16</v>
      </c>
      <c r="D10" s="5"/>
    </row>
    <row r="11">
      <c r="A11" s="1"/>
      <c r="B11" s="3" t="s">
        <v>17</v>
      </c>
      <c r="C11" s="11">
        <v>1250.0</v>
      </c>
      <c r="D11" s="5"/>
    </row>
    <row r="12">
      <c r="A12" s="1"/>
      <c r="B12" s="3" t="s">
        <v>18</v>
      </c>
      <c r="C12" s="12" t="s">
        <v>19</v>
      </c>
      <c r="D12" s="5"/>
    </row>
    <row r="13">
      <c r="A13" s="1"/>
      <c r="B13" s="3" t="s">
        <v>20</v>
      </c>
      <c r="C13" s="13" t="s">
        <v>21</v>
      </c>
      <c r="D13" s="5"/>
    </row>
    <row r="14">
      <c r="A14" s="1"/>
      <c r="B14" s="3" t="s">
        <v>22</v>
      </c>
      <c r="C14" s="13" t="s">
        <v>23</v>
      </c>
      <c r="D14" s="5"/>
    </row>
    <row r="15">
      <c r="A15" s="1"/>
      <c r="B15" s="3" t="s">
        <v>24</v>
      </c>
      <c r="C15" s="9" t="s">
        <v>25</v>
      </c>
      <c r="D15" s="5"/>
    </row>
    <row r="16">
      <c r="A16" s="1"/>
      <c r="B16" s="3" t="s">
        <v>26</v>
      </c>
      <c r="C16" s="9" t="s">
        <v>27</v>
      </c>
      <c r="D16" s="5"/>
    </row>
    <row r="17">
      <c r="A17" s="1"/>
      <c r="B17" s="14" t="s">
        <v>28</v>
      </c>
      <c r="C17" s="15" t="s">
        <v>29</v>
      </c>
      <c r="D17" s="5"/>
    </row>
    <row r="18">
      <c r="A18" s="1"/>
      <c r="B18" s="16" t="s">
        <v>30</v>
      </c>
      <c r="C18" s="17" t="s">
        <v>31</v>
      </c>
      <c r="D18" s="5"/>
    </row>
    <row r="19">
      <c r="A19" s="1"/>
      <c r="B19" s="16" t="s">
        <v>32</v>
      </c>
      <c r="C19" s="17" t="s">
        <v>33</v>
      </c>
      <c r="D19" s="5"/>
    </row>
    <row r="20">
      <c r="A20" s="1"/>
      <c r="B20" s="18" t="s">
        <v>34</v>
      </c>
      <c r="D20" s="5"/>
    </row>
    <row r="21">
      <c r="A21" s="1"/>
      <c r="B21" s="19" t="s">
        <v>35</v>
      </c>
      <c r="C21" s="20" t="s">
        <v>36</v>
      </c>
      <c r="D21" s="5"/>
    </row>
    <row r="22">
      <c r="A22" s="1"/>
      <c r="B22" s="19" t="s">
        <v>37</v>
      </c>
      <c r="C22" s="20" t="s">
        <v>38</v>
      </c>
      <c r="D22" s="5"/>
    </row>
    <row r="23">
      <c r="A23" s="1"/>
      <c r="B23" s="21" t="s">
        <v>39</v>
      </c>
      <c r="C23" s="21" t="s">
        <v>40</v>
      </c>
      <c r="D23" s="5"/>
    </row>
    <row r="24">
      <c r="A24" s="1"/>
      <c r="B24" s="22" t="s">
        <v>41</v>
      </c>
      <c r="C24" s="23">
        <f>C28*60%</f>
        <v>30000</v>
      </c>
      <c r="D24" s="5"/>
    </row>
    <row r="25">
      <c r="A25" s="1"/>
      <c r="B25" s="24" t="s">
        <v>42</v>
      </c>
      <c r="C25" s="23">
        <f>C28*17.5%</f>
        <v>8750</v>
      </c>
      <c r="D25" s="5"/>
    </row>
    <row r="26">
      <c r="A26" s="1"/>
      <c r="B26" s="25" t="s">
        <v>43</v>
      </c>
      <c r="C26" s="23">
        <f>C28*12.5%</f>
        <v>6250</v>
      </c>
      <c r="D26" s="5"/>
    </row>
    <row r="27">
      <c r="A27" s="1"/>
      <c r="B27" s="26" t="s">
        <v>44</v>
      </c>
      <c r="C27" s="23">
        <f>C28*10%</f>
        <v>5000</v>
      </c>
      <c r="D27" s="5"/>
    </row>
    <row r="28">
      <c r="A28" s="1"/>
      <c r="B28" s="27" t="s">
        <v>45</v>
      </c>
      <c r="C28" s="28">
        <v>50000.0</v>
      </c>
      <c r="D28" s="5"/>
    </row>
    <row r="29" ht="12.0" customHeight="1">
      <c r="A29" s="1"/>
      <c r="D29" s="5"/>
    </row>
  </sheetData>
  <mergeCells count="2">
    <mergeCell ref="B1:C2"/>
    <mergeCell ref="B20:C20"/>
  </mergeCells>
  <hyperlinks>
    <hyperlink r:id="rId1" ref="C3"/>
    <hyperlink r:id="rId2" ref="C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18.13"/>
    <col customWidth="1" min="3" max="3" width="6.0"/>
    <col customWidth="1" min="4" max="4" width="12.63"/>
    <col customWidth="1" min="5" max="6" width="11.0"/>
    <col customWidth="1" min="7" max="7" width="19.0"/>
    <col customWidth="1" min="8" max="8" width="4.25"/>
    <col customWidth="1" min="9" max="9" width="4.0"/>
    <col customWidth="1" min="10" max="10" width="4.5"/>
    <col customWidth="1" min="11" max="11" width="17.5"/>
    <col customWidth="1" min="12" max="12" width="4.25"/>
    <col customWidth="1" min="13" max="21" width="4.13"/>
  </cols>
  <sheetData>
    <row r="1">
      <c r="A1" s="29" t="s">
        <v>46</v>
      </c>
      <c r="B1" s="30" t="s">
        <v>47</v>
      </c>
      <c r="C1" s="31" t="s">
        <v>48</v>
      </c>
      <c r="D1" s="32" t="s">
        <v>49</v>
      </c>
      <c r="E1" s="33" t="s">
        <v>50</v>
      </c>
      <c r="F1" s="33" t="s">
        <v>51</v>
      </c>
      <c r="G1" s="34" t="s">
        <v>52</v>
      </c>
      <c r="H1" s="35" t="s">
        <v>53</v>
      </c>
      <c r="K1" s="36" t="s">
        <v>54</v>
      </c>
      <c r="L1" s="35" t="s">
        <v>55</v>
      </c>
      <c r="N1" s="35" t="s">
        <v>56</v>
      </c>
      <c r="P1" s="35" t="s">
        <v>57</v>
      </c>
      <c r="R1" s="35" t="s">
        <v>58</v>
      </c>
      <c r="T1" s="35" t="s">
        <v>59</v>
      </c>
    </row>
    <row r="2">
      <c r="A2" s="37">
        <v>1.0</v>
      </c>
      <c r="B2" s="38" t="s">
        <v>60</v>
      </c>
      <c r="C2" s="39" t="s">
        <v>61</v>
      </c>
      <c r="D2" s="40">
        <v>46218.0</v>
      </c>
      <c r="E2" s="41">
        <v>0.5416666666666666</v>
      </c>
      <c r="F2" s="42">
        <f t="shared" ref="F2:F5" si="1">E2+5/24</f>
        <v>0.75</v>
      </c>
      <c r="G2" s="39"/>
      <c r="H2" s="39">
        <v>0.0</v>
      </c>
      <c r="I2" s="43" t="s">
        <v>62</v>
      </c>
      <c r="J2" s="39">
        <v>0.0</v>
      </c>
      <c r="K2" s="44"/>
      <c r="L2" s="39" t="s">
        <v>63</v>
      </c>
      <c r="M2" s="44" t="s">
        <v>63</v>
      </c>
      <c r="N2" s="39" t="s">
        <v>63</v>
      </c>
      <c r="O2" s="44" t="s">
        <v>63</v>
      </c>
      <c r="P2" s="39" t="s">
        <v>63</v>
      </c>
      <c r="Q2" s="44" t="s">
        <v>63</v>
      </c>
      <c r="R2" s="39" t="s">
        <v>63</v>
      </c>
      <c r="S2" s="44" t="s">
        <v>63</v>
      </c>
      <c r="T2" s="39" t="s">
        <v>63</v>
      </c>
      <c r="U2" s="44" t="s">
        <v>63</v>
      </c>
    </row>
    <row r="3">
      <c r="A3" s="45">
        <v>2.0</v>
      </c>
      <c r="B3" s="46" t="s">
        <v>60</v>
      </c>
      <c r="C3" s="47" t="s">
        <v>64</v>
      </c>
      <c r="D3" s="48">
        <v>46218.0</v>
      </c>
      <c r="E3" s="49">
        <v>0.6666666666666666</v>
      </c>
      <c r="F3" s="50">
        <f t="shared" si="1"/>
        <v>0.875</v>
      </c>
      <c r="G3" s="47"/>
      <c r="H3" s="47">
        <v>0.0</v>
      </c>
      <c r="I3" s="51" t="s">
        <v>62</v>
      </c>
      <c r="J3" s="47">
        <v>0.0</v>
      </c>
      <c r="K3" s="52"/>
      <c r="L3" s="47" t="s">
        <v>63</v>
      </c>
      <c r="M3" s="52" t="s">
        <v>63</v>
      </c>
      <c r="N3" s="47" t="s">
        <v>63</v>
      </c>
      <c r="O3" s="52" t="s">
        <v>63</v>
      </c>
      <c r="P3" s="47" t="s">
        <v>63</v>
      </c>
      <c r="Q3" s="52" t="s">
        <v>63</v>
      </c>
      <c r="R3" s="47" t="s">
        <v>63</v>
      </c>
      <c r="S3" s="52" t="s">
        <v>63</v>
      </c>
      <c r="T3" s="47" t="s">
        <v>63</v>
      </c>
      <c r="U3" s="52" t="s">
        <v>63</v>
      </c>
    </row>
    <row r="4">
      <c r="A4" s="45">
        <v>3.0</v>
      </c>
      <c r="B4" s="46" t="s">
        <v>60</v>
      </c>
      <c r="C4" s="47" t="s">
        <v>65</v>
      </c>
      <c r="D4" s="48">
        <v>46218.0</v>
      </c>
      <c r="E4" s="49">
        <v>0.7916666666666666</v>
      </c>
      <c r="F4" s="50">
        <f t="shared" si="1"/>
        <v>1</v>
      </c>
      <c r="G4" s="47"/>
      <c r="H4" s="47">
        <v>0.0</v>
      </c>
      <c r="I4" s="51" t="s">
        <v>62</v>
      </c>
      <c r="J4" s="47">
        <v>0.0</v>
      </c>
      <c r="K4" s="52"/>
      <c r="L4" s="47" t="s">
        <v>63</v>
      </c>
      <c r="M4" s="52" t="s">
        <v>63</v>
      </c>
      <c r="N4" s="47" t="s">
        <v>63</v>
      </c>
      <c r="O4" s="52" t="s">
        <v>63</v>
      </c>
      <c r="P4" s="47" t="s">
        <v>63</v>
      </c>
      <c r="Q4" s="52" t="s">
        <v>63</v>
      </c>
      <c r="R4" s="47" t="s">
        <v>63</v>
      </c>
      <c r="S4" s="52" t="s">
        <v>63</v>
      </c>
      <c r="T4" s="47" t="s">
        <v>63</v>
      </c>
      <c r="U4" s="52" t="s">
        <v>63</v>
      </c>
    </row>
    <row r="5">
      <c r="A5" s="45">
        <v>4.0</v>
      </c>
      <c r="B5" s="46" t="s">
        <v>60</v>
      </c>
      <c r="C5" s="47" t="s">
        <v>66</v>
      </c>
      <c r="D5" s="48">
        <v>46218.0</v>
      </c>
      <c r="E5" s="53">
        <v>0.9166666666666666</v>
      </c>
      <c r="F5" s="54">
        <f t="shared" si="1"/>
        <v>1.125</v>
      </c>
      <c r="G5" s="47"/>
      <c r="H5" s="47">
        <v>0.0</v>
      </c>
      <c r="I5" s="51" t="s">
        <v>62</v>
      </c>
      <c r="J5" s="47">
        <v>0.0</v>
      </c>
      <c r="K5" s="52"/>
      <c r="L5" s="55" t="s">
        <v>63</v>
      </c>
      <c r="M5" s="56" t="s">
        <v>63</v>
      </c>
      <c r="N5" s="55" t="s">
        <v>63</v>
      </c>
      <c r="O5" s="56" t="s">
        <v>63</v>
      </c>
      <c r="P5" s="55" t="s">
        <v>63</v>
      </c>
      <c r="Q5" s="56" t="s">
        <v>63</v>
      </c>
      <c r="R5" s="55" t="s">
        <v>63</v>
      </c>
      <c r="S5" s="56" t="s">
        <v>63</v>
      </c>
      <c r="T5" s="55" t="s">
        <v>63</v>
      </c>
      <c r="U5" s="56" t="s">
        <v>63</v>
      </c>
    </row>
    <row r="6">
      <c r="A6" s="57">
        <v>5.0</v>
      </c>
      <c r="B6" s="58" t="s">
        <v>67</v>
      </c>
      <c r="C6" s="59" t="s">
        <v>68</v>
      </c>
      <c r="D6" s="60">
        <v>46219.0</v>
      </c>
      <c r="E6" s="61">
        <v>0.5416666666666666</v>
      </c>
      <c r="F6" s="62">
        <v>0.75</v>
      </c>
      <c r="G6" s="58"/>
      <c r="H6" s="59">
        <v>0.0</v>
      </c>
      <c r="I6" s="63" t="s">
        <v>62</v>
      </c>
      <c r="J6" s="59">
        <v>0.0</v>
      </c>
      <c r="K6" s="64"/>
      <c r="L6" s="65" t="s">
        <v>63</v>
      </c>
      <c r="M6" s="66" t="s">
        <v>63</v>
      </c>
      <c r="N6" s="65" t="s">
        <v>63</v>
      </c>
      <c r="O6" s="66" t="s">
        <v>63</v>
      </c>
      <c r="P6" s="65" t="s">
        <v>63</v>
      </c>
      <c r="Q6" s="66" t="s">
        <v>63</v>
      </c>
      <c r="R6" s="65" t="s">
        <v>63</v>
      </c>
      <c r="S6" s="66" t="s">
        <v>63</v>
      </c>
      <c r="T6" s="65" t="s">
        <v>63</v>
      </c>
      <c r="U6" s="66" t="s">
        <v>63</v>
      </c>
    </row>
    <row r="7">
      <c r="A7" s="67">
        <v>6.0</v>
      </c>
      <c r="B7" s="68" t="s">
        <v>67</v>
      </c>
      <c r="C7" s="65" t="s">
        <v>69</v>
      </c>
      <c r="D7" s="69">
        <v>46219.0</v>
      </c>
      <c r="E7" s="61">
        <v>0.6666666666666666</v>
      </c>
      <c r="F7" s="62">
        <v>0.875</v>
      </c>
      <c r="G7" s="68"/>
      <c r="H7" s="65">
        <v>0.0</v>
      </c>
      <c r="I7" s="70" t="s">
        <v>62</v>
      </c>
      <c r="J7" s="65">
        <v>0.0</v>
      </c>
      <c r="K7" s="66"/>
      <c r="L7" s="65" t="s">
        <v>63</v>
      </c>
      <c r="M7" s="66" t="s">
        <v>63</v>
      </c>
      <c r="N7" s="65" t="s">
        <v>63</v>
      </c>
      <c r="O7" s="66" t="s">
        <v>63</v>
      </c>
      <c r="P7" s="65" t="s">
        <v>63</v>
      </c>
      <c r="Q7" s="66" t="s">
        <v>63</v>
      </c>
      <c r="R7" s="65" t="s">
        <v>63</v>
      </c>
      <c r="S7" s="66" t="s">
        <v>63</v>
      </c>
      <c r="T7" s="65" t="s">
        <v>63</v>
      </c>
      <c r="U7" s="66" t="s">
        <v>63</v>
      </c>
    </row>
    <row r="8">
      <c r="A8" s="67">
        <v>7.0</v>
      </c>
      <c r="B8" s="68" t="s">
        <v>70</v>
      </c>
      <c r="C8" s="65" t="s">
        <v>71</v>
      </c>
      <c r="D8" s="69">
        <v>46219.0</v>
      </c>
      <c r="E8" s="61">
        <v>0.7916666666666666</v>
      </c>
      <c r="F8" s="62">
        <v>1.0</v>
      </c>
      <c r="G8" s="68"/>
      <c r="H8" s="65">
        <v>0.0</v>
      </c>
      <c r="I8" s="70" t="s">
        <v>62</v>
      </c>
      <c r="J8" s="65">
        <v>0.0</v>
      </c>
      <c r="K8" s="66"/>
      <c r="L8" s="65" t="s">
        <v>63</v>
      </c>
      <c r="M8" s="66" t="s">
        <v>63</v>
      </c>
      <c r="N8" s="65" t="s">
        <v>63</v>
      </c>
      <c r="O8" s="66" t="s">
        <v>63</v>
      </c>
      <c r="P8" s="65" t="s">
        <v>63</v>
      </c>
      <c r="Q8" s="66" t="s">
        <v>63</v>
      </c>
      <c r="R8" s="65" t="s">
        <v>63</v>
      </c>
      <c r="S8" s="66" t="s">
        <v>63</v>
      </c>
      <c r="T8" s="65" t="s">
        <v>63</v>
      </c>
      <c r="U8" s="66" t="s">
        <v>63</v>
      </c>
    </row>
    <row r="9">
      <c r="A9" s="67">
        <v>8.0</v>
      </c>
      <c r="B9" s="68" t="s">
        <v>70</v>
      </c>
      <c r="C9" s="65" t="s">
        <v>72</v>
      </c>
      <c r="D9" s="69">
        <v>46219.0</v>
      </c>
      <c r="E9" s="71">
        <v>0.9166666666666666</v>
      </c>
      <c r="F9" s="72">
        <v>1.125</v>
      </c>
      <c r="G9" s="68"/>
      <c r="H9" s="65">
        <v>0.0</v>
      </c>
      <c r="I9" s="70" t="s">
        <v>62</v>
      </c>
      <c r="J9" s="65">
        <v>0.0</v>
      </c>
      <c r="K9" s="66"/>
      <c r="L9" s="73" t="s">
        <v>63</v>
      </c>
      <c r="M9" s="74" t="s">
        <v>63</v>
      </c>
      <c r="N9" s="73" t="s">
        <v>63</v>
      </c>
      <c r="O9" s="74" t="s">
        <v>63</v>
      </c>
      <c r="P9" s="73" t="s">
        <v>63</v>
      </c>
      <c r="Q9" s="74" t="s">
        <v>63</v>
      </c>
      <c r="R9" s="73" t="s">
        <v>63</v>
      </c>
      <c r="S9" s="74" t="s">
        <v>63</v>
      </c>
      <c r="T9" s="73" t="s">
        <v>63</v>
      </c>
      <c r="U9" s="74" t="s">
        <v>63</v>
      </c>
    </row>
    <row r="10">
      <c r="A10" s="75">
        <v>9.0</v>
      </c>
      <c r="B10" s="76" t="s">
        <v>73</v>
      </c>
      <c r="C10" s="77" t="s">
        <v>74</v>
      </c>
      <c r="D10" s="78">
        <v>46220.0</v>
      </c>
      <c r="E10" s="79">
        <v>0.5416666666666666</v>
      </c>
      <c r="F10" s="80">
        <v>0.75</v>
      </c>
      <c r="G10" s="81"/>
      <c r="H10" s="82">
        <v>0.0</v>
      </c>
      <c r="I10" s="83" t="s">
        <v>62</v>
      </c>
      <c r="J10" s="82">
        <v>0.0</v>
      </c>
      <c r="K10" s="84"/>
      <c r="L10" s="85" t="s">
        <v>63</v>
      </c>
      <c r="M10" s="86" t="s">
        <v>63</v>
      </c>
      <c r="N10" s="85" t="s">
        <v>63</v>
      </c>
      <c r="O10" s="86" t="s">
        <v>63</v>
      </c>
      <c r="P10" s="85" t="s">
        <v>63</v>
      </c>
      <c r="Q10" s="86" t="s">
        <v>63</v>
      </c>
      <c r="R10" s="85" t="s">
        <v>63</v>
      </c>
      <c r="S10" s="86" t="s">
        <v>63</v>
      </c>
      <c r="T10" s="85" t="s">
        <v>63</v>
      </c>
      <c r="U10" s="86" t="s">
        <v>63</v>
      </c>
    </row>
    <row r="11">
      <c r="A11" s="87">
        <v>10.0</v>
      </c>
      <c r="B11" s="88" t="s">
        <v>75</v>
      </c>
      <c r="C11" s="89" t="s">
        <v>76</v>
      </c>
      <c r="D11" s="90">
        <v>46220.0</v>
      </c>
      <c r="E11" s="79">
        <v>0.6666666666666666</v>
      </c>
      <c r="F11" s="80">
        <v>0.875</v>
      </c>
      <c r="G11" s="87"/>
      <c r="H11" s="85">
        <v>0.0</v>
      </c>
      <c r="I11" s="91" t="s">
        <v>62</v>
      </c>
      <c r="J11" s="85">
        <v>0.0</v>
      </c>
      <c r="K11" s="86"/>
      <c r="L11" s="85" t="s">
        <v>63</v>
      </c>
      <c r="M11" s="86" t="s">
        <v>63</v>
      </c>
      <c r="N11" s="85" t="s">
        <v>63</v>
      </c>
      <c r="O11" s="86" t="s">
        <v>63</v>
      </c>
      <c r="P11" s="85" t="s">
        <v>63</v>
      </c>
      <c r="Q11" s="86" t="s">
        <v>63</v>
      </c>
      <c r="R11" s="85" t="s">
        <v>63</v>
      </c>
      <c r="S11" s="86" t="s">
        <v>63</v>
      </c>
      <c r="T11" s="85" t="s">
        <v>63</v>
      </c>
      <c r="U11" s="86" t="s">
        <v>63</v>
      </c>
    </row>
    <row r="12">
      <c r="A12" s="87">
        <v>11.0</v>
      </c>
      <c r="B12" s="88" t="s">
        <v>73</v>
      </c>
      <c r="C12" s="89" t="s">
        <v>77</v>
      </c>
      <c r="D12" s="92">
        <v>46220.0</v>
      </c>
      <c r="E12" s="93">
        <v>0.7916666666666666</v>
      </c>
      <c r="F12" s="94">
        <v>1.0</v>
      </c>
      <c r="G12" s="87"/>
      <c r="H12" s="85">
        <v>0.0</v>
      </c>
      <c r="I12" s="91" t="s">
        <v>62</v>
      </c>
      <c r="J12" s="85">
        <v>0.0</v>
      </c>
      <c r="K12" s="86"/>
      <c r="L12" s="95" t="s">
        <v>63</v>
      </c>
      <c r="M12" s="96" t="s">
        <v>63</v>
      </c>
      <c r="N12" s="95" t="s">
        <v>63</v>
      </c>
      <c r="O12" s="96" t="s">
        <v>63</v>
      </c>
      <c r="P12" s="95" t="s">
        <v>63</v>
      </c>
      <c r="Q12" s="96" t="s">
        <v>63</v>
      </c>
      <c r="R12" s="95" t="s">
        <v>63</v>
      </c>
      <c r="S12" s="96" t="s">
        <v>63</v>
      </c>
      <c r="T12" s="95" t="s">
        <v>63</v>
      </c>
      <c r="U12" s="96" t="s">
        <v>63</v>
      </c>
    </row>
    <row r="13" ht="15.75" customHeight="1">
      <c r="A13" s="97">
        <v>12.0</v>
      </c>
      <c r="B13" s="98" t="s">
        <v>78</v>
      </c>
      <c r="C13" s="99" t="s">
        <v>79</v>
      </c>
      <c r="D13" s="100">
        <v>46221.0</v>
      </c>
      <c r="E13" s="101">
        <v>0.5416666666666666</v>
      </c>
      <c r="F13" s="102">
        <v>0.75</v>
      </c>
      <c r="G13" s="97"/>
      <c r="H13" s="103">
        <v>0.0</v>
      </c>
      <c r="I13" s="104" t="s">
        <v>62</v>
      </c>
      <c r="J13" s="103">
        <v>0.0</v>
      </c>
      <c r="K13" s="105"/>
      <c r="L13" s="106" t="s">
        <v>63</v>
      </c>
      <c r="M13" s="107" t="s">
        <v>63</v>
      </c>
      <c r="N13" s="106" t="s">
        <v>63</v>
      </c>
      <c r="O13" s="107" t="s">
        <v>63</v>
      </c>
      <c r="P13" s="106" t="s">
        <v>63</v>
      </c>
      <c r="Q13" s="107" t="s">
        <v>63</v>
      </c>
      <c r="R13" s="106" t="s">
        <v>63</v>
      </c>
      <c r="S13" s="107" t="s">
        <v>63</v>
      </c>
      <c r="T13" s="106" t="s">
        <v>63</v>
      </c>
      <c r="U13" s="107" t="s">
        <v>63</v>
      </c>
    </row>
    <row r="14" ht="15.75" customHeight="1">
      <c r="A14" s="108">
        <v>13.0</v>
      </c>
      <c r="B14" s="109" t="s">
        <v>80</v>
      </c>
      <c r="C14" s="110" t="s">
        <v>81</v>
      </c>
      <c r="D14" s="100">
        <v>46221.0</v>
      </c>
      <c r="E14" s="101">
        <v>0.6666666666666666</v>
      </c>
      <c r="F14" s="102">
        <v>0.875</v>
      </c>
      <c r="G14" s="108"/>
      <c r="H14" s="106">
        <v>0.0</v>
      </c>
      <c r="I14" s="111" t="s">
        <v>62</v>
      </c>
      <c r="J14" s="106">
        <v>0.0</v>
      </c>
      <c r="K14" s="107"/>
      <c r="L14" s="106" t="s">
        <v>63</v>
      </c>
      <c r="M14" s="107" t="s">
        <v>63</v>
      </c>
      <c r="N14" s="106" t="s">
        <v>63</v>
      </c>
      <c r="O14" s="107" t="s">
        <v>63</v>
      </c>
      <c r="P14" s="106" t="s">
        <v>63</v>
      </c>
      <c r="Q14" s="107" t="s">
        <v>63</v>
      </c>
      <c r="R14" s="106" t="s">
        <v>63</v>
      </c>
      <c r="S14" s="107" t="s">
        <v>63</v>
      </c>
      <c r="T14" s="106" t="s">
        <v>63</v>
      </c>
      <c r="U14" s="107" t="s">
        <v>63</v>
      </c>
    </row>
    <row r="15" ht="15.75" customHeight="1">
      <c r="A15" s="108">
        <v>14.0</v>
      </c>
      <c r="B15" s="112" t="s">
        <v>82</v>
      </c>
      <c r="C15" s="113" t="s">
        <v>83</v>
      </c>
      <c r="D15" s="100">
        <v>46221.0</v>
      </c>
      <c r="E15" s="114">
        <v>0.7916666666666666</v>
      </c>
      <c r="F15" s="115">
        <v>1.0</v>
      </c>
      <c r="G15" s="116"/>
      <c r="H15" s="117">
        <v>0.0</v>
      </c>
      <c r="I15" s="118" t="s">
        <v>62</v>
      </c>
      <c r="J15" s="117">
        <v>0.0</v>
      </c>
      <c r="K15" s="119"/>
      <c r="L15" s="117" t="s">
        <v>63</v>
      </c>
      <c r="M15" s="119" t="s">
        <v>63</v>
      </c>
      <c r="N15" s="117" t="s">
        <v>63</v>
      </c>
      <c r="O15" s="119" t="s">
        <v>63</v>
      </c>
      <c r="P15" s="117" t="s">
        <v>63</v>
      </c>
      <c r="Q15" s="119" t="s">
        <v>63</v>
      </c>
      <c r="R15" s="117" t="s">
        <v>63</v>
      </c>
      <c r="S15" s="119" t="s">
        <v>63</v>
      </c>
      <c r="T15" s="117" t="s">
        <v>63</v>
      </c>
      <c r="U15" s="119" t="s">
        <v>63</v>
      </c>
    </row>
    <row r="16">
      <c r="A16" s="120">
        <v>15.0</v>
      </c>
      <c r="B16" s="121" t="s">
        <v>84</v>
      </c>
      <c r="C16" s="122" t="s">
        <v>85</v>
      </c>
      <c r="D16" s="123">
        <v>46222.0</v>
      </c>
      <c r="E16" s="124">
        <v>0.8333333333333334</v>
      </c>
      <c r="F16" s="125">
        <v>0.041666666666666664</v>
      </c>
      <c r="G16" s="120"/>
      <c r="H16" s="126">
        <v>0.0</v>
      </c>
      <c r="I16" s="127" t="s">
        <v>62</v>
      </c>
      <c r="J16" s="126">
        <v>0.0</v>
      </c>
      <c r="K16" s="128"/>
      <c r="L16" s="126" t="s">
        <v>63</v>
      </c>
      <c r="M16" s="128" t="s">
        <v>63</v>
      </c>
      <c r="N16" s="126" t="s">
        <v>63</v>
      </c>
      <c r="O16" s="128" t="s">
        <v>63</v>
      </c>
      <c r="P16" s="126" t="s">
        <v>63</v>
      </c>
      <c r="Q16" s="128" t="s">
        <v>63</v>
      </c>
      <c r="R16" s="126" t="s">
        <v>63</v>
      </c>
      <c r="S16" s="128" t="s">
        <v>63</v>
      </c>
      <c r="T16" s="126" t="s">
        <v>63</v>
      </c>
      <c r="U16" s="128" t="s">
        <v>63</v>
      </c>
    </row>
  </sheetData>
  <mergeCells count="6">
    <mergeCell ref="H1:J1"/>
    <mergeCell ref="L1:M1"/>
    <mergeCell ref="N1:O1"/>
    <mergeCell ref="P1:Q1"/>
    <mergeCell ref="R1:S1"/>
    <mergeCell ref="T1:U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3" max="3" width="12.88"/>
    <col customWidth="1" min="4" max="5" width="2.75"/>
    <col customWidth="1" min="6" max="6" width="4.0"/>
    <col customWidth="1" min="7" max="8" width="12.25"/>
    <col customWidth="1" min="9" max="10" width="2.75"/>
    <col customWidth="1" min="11" max="11" width="4.0"/>
    <col customWidth="1" min="12" max="13" width="12.25"/>
    <col customWidth="1" min="14" max="15" width="2.75"/>
    <col customWidth="1" min="16" max="16" width="4.0"/>
    <col customWidth="1" min="17" max="18" width="12.25"/>
    <col customWidth="1" min="19" max="29" width="2.25"/>
  </cols>
  <sheetData>
    <row r="1">
      <c r="A1" s="129" t="s">
        <v>86</v>
      </c>
      <c r="B1" s="129" t="s">
        <v>87</v>
      </c>
      <c r="C1" s="130"/>
      <c r="D1" s="130"/>
      <c r="E1" s="130"/>
      <c r="F1" s="130"/>
      <c r="G1" s="130"/>
      <c r="H1" s="130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</row>
    <row r="2">
      <c r="A2" s="132" t="s">
        <v>61</v>
      </c>
      <c r="B2" s="133">
        <f>SCHEDULE!D2 + SCHEDULE!E2</f>
        <v>46218.54167</v>
      </c>
      <c r="C2" s="134"/>
      <c r="D2" s="130"/>
      <c r="E2" s="130"/>
      <c r="F2" s="130"/>
      <c r="G2" s="129"/>
      <c r="I2" s="135"/>
      <c r="J2" s="136"/>
      <c r="K2" s="136"/>
      <c r="L2" s="136"/>
      <c r="M2" s="137"/>
      <c r="N2" s="138"/>
      <c r="P2" s="130"/>
      <c r="Q2" s="130"/>
      <c r="R2" s="130"/>
      <c r="S2" s="138"/>
      <c r="Z2" s="138"/>
      <c r="AA2" s="138"/>
      <c r="AB2" s="138"/>
      <c r="AC2" s="138"/>
    </row>
    <row r="3">
      <c r="B3" s="139"/>
      <c r="C3" s="134"/>
      <c r="D3" s="130"/>
      <c r="E3" s="130"/>
      <c r="F3" s="137"/>
      <c r="G3" s="129" t="s">
        <v>88</v>
      </c>
      <c r="I3" s="131"/>
      <c r="J3" s="131"/>
      <c r="K3" s="131"/>
      <c r="L3" s="131"/>
      <c r="M3" s="137"/>
      <c r="N3" s="140"/>
      <c r="O3" s="140"/>
      <c r="P3" s="141"/>
      <c r="Q3" s="141"/>
      <c r="R3" s="141"/>
      <c r="S3" s="141"/>
      <c r="T3" s="141"/>
      <c r="U3" s="142"/>
      <c r="V3" s="142"/>
      <c r="W3" s="142"/>
      <c r="X3" s="142"/>
      <c r="Y3" s="142"/>
      <c r="Z3" s="142"/>
      <c r="AA3" s="142"/>
      <c r="AB3" s="142"/>
      <c r="AC3" s="142"/>
    </row>
    <row r="4">
      <c r="B4" s="143" t="s">
        <v>89</v>
      </c>
      <c r="C4" s="144"/>
      <c r="D4" s="145"/>
      <c r="E4" s="145"/>
      <c r="F4" s="146"/>
      <c r="G4" s="147"/>
      <c r="I4" s="137"/>
      <c r="J4" s="131"/>
      <c r="K4" s="131"/>
      <c r="L4" s="131"/>
      <c r="M4" s="148"/>
      <c r="N4" s="149"/>
      <c r="P4" s="141"/>
      <c r="Q4" s="141"/>
      <c r="R4" s="140"/>
      <c r="S4" s="140"/>
      <c r="T4" s="140"/>
      <c r="U4" s="150"/>
      <c r="V4" s="150"/>
      <c r="W4" s="150"/>
      <c r="X4" s="150"/>
      <c r="Y4" s="150"/>
      <c r="Z4" s="150"/>
      <c r="AA4" s="150"/>
      <c r="AB4" s="150"/>
      <c r="AC4" s="150"/>
    </row>
    <row r="5">
      <c r="B5" s="151"/>
      <c r="C5" s="152"/>
      <c r="D5" s="130"/>
      <c r="E5" s="130"/>
      <c r="F5" s="153" t="s">
        <v>71</v>
      </c>
      <c r="G5" s="154">
        <f>SCHEDULE!D8 + SCHEDULE!E8</f>
        <v>46219.79167</v>
      </c>
      <c r="H5" s="134"/>
      <c r="I5" s="137"/>
      <c r="J5" s="131"/>
      <c r="K5" s="131"/>
      <c r="L5" s="131"/>
      <c r="N5" s="147"/>
      <c r="P5" s="140"/>
      <c r="Q5" s="140"/>
      <c r="R5" s="140"/>
      <c r="S5" s="140"/>
      <c r="T5" s="140"/>
      <c r="U5" s="150"/>
      <c r="V5" s="150"/>
      <c r="W5" s="150"/>
      <c r="X5" s="150"/>
      <c r="Y5" s="150"/>
      <c r="Z5" s="150"/>
      <c r="AA5" s="150"/>
      <c r="AB5" s="150"/>
      <c r="AC5" s="150"/>
    </row>
    <row r="6">
      <c r="A6" s="155"/>
      <c r="B6" s="130"/>
      <c r="D6" s="130"/>
      <c r="E6" s="130"/>
      <c r="F6" s="144"/>
      <c r="G6" s="156"/>
      <c r="H6" s="144"/>
      <c r="I6" s="130"/>
      <c r="J6" s="130"/>
      <c r="K6" s="137"/>
      <c r="L6" s="131"/>
      <c r="N6" s="149"/>
      <c r="P6" s="141"/>
      <c r="Q6" s="141"/>
      <c r="R6" s="149"/>
      <c r="S6" s="149"/>
      <c r="U6" s="150"/>
      <c r="V6" s="150"/>
      <c r="W6" s="150"/>
      <c r="X6" s="150"/>
      <c r="Y6" s="150"/>
      <c r="Z6" s="150"/>
      <c r="AA6" s="150"/>
      <c r="AB6" s="150"/>
      <c r="AC6" s="150"/>
    </row>
    <row r="7">
      <c r="A7" s="132" t="s">
        <v>64</v>
      </c>
      <c r="B7" s="133">
        <f>SCHEDULE!D3 + SCHEDULE!E3</f>
        <v>46218.66667</v>
      </c>
      <c r="C7" s="134"/>
      <c r="D7" s="130"/>
      <c r="E7" s="130"/>
      <c r="F7" s="144"/>
      <c r="G7" s="156" t="s">
        <v>89</v>
      </c>
      <c r="H7" s="144"/>
      <c r="I7" s="145"/>
      <c r="J7" s="145"/>
      <c r="K7" s="146"/>
      <c r="L7" s="131"/>
      <c r="M7" s="148"/>
      <c r="N7" s="149"/>
      <c r="O7" s="149"/>
      <c r="P7" s="141"/>
      <c r="Q7" s="141"/>
      <c r="S7" s="149"/>
      <c r="T7" s="149"/>
      <c r="U7" s="150"/>
      <c r="V7" s="150"/>
      <c r="W7" s="150"/>
      <c r="X7" s="150"/>
      <c r="Y7" s="150"/>
      <c r="Z7" s="150"/>
      <c r="AA7" s="150"/>
      <c r="AB7" s="150"/>
      <c r="AC7" s="150"/>
    </row>
    <row r="8">
      <c r="B8" s="139"/>
      <c r="C8" s="134"/>
      <c r="D8" s="130"/>
      <c r="E8" s="130"/>
      <c r="F8" s="144"/>
      <c r="G8" s="157"/>
      <c r="H8" s="152"/>
      <c r="I8" s="130"/>
      <c r="J8" s="130"/>
      <c r="K8" s="153"/>
      <c r="L8" s="131"/>
      <c r="M8" s="137"/>
      <c r="N8" s="141"/>
      <c r="P8" s="141"/>
      <c r="Q8" s="141"/>
      <c r="S8" s="141"/>
      <c r="U8" s="140"/>
      <c r="V8" s="140"/>
      <c r="W8" s="140"/>
      <c r="X8" s="150"/>
      <c r="Y8" s="150"/>
      <c r="Z8" s="150"/>
      <c r="AA8" s="150"/>
      <c r="AB8" s="150"/>
      <c r="AC8" s="150"/>
    </row>
    <row r="9">
      <c r="B9" s="143" t="s">
        <v>89</v>
      </c>
      <c r="C9" s="144"/>
      <c r="D9" s="158"/>
      <c r="E9" s="158"/>
      <c r="F9" s="159"/>
      <c r="G9" s="147"/>
      <c r="I9" s="130"/>
      <c r="J9" s="130"/>
      <c r="K9" s="153"/>
      <c r="L9" s="135" t="s">
        <v>90</v>
      </c>
      <c r="M9" s="149"/>
      <c r="O9" s="149"/>
      <c r="P9" s="141"/>
      <c r="Q9" s="149" t="s">
        <v>91</v>
      </c>
      <c r="S9" s="149"/>
      <c r="U9" s="141"/>
      <c r="V9" s="141"/>
      <c r="W9" s="149"/>
      <c r="X9" s="150"/>
      <c r="Y9" s="150"/>
      <c r="Z9" s="150"/>
      <c r="AA9" s="150"/>
      <c r="AB9" s="150"/>
      <c r="AC9" s="150"/>
    </row>
    <row r="10">
      <c r="B10" s="151"/>
      <c r="C10" s="152"/>
      <c r="G10" s="160"/>
      <c r="I10" s="130"/>
      <c r="J10" s="130"/>
      <c r="K10" s="153"/>
      <c r="L10" s="161">
        <f>SCHEDULE!D11+SCHEDULE!E11</f>
        <v>46220.66667</v>
      </c>
      <c r="M10" s="134"/>
      <c r="N10" s="149"/>
      <c r="O10" s="147"/>
      <c r="P10" s="149"/>
      <c r="Q10" s="162">
        <f>SCHEDULE!D16 + SCHEDULE!E16</f>
        <v>46222.83333</v>
      </c>
      <c r="R10" s="134"/>
      <c r="S10" s="140"/>
      <c r="T10" s="140"/>
      <c r="U10" s="141"/>
      <c r="V10" s="141"/>
      <c r="W10" s="149"/>
      <c r="X10" s="150"/>
      <c r="Y10" s="150"/>
      <c r="Z10" s="150"/>
      <c r="AA10" s="150"/>
      <c r="AB10" s="150"/>
      <c r="AC10" s="150"/>
    </row>
    <row r="11">
      <c r="A11" s="155"/>
      <c r="B11" s="130"/>
      <c r="D11" s="130"/>
      <c r="E11" s="130"/>
      <c r="F11" s="130"/>
      <c r="I11" s="130"/>
      <c r="J11" s="130"/>
      <c r="K11" s="153" t="s">
        <v>76</v>
      </c>
      <c r="L11" s="163"/>
      <c r="M11" s="144"/>
      <c r="N11" s="164"/>
      <c r="O11" s="165"/>
      <c r="P11" s="165" t="s">
        <v>85</v>
      </c>
      <c r="Q11" s="166"/>
      <c r="R11" s="144"/>
      <c r="S11" s="140"/>
      <c r="T11" s="140"/>
      <c r="U11" s="141"/>
      <c r="V11" s="141"/>
      <c r="W11" s="149"/>
      <c r="X11" s="149"/>
      <c r="Z11" s="140"/>
      <c r="AA11" s="167"/>
      <c r="AC11" s="167"/>
    </row>
    <row r="12">
      <c r="A12" s="132" t="s">
        <v>65</v>
      </c>
      <c r="B12" s="133">
        <f>SCHEDULE!D4 + SCHEDULE!E4</f>
        <v>46218.79167</v>
      </c>
      <c r="C12" s="134"/>
      <c r="D12" s="130"/>
      <c r="E12" s="130"/>
      <c r="F12" s="130"/>
      <c r="I12" s="129"/>
      <c r="J12" s="129"/>
      <c r="K12" s="168"/>
      <c r="L12" s="163" t="s">
        <v>89</v>
      </c>
      <c r="M12" s="144"/>
      <c r="N12" s="147"/>
      <c r="O12" s="149"/>
      <c r="Q12" s="166" t="s">
        <v>89</v>
      </c>
      <c r="R12" s="144"/>
      <c r="S12" s="140"/>
      <c r="T12" s="140"/>
      <c r="U12" s="141"/>
      <c r="V12" s="141"/>
      <c r="X12" s="149"/>
      <c r="Y12" s="149"/>
      <c r="Z12" s="140"/>
      <c r="AA12" s="167"/>
      <c r="AB12" s="167"/>
      <c r="AC12" s="167"/>
    </row>
    <row r="13">
      <c r="B13" s="139"/>
      <c r="C13" s="134"/>
      <c r="D13" s="130"/>
      <c r="E13" s="130"/>
      <c r="F13" s="140"/>
      <c r="G13" s="149"/>
      <c r="I13" s="129"/>
      <c r="J13" s="129"/>
      <c r="K13" s="169"/>
      <c r="L13" s="170"/>
      <c r="M13" s="152"/>
      <c r="N13" s="149"/>
      <c r="O13" s="141"/>
      <c r="Q13" s="171"/>
      <c r="R13" s="152"/>
      <c r="S13" s="172"/>
      <c r="T13" s="172"/>
      <c r="U13" s="150"/>
      <c r="V13" s="150"/>
      <c r="X13" s="147"/>
      <c r="Z13" s="150"/>
      <c r="AA13" s="150"/>
      <c r="AB13" s="150"/>
      <c r="AC13" s="150"/>
    </row>
    <row r="14">
      <c r="B14" s="143" t="s">
        <v>89</v>
      </c>
      <c r="C14" s="144"/>
      <c r="D14" s="145"/>
      <c r="E14" s="145"/>
      <c r="F14" s="146"/>
      <c r="G14" s="147"/>
      <c r="I14" s="137"/>
      <c r="J14" s="173"/>
      <c r="K14" s="174"/>
      <c r="L14" s="173"/>
      <c r="M14" s="148"/>
      <c r="N14" s="149"/>
      <c r="P14" s="141"/>
      <c r="Q14" s="141"/>
      <c r="R14" s="140"/>
      <c r="S14" s="149"/>
      <c r="U14" s="141"/>
      <c r="V14" s="141"/>
      <c r="X14" s="149"/>
      <c r="Z14" s="140"/>
      <c r="AA14" s="149"/>
      <c r="AC14" s="150"/>
    </row>
    <row r="15">
      <c r="B15" s="151"/>
      <c r="C15" s="152"/>
      <c r="D15" s="130"/>
      <c r="E15" s="130"/>
      <c r="F15" s="153" t="s">
        <v>72</v>
      </c>
      <c r="G15" s="154">
        <f>SCHEDULE!D9 + SCHEDULE!E9</f>
        <v>46219.91667</v>
      </c>
      <c r="H15" s="134"/>
      <c r="I15" s="135"/>
      <c r="J15" s="131"/>
      <c r="K15" s="175"/>
      <c r="L15" s="131"/>
      <c r="N15" s="147"/>
      <c r="P15" s="140"/>
      <c r="Q15" s="140"/>
      <c r="R15" s="140"/>
      <c r="S15" s="147"/>
      <c r="U15" s="141"/>
      <c r="V15" s="141"/>
      <c r="W15" s="149"/>
      <c r="X15" s="176"/>
      <c r="Y15" s="176"/>
      <c r="Z15" s="176"/>
      <c r="AA15" s="176"/>
      <c r="AB15" s="176"/>
      <c r="AC15" s="176"/>
    </row>
    <row r="16">
      <c r="A16" s="155"/>
      <c r="B16" s="130"/>
      <c r="D16" s="130"/>
      <c r="E16" s="130"/>
      <c r="F16" s="144"/>
      <c r="G16" s="156"/>
      <c r="H16" s="144"/>
      <c r="I16" s="177"/>
      <c r="J16" s="178"/>
      <c r="K16" s="152"/>
      <c r="L16" s="131"/>
      <c r="N16" s="149"/>
      <c r="P16" s="179"/>
      <c r="Q16" s="131"/>
      <c r="R16" s="148"/>
      <c r="S16" s="149"/>
      <c r="T16" s="149"/>
      <c r="U16" s="141"/>
      <c r="V16" s="141"/>
      <c r="W16" s="149"/>
      <c r="X16" s="150"/>
      <c r="Y16" s="150"/>
      <c r="Z16" s="150"/>
      <c r="AA16" s="150"/>
      <c r="AB16" s="150"/>
      <c r="AC16" s="150"/>
    </row>
    <row r="17">
      <c r="A17" s="132" t="s">
        <v>66</v>
      </c>
      <c r="B17" s="133">
        <f>SCHEDULE!D5 + SCHEDULE!E5</f>
        <v>46218.91667</v>
      </c>
      <c r="C17" s="134"/>
      <c r="D17" s="130"/>
      <c r="E17" s="130"/>
      <c r="F17" s="144"/>
      <c r="G17" s="156" t="s">
        <v>89</v>
      </c>
      <c r="H17" s="144"/>
      <c r="I17" s="137"/>
      <c r="J17" s="179"/>
      <c r="P17" s="173"/>
      <c r="Q17" s="135" t="s">
        <v>92</v>
      </c>
      <c r="R17" s="137"/>
      <c r="S17" s="141"/>
      <c r="U17" s="141"/>
      <c r="V17" s="141"/>
      <c r="W17" s="149"/>
      <c r="X17" s="150"/>
      <c r="Y17" s="150"/>
      <c r="Z17" s="150"/>
      <c r="AA17" s="150"/>
      <c r="AB17" s="150"/>
      <c r="AC17" s="150"/>
    </row>
    <row r="18">
      <c r="B18" s="139"/>
      <c r="C18" s="134"/>
      <c r="D18" s="130"/>
      <c r="E18" s="130"/>
      <c r="F18" s="144"/>
      <c r="G18" s="157"/>
      <c r="H18" s="152"/>
      <c r="I18" s="137"/>
      <c r="J18" s="173"/>
      <c r="P18" s="131"/>
      <c r="Q18" s="180">
        <f>SCHEDULE!D14 + SCHEDULE!E14</f>
        <v>46221.66667</v>
      </c>
      <c r="R18" s="134"/>
      <c r="S18" s="149"/>
      <c r="U18" s="149"/>
      <c r="V18" s="149"/>
      <c r="W18" s="140"/>
      <c r="X18" s="150"/>
      <c r="Y18" s="150"/>
      <c r="Z18" s="150"/>
      <c r="AA18" s="150"/>
      <c r="AB18" s="150"/>
      <c r="AC18" s="150"/>
    </row>
    <row r="19">
      <c r="B19" s="143" t="s">
        <v>89</v>
      </c>
      <c r="C19" s="144"/>
      <c r="D19" s="158"/>
      <c r="E19" s="158"/>
      <c r="F19" s="159"/>
      <c r="G19" s="147"/>
      <c r="I19" s="137"/>
      <c r="J19" s="131"/>
      <c r="P19" s="135" t="s">
        <v>81</v>
      </c>
      <c r="Q19" s="181"/>
      <c r="R19" s="144"/>
      <c r="S19" s="147"/>
      <c r="U19" s="176"/>
      <c r="V19" s="176"/>
      <c r="W19" s="176"/>
      <c r="X19" s="176"/>
      <c r="Y19" s="176"/>
      <c r="Z19" s="176"/>
      <c r="AA19" s="176"/>
      <c r="AB19" s="176"/>
      <c r="AC19" s="176"/>
    </row>
    <row r="20">
      <c r="B20" s="151"/>
      <c r="C20" s="152"/>
      <c r="D20" s="129"/>
      <c r="E20" s="129"/>
      <c r="F20" s="140"/>
      <c r="G20" s="149"/>
      <c r="I20" s="137"/>
      <c r="J20" s="131"/>
      <c r="Q20" s="181" t="s">
        <v>89</v>
      </c>
      <c r="R20" s="144"/>
      <c r="S20" s="149"/>
      <c r="U20" s="150"/>
      <c r="V20" s="150"/>
      <c r="W20" s="150"/>
      <c r="X20" s="150"/>
      <c r="Y20" s="150"/>
      <c r="Z20" s="150"/>
      <c r="AA20" s="150"/>
      <c r="AB20" s="150"/>
      <c r="AC20" s="150"/>
    </row>
    <row r="21">
      <c r="A21" s="155"/>
      <c r="B21" s="130"/>
      <c r="C21" s="130"/>
      <c r="D21" s="182"/>
      <c r="E21" s="182"/>
      <c r="F21" s="183"/>
      <c r="G21" s="172"/>
      <c r="H21" s="172"/>
      <c r="I21" s="137"/>
      <c r="J21" s="131"/>
      <c r="P21" s="175"/>
      <c r="Q21" s="184"/>
      <c r="R21" s="152"/>
      <c r="S21" s="150"/>
      <c r="T21" s="150"/>
      <c r="U21" s="150"/>
      <c r="V21" s="150"/>
      <c r="W21" s="149"/>
      <c r="X21" s="149"/>
      <c r="Z21" s="140"/>
      <c r="AA21" s="149"/>
      <c r="AC21" s="150"/>
    </row>
    <row r="22">
      <c r="A22" s="155"/>
      <c r="B22" s="129" t="s">
        <v>93</v>
      </c>
      <c r="D22" s="182"/>
      <c r="E22" s="182"/>
      <c r="F22" s="182"/>
      <c r="G22" s="132" t="s">
        <v>94</v>
      </c>
      <c r="H22" s="155"/>
      <c r="I22" s="137"/>
      <c r="J22" s="131"/>
      <c r="P22" s="131"/>
      <c r="Q22" s="131"/>
      <c r="R22" s="131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</row>
    <row r="23">
      <c r="A23" s="155"/>
      <c r="B23" s="130"/>
      <c r="C23" s="130"/>
      <c r="D23" s="182"/>
      <c r="E23" s="182"/>
      <c r="F23" s="182"/>
      <c r="G23" s="155"/>
      <c r="H23" s="155"/>
      <c r="I23" s="137"/>
      <c r="J23" s="131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</row>
    <row r="24">
      <c r="A24" s="132" t="s">
        <v>68</v>
      </c>
      <c r="B24" s="154">
        <f>SCHEDULE!D6 + SCHEDULE!E6</f>
        <v>46219.54167</v>
      </c>
      <c r="C24" s="134"/>
      <c r="G24" s="161">
        <f>SCHEDULE!D10 + SCHEDULE!E10</f>
        <v>46220.54167</v>
      </c>
      <c r="H24" s="134"/>
      <c r="M24" s="137"/>
      <c r="N24" s="141"/>
      <c r="O24" s="141"/>
      <c r="P24" s="183"/>
      <c r="Q24" s="183"/>
      <c r="R24" s="183"/>
      <c r="S24" s="172"/>
      <c r="T24" s="172"/>
      <c r="U24" s="150"/>
      <c r="V24" s="150"/>
      <c r="W24" s="150"/>
      <c r="X24" s="150"/>
      <c r="Y24" s="150"/>
      <c r="Z24" s="150"/>
      <c r="AA24" s="150"/>
      <c r="AB24" s="150"/>
      <c r="AC24" s="150"/>
    </row>
    <row r="25">
      <c r="B25" s="185"/>
      <c r="C25" s="134"/>
      <c r="D25" s="145"/>
      <c r="E25" s="145"/>
      <c r="F25" s="186" t="s">
        <v>74</v>
      </c>
      <c r="G25" s="163"/>
      <c r="H25" s="144"/>
      <c r="I25" s="130"/>
      <c r="J25" s="130"/>
      <c r="K25" s="137"/>
      <c r="L25" s="135" t="s">
        <v>95</v>
      </c>
      <c r="M25" s="137"/>
      <c r="N25" s="141"/>
      <c r="O25" s="141"/>
      <c r="P25" s="141"/>
      <c r="Q25" s="183" t="s">
        <v>96</v>
      </c>
      <c r="R25" s="183"/>
      <c r="S25" s="172"/>
      <c r="T25" s="172"/>
      <c r="U25" s="150"/>
      <c r="V25" s="150"/>
      <c r="W25" s="150"/>
      <c r="X25" s="150"/>
      <c r="Y25" s="150"/>
      <c r="Z25" s="150"/>
      <c r="AA25" s="150"/>
      <c r="AB25" s="150"/>
      <c r="AC25" s="150"/>
    </row>
    <row r="26">
      <c r="B26" s="156" t="s">
        <v>89</v>
      </c>
      <c r="C26" s="144"/>
      <c r="F26" s="144"/>
      <c r="G26" s="163" t="s">
        <v>89</v>
      </c>
      <c r="H26" s="144"/>
      <c r="I26" s="145"/>
      <c r="J26" s="145"/>
      <c r="K26" s="146"/>
      <c r="L26" s="131"/>
      <c r="M26" s="131"/>
      <c r="N26" s="150"/>
      <c r="O26" s="150"/>
      <c r="P26" s="150"/>
      <c r="Q26" s="187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</row>
    <row r="27">
      <c r="B27" s="157"/>
      <c r="C27" s="152"/>
      <c r="D27" s="130"/>
      <c r="E27" s="130"/>
      <c r="F27" s="144"/>
      <c r="G27" s="188"/>
      <c r="H27" s="152"/>
      <c r="I27" s="130"/>
      <c r="J27" s="130"/>
      <c r="K27" s="153" t="s">
        <v>79</v>
      </c>
      <c r="L27" s="180">
        <f>SCHEDULE!D13 + SCHEDULE!E13</f>
        <v>46221.54167</v>
      </c>
      <c r="M27" s="134"/>
      <c r="N27" s="149"/>
      <c r="O27" s="147"/>
      <c r="P27" s="149"/>
      <c r="Q27" s="180">
        <f>SCHEDULE!D15 + SCHEDULE!E15</f>
        <v>46221.79167</v>
      </c>
      <c r="R27" s="134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</row>
    <row r="28">
      <c r="A28" s="155"/>
      <c r="B28" s="130"/>
      <c r="D28" s="130"/>
      <c r="E28" s="130"/>
      <c r="F28" s="129"/>
      <c r="I28" s="130"/>
      <c r="J28" s="130"/>
      <c r="K28" s="144"/>
      <c r="L28" s="181"/>
      <c r="M28" s="144"/>
      <c r="N28" s="164"/>
      <c r="O28" s="165"/>
      <c r="P28" s="165" t="s">
        <v>83</v>
      </c>
      <c r="Q28" s="181"/>
      <c r="R28" s="144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</row>
    <row r="29">
      <c r="A29" s="132" t="s">
        <v>69</v>
      </c>
      <c r="B29" s="154">
        <f>SCHEDULE!D7 + SCHEDULE!E7</f>
        <v>46219.66667</v>
      </c>
      <c r="C29" s="134"/>
      <c r="D29" s="189"/>
      <c r="E29" s="189"/>
      <c r="F29" s="189"/>
      <c r="G29" s="161">
        <f>SCHEDULE!D12+SCHEDULE!E12</f>
        <v>46220.79167</v>
      </c>
      <c r="H29" s="134"/>
      <c r="I29" s="130"/>
      <c r="J29" s="130"/>
      <c r="K29" s="144"/>
      <c r="L29" s="181" t="s">
        <v>89</v>
      </c>
      <c r="M29" s="144"/>
      <c r="N29" s="147"/>
      <c r="O29" s="149"/>
      <c r="Q29" s="181" t="s">
        <v>89</v>
      </c>
      <c r="R29" s="144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</row>
    <row r="30">
      <c r="B30" s="185"/>
      <c r="C30" s="134"/>
      <c r="D30" s="130"/>
      <c r="E30" s="130"/>
      <c r="F30" s="190" t="s">
        <v>77</v>
      </c>
      <c r="G30" s="163"/>
      <c r="H30" s="144"/>
      <c r="I30" s="130"/>
      <c r="J30" s="130"/>
      <c r="K30" s="144"/>
      <c r="L30" s="184"/>
      <c r="M30" s="152"/>
      <c r="N30" s="149"/>
      <c r="O30" s="141"/>
      <c r="Q30" s="191"/>
      <c r="R30" s="152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</row>
    <row r="31">
      <c r="B31" s="156" t="s">
        <v>89</v>
      </c>
      <c r="C31" s="144"/>
      <c r="D31" s="129"/>
      <c r="E31" s="129"/>
      <c r="F31" s="144"/>
      <c r="G31" s="163" t="s">
        <v>89</v>
      </c>
      <c r="H31" s="144"/>
      <c r="I31" s="158"/>
      <c r="J31" s="158"/>
      <c r="K31" s="159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</row>
    <row r="32">
      <c r="B32" s="157"/>
      <c r="C32" s="152"/>
      <c r="F32" s="144"/>
      <c r="G32" s="188"/>
      <c r="H32" s="152"/>
      <c r="I32" s="129"/>
      <c r="J32" s="129"/>
      <c r="K32" s="140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</row>
    <row r="33">
      <c r="A33" s="155"/>
      <c r="B33" s="130"/>
      <c r="C33" s="130"/>
      <c r="D33" s="182"/>
      <c r="E33" s="182"/>
      <c r="G33" s="192"/>
      <c r="I33" s="137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</row>
    <row r="34">
      <c r="A34" s="155"/>
      <c r="B34" s="130"/>
      <c r="C34" s="130"/>
      <c r="D34" s="182"/>
      <c r="E34" s="182"/>
      <c r="F34" s="182"/>
      <c r="G34" s="155"/>
      <c r="H34" s="155"/>
      <c r="I34" s="137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</row>
    <row r="35">
      <c r="A35" s="155"/>
      <c r="B35" s="130"/>
      <c r="C35" s="130"/>
      <c r="D35" s="182"/>
      <c r="E35" s="182"/>
      <c r="F35" s="182"/>
      <c r="G35" s="155"/>
      <c r="H35" s="155"/>
      <c r="I35" s="137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</row>
  </sheetData>
  <mergeCells count="119">
    <mergeCell ref="B4:C4"/>
    <mergeCell ref="B5:C5"/>
    <mergeCell ref="B6:C6"/>
    <mergeCell ref="A7:A10"/>
    <mergeCell ref="B7:C7"/>
    <mergeCell ref="B8:C8"/>
    <mergeCell ref="B9:C9"/>
    <mergeCell ref="B15:C15"/>
    <mergeCell ref="B16:C16"/>
    <mergeCell ref="B14:C14"/>
    <mergeCell ref="B17:C17"/>
    <mergeCell ref="B10:C10"/>
    <mergeCell ref="B11:C11"/>
    <mergeCell ref="A12:A15"/>
    <mergeCell ref="B12:C12"/>
    <mergeCell ref="B13:C13"/>
    <mergeCell ref="F15:F18"/>
    <mergeCell ref="A17:A20"/>
    <mergeCell ref="B20:C20"/>
    <mergeCell ref="B26:C26"/>
    <mergeCell ref="B27:C27"/>
    <mergeCell ref="B28:C28"/>
    <mergeCell ref="A29:A32"/>
    <mergeCell ref="B29:C29"/>
    <mergeCell ref="B30:C30"/>
    <mergeCell ref="B31:C31"/>
    <mergeCell ref="B32:C32"/>
    <mergeCell ref="B18:C18"/>
    <mergeCell ref="B19:C19"/>
    <mergeCell ref="B22:C22"/>
    <mergeCell ref="A24:A27"/>
    <mergeCell ref="B24:C24"/>
    <mergeCell ref="B25:C25"/>
    <mergeCell ref="F25:F27"/>
    <mergeCell ref="G31:H31"/>
    <mergeCell ref="G32:H32"/>
    <mergeCell ref="G24:H24"/>
    <mergeCell ref="G25:H25"/>
    <mergeCell ref="G26:H26"/>
    <mergeCell ref="G27:H27"/>
    <mergeCell ref="G29:H29"/>
    <mergeCell ref="F30:F32"/>
    <mergeCell ref="G30:H30"/>
    <mergeCell ref="L10:M10"/>
    <mergeCell ref="L13:M13"/>
    <mergeCell ref="M14:M16"/>
    <mergeCell ref="X11:Y11"/>
    <mergeCell ref="X13:Y13"/>
    <mergeCell ref="N14:O14"/>
    <mergeCell ref="S14:T14"/>
    <mergeCell ref="N15:O15"/>
    <mergeCell ref="S15:T15"/>
    <mergeCell ref="N16:O16"/>
    <mergeCell ref="X14:Y14"/>
    <mergeCell ref="AA14:AB14"/>
    <mergeCell ref="Q10:R10"/>
    <mergeCell ref="P11:P13"/>
    <mergeCell ref="Q11:R11"/>
    <mergeCell ref="W11:W14"/>
    <mergeCell ref="AA11:AB11"/>
    <mergeCell ref="Q12:R12"/>
    <mergeCell ref="Q13:R13"/>
    <mergeCell ref="Q19:R19"/>
    <mergeCell ref="S19:T19"/>
    <mergeCell ref="L11:M11"/>
    <mergeCell ref="L12:M12"/>
    <mergeCell ref="J16:K16"/>
    <mergeCell ref="S17:T17"/>
    <mergeCell ref="Q18:R18"/>
    <mergeCell ref="S18:T18"/>
    <mergeCell ref="P19:P20"/>
    <mergeCell ref="Q27:R27"/>
    <mergeCell ref="Q28:R28"/>
    <mergeCell ref="L29:M29"/>
    <mergeCell ref="Q29:R29"/>
    <mergeCell ref="L30:M30"/>
    <mergeCell ref="Q30:R30"/>
    <mergeCell ref="Q20:R20"/>
    <mergeCell ref="S20:T20"/>
    <mergeCell ref="Q21:R21"/>
    <mergeCell ref="K27:K30"/>
    <mergeCell ref="L27:M27"/>
    <mergeCell ref="L28:M28"/>
    <mergeCell ref="P28:P30"/>
    <mergeCell ref="A2:A5"/>
    <mergeCell ref="B2:C2"/>
    <mergeCell ref="G2:H2"/>
    <mergeCell ref="N2:O2"/>
    <mergeCell ref="S2:Y2"/>
    <mergeCell ref="B3:C3"/>
    <mergeCell ref="N4:O4"/>
    <mergeCell ref="N5:O5"/>
    <mergeCell ref="N6:O6"/>
    <mergeCell ref="S6:T6"/>
    <mergeCell ref="N8:O8"/>
    <mergeCell ref="S8:T8"/>
    <mergeCell ref="G9:H9"/>
    <mergeCell ref="M9:N9"/>
    <mergeCell ref="S9:T9"/>
    <mergeCell ref="G3:H3"/>
    <mergeCell ref="G4:H4"/>
    <mergeCell ref="M4:M6"/>
    <mergeCell ref="F5:F8"/>
    <mergeCell ref="G5:H5"/>
    <mergeCell ref="G6:H6"/>
    <mergeCell ref="R6:R9"/>
    <mergeCell ref="G17:H17"/>
    <mergeCell ref="G18:H18"/>
    <mergeCell ref="G19:H19"/>
    <mergeCell ref="G20:H20"/>
    <mergeCell ref="X21:Y21"/>
    <mergeCell ref="AA21:AB21"/>
    <mergeCell ref="G7:H7"/>
    <mergeCell ref="G8:H8"/>
    <mergeCell ref="G10:H10"/>
    <mergeCell ref="G13:H13"/>
    <mergeCell ref="G14:H14"/>
    <mergeCell ref="G15:H15"/>
    <mergeCell ref="G16:H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18.13"/>
    <col customWidth="1" min="3" max="3" width="6.0"/>
    <col customWidth="1" min="4" max="4" width="12.63"/>
    <col customWidth="1" min="5" max="6" width="11.0"/>
    <col customWidth="1" min="7" max="7" width="19.0"/>
    <col customWidth="1" min="8" max="8" width="4.25"/>
    <col customWidth="1" min="9" max="9" width="4.0"/>
    <col customWidth="1" min="10" max="10" width="4.5"/>
    <col customWidth="1" min="11" max="11" width="17.5"/>
    <col customWidth="1" min="12" max="12" width="4.25"/>
    <col customWidth="1" min="13" max="21" width="4.13"/>
  </cols>
  <sheetData>
    <row r="1">
      <c r="A1" s="29" t="s">
        <v>46</v>
      </c>
      <c r="B1" s="30" t="s">
        <v>47</v>
      </c>
      <c r="C1" s="31" t="s">
        <v>48</v>
      </c>
      <c r="D1" s="32" t="s">
        <v>49</v>
      </c>
      <c r="E1" s="33" t="s">
        <v>50</v>
      </c>
      <c r="F1" s="33" t="s">
        <v>51</v>
      </c>
      <c r="G1" s="34" t="s">
        <v>52</v>
      </c>
      <c r="H1" s="35" t="s">
        <v>53</v>
      </c>
      <c r="K1" s="36" t="s">
        <v>54</v>
      </c>
      <c r="L1" s="35" t="s">
        <v>55</v>
      </c>
      <c r="N1" s="35" t="s">
        <v>56</v>
      </c>
      <c r="P1" s="35" t="s">
        <v>57</v>
      </c>
      <c r="R1" s="35" t="s">
        <v>58</v>
      </c>
      <c r="T1" s="35" t="s">
        <v>59</v>
      </c>
    </row>
    <row r="2">
      <c r="A2" s="37">
        <v>1.0</v>
      </c>
      <c r="B2" s="38" t="s">
        <v>60</v>
      </c>
      <c r="C2" s="39" t="s">
        <v>61</v>
      </c>
      <c r="D2" s="40">
        <v>46134.0</v>
      </c>
      <c r="E2" s="41">
        <v>0.5416666666666666</v>
      </c>
      <c r="F2" s="193">
        <f t="shared" ref="F2:F9" si="1">E2+4/24</f>
        <v>0.7083333333</v>
      </c>
      <c r="G2" s="38" t="s">
        <v>97</v>
      </c>
      <c r="H2" s="39">
        <v>2.0</v>
      </c>
      <c r="I2" s="43" t="s">
        <v>62</v>
      </c>
      <c r="J2" s="39">
        <v>0.0</v>
      </c>
      <c r="K2" s="44" t="s">
        <v>98</v>
      </c>
      <c r="L2" s="39">
        <v>13.0</v>
      </c>
      <c r="M2" s="44">
        <v>6.0</v>
      </c>
      <c r="N2" s="39">
        <v>13.0</v>
      </c>
      <c r="O2" s="44">
        <v>7.0</v>
      </c>
      <c r="P2" s="39" t="s">
        <v>63</v>
      </c>
      <c r="Q2" s="44" t="s">
        <v>63</v>
      </c>
      <c r="R2" s="39" t="s">
        <v>63</v>
      </c>
      <c r="S2" s="44" t="s">
        <v>63</v>
      </c>
      <c r="T2" s="39" t="s">
        <v>63</v>
      </c>
      <c r="U2" s="44" t="s">
        <v>63</v>
      </c>
    </row>
    <row r="3">
      <c r="A3" s="45">
        <v>2.0</v>
      </c>
      <c r="B3" s="46" t="s">
        <v>60</v>
      </c>
      <c r="C3" s="47" t="s">
        <v>64</v>
      </c>
      <c r="D3" s="48">
        <v>46134.0</v>
      </c>
      <c r="E3" s="49">
        <v>0.6666666666666666</v>
      </c>
      <c r="F3" s="194">
        <f t="shared" si="1"/>
        <v>0.8333333333</v>
      </c>
      <c r="G3" s="46" t="s">
        <v>99</v>
      </c>
      <c r="H3" s="47">
        <v>1.0</v>
      </c>
      <c r="I3" s="51" t="s">
        <v>62</v>
      </c>
      <c r="J3" s="47">
        <v>2.0</v>
      </c>
      <c r="K3" s="52" t="s">
        <v>100</v>
      </c>
      <c r="L3" s="47">
        <v>9.0</v>
      </c>
      <c r="M3" s="52">
        <v>13.0</v>
      </c>
      <c r="N3" s="47">
        <v>13.0</v>
      </c>
      <c r="O3" s="52">
        <v>9.0</v>
      </c>
      <c r="P3" s="47">
        <v>13.0</v>
      </c>
      <c r="Q3" s="52">
        <v>16.0</v>
      </c>
      <c r="R3" s="47" t="s">
        <v>63</v>
      </c>
      <c r="S3" s="52" t="s">
        <v>63</v>
      </c>
      <c r="T3" s="47" t="s">
        <v>63</v>
      </c>
      <c r="U3" s="52" t="s">
        <v>63</v>
      </c>
    </row>
    <row r="4">
      <c r="A4" s="45">
        <v>3.0</v>
      </c>
      <c r="B4" s="46" t="s">
        <v>60</v>
      </c>
      <c r="C4" s="47" t="s">
        <v>65</v>
      </c>
      <c r="D4" s="48">
        <v>46134.0</v>
      </c>
      <c r="E4" s="49">
        <v>0.7916666666666666</v>
      </c>
      <c r="F4" s="194">
        <f t="shared" si="1"/>
        <v>0.9583333333</v>
      </c>
      <c r="G4" s="46" t="s">
        <v>101</v>
      </c>
      <c r="H4" s="47">
        <v>2.0</v>
      </c>
      <c r="I4" s="51" t="s">
        <v>62</v>
      </c>
      <c r="J4" s="47">
        <v>1.0</v>
      </c>
      <c r="K4" s="52" t="s">
        <v>102</v>
      </c>
      <c r="L4" s="47">
        <v>16.0</v>
      </c>
      <c r="M4" s="52">
        <v>13.0</v>
      </c>
      <c r="N4" s="47">
        <v>6.0</v>
      </c>
      <c r="O4" s="52">
        <v>13.0</v>
      </c>
      <c r="P4" s="47">
        <v>13.0</v>
      </c>
      <c r="Q4" s="52">
        <v>2.0</v>
      </c>
      <c r="R4" s="47" t="s">
        <v>63</v>
      </c>
      <c r="S4" s="52" t="s">
        <v>63</v>
      </c>
      <c r="T4" s="47" t="s">
        <v>63</v>
      </c>
      <c r="U4" s="52" t="s">
        <v>63</v>
      </c>
    </row>
    <row r="5">
      <c r="A5" s="45">
        <v>4.0</v>
      </c>
      <c r="B5" s="46" t="s">
        <v>60</v>
      </c>
      <c r="C5" s="47" t="s">
        <v>66</v>
      </c>
      <c r="D5" s="48">
        <v>46134.0</v>
      </c>
      <c r="E5" s="53">
        <v>0.9166666666666666</v>
      </c>
      <c r="F5" s="195">
        <f t="shared" si="1"/>
        <v>1.083333333</v>
      </c>
      <c r="G5" s="46" t="s">
        <v>103</v>
      </c>
      <c r="H5" s="47">
        <v>2.0</v>
      </c>
      <c r="I5" s="51" t="s">
        <v>62</v>
      </c>
      <c r="J5" s="47">
        <v>0.0</v>
      </c>
      <c r="K5" s="52" t="s">
        <v>104</v>
      </c>
      <c r="L5" s="55">
        <v>13.0</v>
      </c>
      <c r="M5" s="56">
        <v>1.0</v>
      </c>
      <c r="N5" s="55">
        <v>13.0</v>
      </c>
      <c r="O5" s="56">
        <v>3.0</v>
      </c>
      <c r="P5" s="55" t="s">
        <v>63</v>
      </c>
      <c r="Q5" s="56" t="s">
        <v>63</v>
      </c>
      <c r="R5" s="55" t="s">
        <v>63</v>
      </c>
      <c r="S5" s="56" t="s">
        <v>63</v>
      </c>
      <c r="T5" s="55" t="s">
        <v>63</v>
      </c>
      <c r="U5" s="56" t="s">
        <v>63</v>
      </c>
    </row>
    <row r="6">
      <c r="A6" s="57">
        <v>5.0</v>
      </c>
      <c r="B6" s="58" t="s">
        <v>67</v>
      </c>
      <c r="C6" s="59" t="s">
        <v>68</v>
      </c>
      <c r="D6" s="60">
        <v>46135.0</v>
      </c>
      <c r="E6" s="61">
        <v>0.5416666666666666</v>
      </c>
      <c r="F6" s="62">
        <f t="shared" si="1"/>
        <v>0.7083333333</v>
      </c>
      <c r="G6" s="58" t="s">
        <v>98</v>
      </c>
      <c r="H6" s="59"/>
      <c r="I6" s="63" t="s">
        <v>62</v>
      </c>
      <c r="J6" s="59"/>
      <c r="K6" s="64" t="s">
        <v>99</v>
      </c>
      <c r="L6" s="65"/>
      <c r="M6" s="66"/>
      <c r="N6" s="65"/>
      <c r="O6" s="66"/>
      <c r="P6" s="65"/>
      <c r="Q6" s="66"/>
      <c r="R6" s="65"/>
      <c r="S6" s="66"/>
      <c r="T6" s="65"/>
      <c r="U6" s="66"/>
    </row>
    <row r="7">
      <c r="A7" s="67">
        <v>6.0</v>
      </c>
      <c r="B7" s="68" t="s">
        <v>67</v>
      </c>
      <c r="C7" s="65" t="s">
        <v>69</v>
      </c>
      <c r="D7" s="69">
        <v>46135.0</v>
      </c>
      <c r="E7" s="61">
        <v>0.6666666666666666</v>
      </c>
      <c r="F7" s="62">
        <f t="shared" si="1"/>
        <v>0.8333333333</v>
      </c>
      <c r="G7" s="68" t="s">
        <v>102</v>
      </c>
      <c r="H7" s="65"/>
      <c r="I7" s="70" t="s">
        <v>62</v>
      </c>
      <c r="J7" s="65"/>
      <c r="K7" s="66" t="s">
        <v>104</v>
      </c>
      <c r="L7" s="65"/>
      <c r="M7" s="66"/>
      <c r="N7" s="65"/>
      <c r="O7" s="66"/>
      <c r="P7" s="65"/>
      <c r="Q7" s="66"/>
      <c r="R7" s="65"/>
      <c r="S7" s="66"/>
      <c r="T7" s="65"/>
      <c r="U7" s="66"/>
    </row>
    <row r="8">
      <c r="A8" s="67">
        <v>7.0</v>
      </c>
      <c r="B8" s="68" t="s">
        <v>70</v>
      </c>
      <c r="C8" s="65" t="s">
        <v>71</v>
      </c>
      <c r="D8" s="69">
        <v>46135.0</v>
      </c>
      <c r="E8" s="61">
        <v>0.7916666666666666</v>
      </c>
      <c r="F8" s="62">
        <f t="shared" si="1"/>
        <v>0.9583333333</v>
      </c>
      <c r="G8" s="68" t="s">
        <v>97</v>
      </c>
      <c r="H8" s="65"/>
      <c r="I8" s="70" t="s">
        <v>62</v>
      </c>
      <c r="J8" s="65"/>
      <c r="K8" s="66" t="s">
        <v>100</v>
      </c>
      <c r="L8" s="65"/>
      <c r="M8" s="66"/>
      <c r="N8" s="65"/>
      <c r="O8" s="66"/>
      <c r="P8" s="65"/>
      <c r="Q8" s="66"/>
      <c r="R8" s="65"/>
      <c r="S8" s="66"/>
      <c r="T8" s="65"/>
      <c r="U8" s="66"/>
    </row>
    <row r="9">
      <c r="A9" s="67">
        <v>8.0</v>
      </c>
      <c r="B9" s="68" t="s">
        <v>70</v>
      </c>
      <c r="C9" s="65" t="s">
        <v>72</v>
      </c>
      <c r="D9" s="69">
        <v>46135.0</v>
      </c>
      <c r="E9" s="71">
        <v>0.9166666666666666</v>
      </c>
      <c r="F9" s="72">
        <f t="shared" si="1"/>
        <v>1.083333333</v>
      </c>
      <c r="G9" s="68" t="s">
        <v>101</v>
      </c>
      <c r="H9" s="65"/>
      <c r="I9" s="70" t="s">
        <v>62</v>
      </c>
      <c r="J9" s="65"/>
      <c r="K9" s="66" t="s">
        <v>103</v>
      </c>
      <c r="L9" s="73"/>
      <c r="M9" s="74"/>
      <c r="N9" s="73"/>
      <c r="O9" s="74"/>
      <c r="P9" s="73"/>
      <c r="Q9" s="74"/>
      <c r="R9" s="73"/>
      <c r="S9" s="74"/>
      <c r="T9" s="73"/>
      <c r="U9" s="74"/>
    </row>
    <row r="10">
      <c r="A10" s="75">
        <v>9.0</v>
      </c>
      <c r="B10" s="81" t="s">
        <v>73</v>
      </c>
      <c r="C10" s="82" t="s">
        <v>74</v>
      </c>
      <c r="D10" s="196">
        <v>46136.0</v>
      </c>
      <c r="E10" s="197">
        <v>0.5416666666666666</v>
      </c>
      <c r="F10" s="198">
        <v>0.7083333333333333</v>
      </c>
      <c r="G10" s="81"/>
      <c r="H10" s="82"/>
      <c r="I10" s="83" t="s">
        <v>62</v>
      </c>
      <c r="J10" s="82"/>
      <c r="K10" s="84"/>
      <c r="L10" s="85"/>
      <c r="M10" s="86"/>
      <c r="N10" s="85"/>
      <c r="O10" s="86"/>
      <c r="P10" s="85"/>
      <c r="Q10" s="86"/>
      <c r="R10" s="85"/>
      <c r="S10" s="86"/>
      <c r="T10" s="85"/>
      <c r="U10" s="86"/>
    </row>
    <row r="11">
      <c r="A11" s="87">
        <v>10.0</v>
      </c>
      <c r="B11" s="87" t="s">
        <v>73</v>
      </c>
      <c r="C11" s="85" t="s">
        <v>77</v>
      </c>
      <c r="D11" s="199">
        <v>46136.0</v>
      </c>
      <c r="E11" s="197">
        <v>0.6666666666666666</v>
      </c>
      <c r="F11" s="198">
        <v>0.8333333333333333</v>
      </c>
      <c r="G11" s="87"/>
      <c r="H11" s="85"/>
      <c r="I11" s="91" t="s">
        <v>62</v>
      </c>
      <c r="J11" s="85"/>
      <c r="K11" s="86"/>
      <c r="L11" s="85"/>
      <c r="M11" s="86"/>
      <c r="N11" s="85"/>
      <c r="O11" s="86"/>
      <c r="P11" s="85"/>
      <c r="Q11" s="86"/>
      <c r="R11" s="85"/>
      <c r="S11" s="86"/>
      <c r="T11" s="85"/>
      <c r="U11" s="86"/>
    </row>
    <row r="12">
      <c r="A12" s="87">
        <v>11.0</v>
      </c>
      <c r="B12" s="87" t="s">
        <v>75</v>
      </c>
      <c r="C12" s="85" t="s">
        <v>76</v>
      </c>
      <c r="D12" s="199">
        <v>46136.0</v>
      </c>
      <c r="E12" s="200">
        <v>0.7916666666666666</v>
      </c>
      <c r="F12" s="201">
        <v>0.9583333333333333</v>
      </c>
      <c r="G12" s="87"/>
      <c r="H12" s="85"/>
      <c r="I12" s="91" t="s">
        <v>62</v>
      </c>
      <c r="J12" s="85"/>
      <c r="K12" s="86"/>
      <c r="L12" s="95"/>
      <c r="M12" s="96"/>
      <c r="N12" s="95"/>
      <c r="O12" s="96"/>
      <c r="P12" s="95"/>
      <c r="Q12" s="96"/>
      <c r="R12" s="95"/>
      <c r="S12" s="96"/>
      <c r="T12" s="95"/>
      <c r="U12" s="96"/>
    </row>
    <row r="13">
      <c r="A13" s="97">
        <v>12.0</v>
      </c>
      <c r="B13" s="97" t="s">
        <v>78</v>
      </c>
      <c r="C13" s="103" t="s">
        <v>79</v>
      </c>
      <c r="D13" s="202">
        <v>46137.0</v>
      </c>
      <c r="E13" s="203">
        <v>0.5416666666666666</v>
      </c>
      <c r="F13" s="204">
        <v>0.7083333333333333</v>
      </c>
      <c r="G13" s="97"/>
      <c r="H13" s="103"/>
      <c r="I13" s="104" t="s">
        <v>62</v>
      </c>
      <c r="J13" s="103"/>
      <c r="K13" s="105"/>
      <c r="L13" s="106"/>
      <c r="M13" s="107"/>
      <c r="N13" s="106"/>
      <c r="O13" s="107"/>
      <c r="P13" s="106"/>
      <c r="Q13" s="107"/>
      <c r="R13" s="106"/>
      <c r="S13" s="107"/>
      <c r="T13" s="106"/>
      <c r="U13" s="107"/>
    </row>
    <row r="14">
      <c r="A14" s="108">
        <v>13.0</v>
      </c>
      <c r="B14" s="108" t="s">
        <v>80</v>
      </c>
      <c r="C14" s="107" t="s">
        <v>81</v>
      </c>
      <c r="D14" s="205">
        <v>46137.0</v>
      </c>
      <c r="E14" s="203">
        <v>0.6666666666666666</v>
      </c>
      <c r="F14" s="204">
        <v>0.8333333333333333</v>
      </c>
      <c r="G14" s="108"/>
      <c r="H14" s="106"/>
      <c r="I14" s="111" t="s">
        <v>62</v>
      </c>
      <c r="J14" s="106"/>
      <c r="K14" s="107"/>
      <c r="L14" s="106"/>
      <c r="M14" s="107"/>
      <c r="N14" s="106"/>
      <c r="O14" s="107"/>
      <c r="P14" s="106"/>
      <c r="Q14" s="107"/>
      <c r="R14" s="106"/>
      <c r="S14" s="107"/>
      <c r="T14" s="106"/>
      <c r="U14" s="107"/>
    </row>
    <row r="15">
      <c r="A15" s="108">
        <v>14.0</v>
      </c>
      <c r="B15" s="116" t="s">
        <v>82</v>
      </c>
      <c r="C15" s="119" t="s">
        <v>83</v>
      </c>
      <c r="D15" s="205">
        <v>46137.0</v>
      </c>
      <c r="E15" s="206">
        <v>0.75</v>
      </c>
      <c r="F15" s="207">
        <v>0.9166666666666666</v>
      </c>
      <c r="G15" s="116"/>
      <c r="H15" s="117"/>
      <c r="I15" s="118" t="s">
        <v>62</v>
      </c>
      <c r="J15" s="117"/>
      <c r="K15" s="119"/>
      <c r="L15" s="117"/>
      <c r="M15" s="119"/>
      <c r="N15" s="117"/>
      <c r="O15" s="119"/>
      <c r="P15" s="117"/>
      <c r="Q15" s="119"/>
      <c r="R15" s="117"/>
      <c r="S15" s="119"/>
      <c r="T15" s="117"/>
      <c r="U15" s="119"/>
    </row>
    <row r="16">
      <c r="A16" s="120">
        <v>15.0</v>
      </c>
      <c r="B16" s="208" t="s">
        <v>84</v>
      </c>
      <c r="C16" s="209" t="s">
        <v>85</v>
      </c>
      <c r="D16" s="210">
        <v>46138.0</v>
      </c>
      <c r="E16" s="211">
        <v>0.6666666666666666</v>
      </c>
      <c r="F16" s="212">
        <v>0.8333333333333333</v>
      </c>
      <c r="G16" s="120"/>
      <c r="H16" s="126"/>
      <c r="I16" s="127" t="s">
        <v>62</v>
      </c>
      <c r="J16" s="126"/>
      <c r="K16" s="128"/>
      <c r="L16" s="126"/>
      <c r="M16" s="128"/>
      <c r="N16" s="126"/>
      <c r="O16" s="128"/>
      <c r="P16" s="126"/>
      <c r="Q16" s="128"/>
      <c r="R16" s="213"/>
      <c r="S16" s="214"/>
      <c r="T16" s="213"/>
      <c r="U16" s="214"/>
    </row>
  </sheetData>
  <mergeCells count="6">
    <mergeCell ref="H1:J1"/>
    <mergeCell ref="L1:M1"/>
    <mergeCell ref="N1:O1"/>
    <mergeCell ref="P1:Q1"/>
    <mergeCell ref="R1:S1"/>
    <mergeCell ref="T1:U1"/>
  </mergeCells>
  <drawing r:id="rId1"/>
</worksheet>
</file>